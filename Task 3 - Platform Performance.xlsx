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https://d.docs.live.net/e0461eba42148713/Dokumen/Spotify_Social_Media_Analytics_Project/"/>
    </mc:Choice>
  </mc:AlternateContent>
  <xr:revisionPtr revIDLastSave="24" documentId="11_F25DC773A252ABDACC1048FAA99C486C5BDE58ED" xr6:coauthVersionLast="47" xr6:coauthVersionMax="47" xr10:uidLastSave="{FE571B1F-F983-4CA6-BFCE-168CB3AA6722}"/>
  <bookViews>
    <workbookView xWindow="-120" yWindow="-120" windowWidth="20730" windowHeight="11760" xr2:uid="{00000000-000D-0000-FFFF-FFFF00000000}"/>
  </bookViews>
  <sheets>
    <sheet name="Avg Engagement by Platform" sheetId="3" r:id="rId1"/>
    <sheet name="Weekly Follower Growth Trend" sheetId="6" r:id="rId2"/>
    <sheet name="Ad Spend vs. Engagement" sheetId="8" r:id="rId3"/>
    <sheet name="Engagement Summary" sheetId="2" r:id="rId4"/>
  </sheets>
  <calcPr calcId="191029"/>
  <pivotCaches>
    <pivotCache cacheId="6" r:id="rId5"/>
    <pivotCache cacheId="7" r:id="rId6"/>
    <pivotCache cacheId="8" r:id="rId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 i="2" l="1"/>
  <c r="H2" i="2"/>
  <c r="H3" i="2"/>
  <c r="H4" i="2"/>
  <c r="H5" i="2"/>
  <c r="H6" i="2"/>
  <c r="H7" i="2"/>
  <c r="H8"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I3" i="2" l="1"/>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 i="2"/>
</calcChain>
</file>

<file path=xl/sharedStrings.xml><?xml version="1.0" encoding="utf-8"?>
<sst xmlns="http://schemas.openxmlformats.org/spreadsheetml/2006/main" count="442" uniqueCount="27">
  <si>
    <t>Week_Start_Date</t>
  </si>
  <si>
    <t>Platform</t>
  </si>
  <si>
    <t>New_Followers</t>
  </si>
  <si>
    <t>Unfollows</t>
  </si>
  <si>
    <t>Total_Followers</t>
  </si>
  <si>
    <t>Engagement_Rate</t>
  </si>
  <si>
    <t>Ad_Spend</t>
  </si>
  <si>
    <t>Instagram</t>
  </si>
  <si>
    <t>Twitter</t>
  </si>
  <si>
    <t>Youtube</t>
  </si>
  <si>
    <t>Column Labels</t>
  </si>
  <si>
    <t>Grand Total</t>
  </si>
  <si>
    <t>Row Labels</t>
  </si>
  <si>
    <t>Average of Engagement_Rate</t>
  </si>
  <si>
    <t>Average Engagement Rate by Platform</t>
  </si>
  <si>
    <t>Weekly Follower Growth Rates Across Platforms</t>
  </si>
  <si>
    <t>Key Highlights</t>
  </si>
  <si>
    <t>Platform Strategy Recommendation</t>
  </si>
  <si>
    <t>Source Data</t>
  </si>
  <si>
    <t>Ad Spend vs Engagement Rate Analysis</t>
  </si>
  <si>
    <t>Platform-wise Average Engagement &amp; Ad Spend</t>
  </si>
  <si>
    <t>Ad Spend vs Engagement Rate by Platform (Pivot Chart)</t>
  </si>
  <si>
    <t xml:space="preserve">follower growth rate </t>
  </si>
  <si>
    <t>Net_Followers</t>
  </si>
  <si>
    <t xml:space="preserve">Sum of follower growth rate </t>
  </si>
  <si>
    <t>Sum of Ad_Spend</t>
  </si>
  <si>
    <t>Sum of Engagement_Rate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</si>
</sst>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14009]yyyy/mm/dd;@"/>
  </numFmts>
  <fonts count="11" x14ac:knownFonts="1">
    <font>
      <sz val="11"/>
      <color theme="1"/>
      <name val="Calibri"/>
      <family val="2"/>
      <scheme val="minor"/>
    </font>
    <font>
      <sz val="11"/>
      <color rgb="FF000000"/>
      <name val="&quot;Aptos Narrow&quot;"/>
    </font>
    <font>
      <b/>
      <sz val="12"/>
      <color theme="1"/>
      <name val="Calibri"/>
      <family val="2"/>
      <scheme val="minor"/>
    </font>
    <font>
      <b/>
      <sz val="14"/>
      <color theme="1"/>
      <name val="Calibri"/>
      <family val="2"/>
      <scheme val="minor"/>
    </font>
    <font>
      <sz val="16"/>
      <color theme="1"/>
      <name val="Calibri"/>
      <family val="2"/>
      <scheme val="minor"/>
    </font>
    <font>
      <b/>
      <sz val="18"/>
      <color theme="1"/>
      <name val="Calibri"/>
      <family val="2"/>
      <scheme val="minor"/>
    </font>
    <font>
      <b/>
      <sz val="11"/>
      <color rgb="FF000000"/>
      <name val="&quot;Aptos Narrow&quot;"/>
    </font>
    <font>
      <b/>
      <sz val="11"/>
      <color theme="1"/>
      <name val="Calibri"/>
      <family val="2"/>
      <scheme val="minor"/>
    </font>
    <font>
      <b/>
      <sz val="20"/>
      <color theme="1"/>
      <name val="Calibri"/>
      <family val="2"/>
      <scheme val="minor"/>
    </font>
    <font>
      <b/>
      <sz val="16"/>
      <name val="Calibri"/>
      <family val="2"/>
      <scheme val="minor"/>
    </font>
    <font>
      <b/>
      <sz val="16"/>
      <color theme="1"/>
      <name val="Calibri"/>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5"/>
        <bgColor indexed="64"/>
      </patternFill>
    </fill>
    <fill>
      <patternFill patternType="solid">
        <fgColor theme="0" tint="-0.249977111117893"/>
        <bgColor indexed="64"/>
      </patternFill>
    </fill>
    <fill>
      <patternFill patternType="solid">
        <fgColor theme="2" tint="-0.249977111117893"/>
        <bgColor indexed="64"/>
      </patternFill>
    </fill>
    <fill>
      <patternFill patternType="solid">
        <fgColor rgb="FFA5D2E9"/>
        <bgColor indexed="64"/>
      </patternFill>
    </fill>
    <fill>
      <patternFill patternType="solid">
        <fgColor rgb="FFAAE571"/>
        <bgColor indexed="64"/>
      </patternFill>
    </fill>
  </fills>
  <borders count="1">
    <border>
      <left/>
      <right/>
      <top/>
      <bottom/>
      <diagonal/>
    </border>
  </borders>
  <cellStyleXfs count="1">
    <xf numFmtId="0" fontId="0" fillId="0" borderId="0"/>
  </cellStyleXfs>
  <cellXfs count="33">
    <xf numFmtId="0" fontId="0" fillId="0" borderId="0" xfId="0"/>
    <xf numFmtId="164" fontId="1" fillId="0" borderId="0" xfId="0" applyNumberFormat="1" applyFont="1" applyAlignment="1">
      <alignment horizontal="left"/>
    </xf>
    <xf numFmtId="0" fontId="1" fillId="0" borderId="0" xfId="0" applyFont="1" applyAlignment="1">
      <alignment horizontal="left"/>
    </xf>
    <xf numFmtId="1" fontId="1" fillId="0" borderId="0" xfId="0" applyNumberFormat="1" applyFont="1" applyAlignment="1">
      <alignment horizontal="right"/>
    </xf>
    <xf numFmtId="2" fontId="1" fillId="0" borderId="0" xfId="0" applyNumberFormat="1" applyFont="1" applyAlignment="1">
      <alignment horizontal="right"/>
    </xf>
    <xf numFmtId="164" fontId="0" fillId="0" borderId="0" xfId="0" applyNumberFormat="1" applyAlignment="1">
      <alignment horizontal="left"/>
    </xf>
    <xf numFmtId="0" fontId="0" fillId="0" borderId="0" xfId="0" applyAlignment="1">
      <alignment horizontal="left"/>
    </xf>
    <xf numFmtId="1" fontId="0" fillId="0" borderId="0" xfId="0" applyNumberFormat="1"/>
    <xf numFmtId="2" fontId="0" fillId="0" borderId="0" xfId="0" applyNumberFormat="1"/>
    <xf numFmtId="0" fontId="0" fillId="0" borderId="0" xfId="0" pivotButton="1"/>
    <xf numFmtId="0" fontId="4" fillId="0" borderId="0" xfId="0" applyFont="1" applyAlignment="1">
      <alignment horizontal="center"/>
    </xf>
    <xf numFmtId="0" fontId="6" fillId="2" borderId="0" xfId="0" applyFont="1" applyFill="1" applyAlignment="1">
      <alignment horizontal="left"/>
    </xf>
    <xf numFmtId="2" fontId="6" fillId="2" borderId="0" xfId="0" applyNumberFormat="1" applyFont="1" applyFill="1"/>
    <xf numFmtId="1" fontId="6" fillId="2" borderId="0" xfId="0" applyNumberFormat="1" applyFont="1" applyFill="1"/>
    <xf numFmtId="0" fontId="10" fillId="3" borderId="0" xfId="0" applyFont="1" applyFill="1" applyAlignment="1">
      <alignment horizontal="center"/>
    </xf>
    <xf numFmtId="0" fontId="0" fillId="0" borderId="0" xfId="0" applyAlignment="1">
      <alignment horizontal="center"/>
    </xf>
    <xf numFmtId="10" fontId="0" fillId="0" borderId="0" xfId="0" applyNumberFormat="1"/>
    <xf numFmtId="164" fontId="6" fillId="4" borderId="0" xfId="0" applyNumberFormat="1" applyFont="1" applyFill="1" applyAlignment="1">
      <alignment horizontal="left"/>
    </xf>
    <xf numFmtId="0" fontId="6" fillId="4" borderId="0" xfId="0" applyFont="1" applyFill="1" applyAlignment="1">
      <alignment horizontal="left"/>
    </xf>
    <xf numFmtId="1" fontId="6" fillId="4" borderId="0" xfId="0" applyNumberFormat="1" applyFont="1" applyFill="1"/>
    <xf numFmtId="2" fontId="6" fillId="4" borderId="0" xfId="0" applyNumberFormat="1" applyFont="1" applyFill="1"/>
    <xf numFmtId="0" fontId="7" fillId="4" borderId="0" xfId="0" applyFont="1" applyFill="1"/>
    <xf numFmtId="1" fontId="6" fillId="6" borderId="0" xfId="0" applyNumberFormat="1" applyFont="1" applyFill="1"/>
    <xf numFmtId="0" fontId="9" fillId="0" borderId="0" xfId="0" applyFont="1" applyAlignment="1">
      <alignment horizontal="center"/>
    </xf>
    <xf numFmtId="0" fontId="3" fillId="4" borderId="0" xfId="0" applyFont="1" applyFill="1" applyAlignment="1">
      <alignment horizontal="center"/>
    </xf>
    <xf numFmtId="0" fontId="0" fillId="4" borderId="0" xfId="0" applyFill="1" applyAlignment="1">
      <alignment horizontal="center"/>
    </xf>
    <xf numFmtId="0" fontId="5" fillId="5" borderId="0" xfId="0" applyFont="1" applyFill="1" applyAlignment="1">
      <alignment horizontal="center"/>
    </xf>
    <xf numFmtId="0" fontId="4" fillId="5" borderId="0" xfId="0" applyFont="1" applyFill="1" applyAlignment="1">
      <alignment horizontal="center"/>
    </xf>
    <xf numFmtId="0" fontId="2" fillId="4" borderId="0" xfId="0" applyFont="1" applyFill="1" applyAlignment="1">
      <alignment horizontal="center"/>
    </xf>
    <xf numFmtId="0" fontId="7" fillId="4" borderId="0" xfId="0" applyFont="1" applyFill="1" applyAlignment="1">
      <alignment horizontal="center"/>
    </xf>
    <xf numFmtId="0" fontId="8" fillId="7" borderId="0" xfId="0" applyFont="1" applyFill="1" applyAlignment="1">
      <alignment horizontal="center"/>
    </xf>
    <xf numFmtId="0" fontId="9" fillId="7" borderId="0" xfId="0" applyFont="1" applyFill="1" applyAlignment="1">
      <alignment horizontal="center"/>
    </xf>
    <xf numFmtId="0" fontId="10" fillId="7" borderId="0" xfId="0" applyFont="1" applyFill="1" applyAlignment="1">
      <alignment horizontal="center"/>
    </xf>
  </cellXfs>
  <cellStyles count="1">
    <cellStyle name="Normal" xfId="0" builtinId="0"/>
  </cellStyles>
  <dxfs count="14">
    <dxf>
      <numFmt numFmtId="14" formatCode="0.00%"/>
    </dxf>
    <dxf>
      <font>
        <b val="0"/>
        <i val="0"/>
        <strike val="0"/>
        <condense val="0"/>
        <extend val="0"/>
        <outline val="0"/>
        <shadow val="0"/>
        <u val="none"/>
        <vertAlign val="baseline"/>
        <sz val="11"/>
        <color rgb="FF000000"/>
        <name val="&quot;Aptos Narrow&quot;"/>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lef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164" formatCode="[$-14009]yyyy/mm/dd;@"/>
      <alignment horizontal="lef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right" vertical="bottom" textRotation="0" wrapText="0" indent="0" justifyLastLine="0" shrinkToFit="0" readingOrder="0"/>
    </dxf>
    <dxf>
      <font>
        <b/>
        <i val="0"/>
        <strike val="0"/>
        <condense val="0"/>
        <extend val="0"/>
        <outline val="0"/>
        <shadow val="0"/>
        <u val="none"/>
        <vertAlign val="baseline"/>
        <sz val="11"/>
        <color rgb="FF000000"/>
        <name val="&quot;Aptos Narrow&quot;"/>
        <scheme val="none"/>
      </font>
      <numFmt numFmtId="1" formatCode="0"/>
      <fill>
        <patternFill patternType="solid">
          <fgColor indexed="64"/>
          <bgColor theme="0" tint="-0.249977111117893"/>
        </patternFill>
      </fill>
    </dxf>
    <dxf>
      <font>
        <b val="0"/>
        <i val="0"/>
        <strike val="0"/>
        <condense val="0"/>
        <extend val="0"/>
        <outline val="0"/>
        <shadow val="0"/>
        <u val="none"/>
        <vertAlign val="baseline"/>
        <sz val="11"/>
        <color rgb="FF000000"/>
        <name val="&quot;Aptos Narrow&quot;"/>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1"/>
        <color rgb="FF000000"/>
        <name val="&quot;Aptos Narrow&quot;"/>
        <scheme val="none"/>
      </font>
      <alignment horizontal="left" vertical="bottom" textRotation="0" wrapText="0" indent="0" justifyLastLine="0" shrinkToFit="0" readingOrder="0"/>
    </dxf>
  </dxfs>
  <tableStyles count="1" defaultTableStyle="TableStyleMedium2" defaultPivotStyle="PivotStyleLight16">
    <tableStyle name="Invisible" pivot="0" table="0" count="0" xr9:uid="{52B2D14C-F0B7-4BBB-8DC7-9EE6C2D7A7E7}"/>
  </tableStyles>
  <colors>
    <mruColors>
      <color rgb="FFA5D2E9"/>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3 - Platform Performance.xlsx.xlsx]Weekly Follower Growth Trend!PivotTable22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weekly</a:t>
            </a:r>
            <a:r>
              <a:rPr lang="en-IN" baseline="0"/>
              <a:t> follower trend </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'Weekly Follower Growth Trend'!$B$3:$B$4</c:f>
              <c:strCache>
                <c:ptCount val="1"/>
                <c:pt idx="0">
                  <c:v>Instagram</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'Weekly Follower Growth Trend'!$A$5:$A$72</c:f>
              <c:strCache>
                <c:ptCount val="67"/>
                <c:pt idx="0">
                  <c:v>2024-06-03</c:v>
                </c:pt>
                <c:pt idx="1">
                  <c:v>2024-06-10</c:v>
                </c:pt>
                <c:pt idx="2">
                  <c:v>2024-06-17</c:v>
                </c:pt>
                <c:pt idx="3">
                  <c:v>2024-06-24</c:v>
                </c:pt>
                <c:pt idx="4">
                  <c:v>2024-07-01</c:v>
                </c:pt>
                <c:pt idx="5">
                  <c:v>2024-07-08</c:v>
                </c:pt>
                <c:pt idx="6">
                  <c:v>2024-07-15</c:v>
                </c:pt>
                <c:pt idx="7">
                  <c:v>2024-07-22</c:v>
                </c:pt>
                <c:pt idx="8">
                  <c:v>2024-07-29</c:v>
                </c:pt>
                <c:pt idx="9">
                  <c:v>2024-08-05</c:v>
                </c:pt>
                <c:pt idx="10">
                  <c:v>2024-08-12</c:v>
                </c:pt>
                <c:pt idx="11">
                  <c:v>2024-08-19</c:v>
                </c:pt>
                <c:pt idx="12">
                  <c:v>2024-08-26</c:v>
                </c:pt>
                <c:pt idx="13">
                  <c:v>2024-09-02</c:v>
                </c:pt>
                <c:pt idx="14">
                  <c:v>2024-09-09</c:v>
                </c:pt>
                <c:pt idx="15">
                  <c:v>2024-09-16</c:v>
                </c:pt>
                <c:pt idx="16">
                  <c:v>2024-09-23</c:v>
                </c:pt>
                <c:pt idx="17">
                  <c:v>2024-09-30</c:v>
                </c:pt>
                <c:pt idx="18">
                  <c:v>2024-10-07</c:v>
                </c:pt>
                <c:pt idx="19">
                  <c:v>2024-10-14</c:v>
                </c:pt>
                <c:pt idx="20">
                  <c:v>2024-10-21</c:v>
                </c:pt>
                <c:pt idx="21">
                  <c:v>2024-10-28</c:v>
                </c:pt>
                <c:pt idx="22">
                  <c:v>2024-11-04</c:v>
                </c:pt>
                <c:pt idx="23">
                  <c:v>2024-11-11</c:v>
                </c:pt>
                <c:pt idx="24">
                  <c:v>2024-11-18</c:v>
                </c:pt>
                <c:pt idx="25">
                  <c:v>2024-11-25</c:v>
                </c:pt>
                <c:pt idx="26">
                  <c:v>2024-12-02</c:v>
                </c:pt>
                <c:pt idx="27">
                  <c:v>2024-12-09</c:v>
                </c:pt>
                <c:pt idx="28">
                  <c:v>2024-12-16</c:v>
                </c:pt>
                <c:pt idx="29">
                  <c:v>2024-12-23</c:v>
                </c:pt>
                <c:pt idx="30">
                  <c:v>2024-12-30</c:v>
                </c:pt>
                <c:pt idx="31">
                  <c:v>2025-01-06</c:v>
                </c:pt>
                <c:pt idx="32">
                  <c:v>2025-01-13</c:v>
                </c:pt>
                <c:pt idx="33">
                  <c:v>2025-01-20</c:v>
                </c:pt>
                <c:pt idx="34">
                  <c:v>2025-01-27</c:v>
                </c:pt>
                <c:pt idx="35">
                  <c:v>2025-02-03</c:v>
                </c:pt>
                <c:pt idx="36">
                  <c:v>2025-02-10</c:v>
                </c:pt>
                <c:pt idx="37">
                  <c:v>2025-02-17</c:v>
                </c:pt>
                <c:pt idx="38">
                  <c:v>2025-02-24</c:v>
                </c:pt>
                <c:pt idx="39">
                  <c:v>2025-03-03</c:v>
                </c:pt>
                <c:pt idx="40">
                  <c:v>2025-03-10</c:v>
                </c:pt>
                <c:pt idx="41">
                  <c:v>2025-03-17</c:v>
                </c:pt>
                <c:pt idx="42">
                  <c:v>2025-03-24</c:v>
                </c:pt>
                <c:pt idx="43">
                  <c:v>2025-03-31</c:v>
                </c:pt>
                <c:pt idx="44">
                  <c:v>2025-04-07</c:v>
                </c:pt>
                <c:pt idx="45">
                  <c:v>2025-04-14</c:v>
                </c:pt>
                <c:pt idx="46">
                  <c:v>2025-04-21</c:v>
                </c:pt>
                <c:pt idx="47">
                  <c:v>2025-04-28</c:v>
                </c:pt>
                <c:pt idx="48">
                  <c:v>2025-05-05</c:v>
                </c:pt>
                <c:pt idx="49">
                  <c:v>2025-05-12</c:v>
                </c:pt>
                <c:pt idx="50">
                  <c:v>2025-05-19</c:v>
                </c:pt>
                <c:pt idx="51">
                  <c:v>2025-05-26</c:v>
                </c:pt>
                <c:pt idx="52">
                  <c:v>2025-06-02</c:v>
                </c:pt>
                <c:pt idx="53">
                  <c:v>2025-06-09</c:v>
                </c:pt>
                <c:pt idx="54">
                  <c:v>2025-06-16</c:v>
                </c:pt>
                <c:pt idx="55">
                  <c:v>2025-06-23</c:v>
                </c:pt>
                <c:pt idx="56">
                  <c:v>2025-06-30</c:v>
                </c:pt>
                <c:pt idx="57">
                  <c:v>2025-07-07</c:v>
                </c:pt>
                <c:pt idx="58">
                  <c:v>2025-07-14</c:v>
                </c:pt>
                <c:pt idx="59">
                  <c:v>2025-07-21</c:v>
                </c:pt>
                <c:pt idx="60">
                  <c:v>2025-07-28</c:v>
                </c:pt>
                <c:pt idx="61">
                  <c:v>2025-08-04</c:v>
                </c:pt>
                <c:pt idx="62">
                  <c:v>2025-08-11</c:v>
                </c:pt>
                <c:pt idx="63">
                  <c:v>2025-08-18</c:v>
                </c:pt>
                <c:pt idx="64">
                  <c:v>2025-08-25</c:v>
                </c:pt>
                <c:pt idx="65">
                  <c:v>2025-09-01</c:v>
                </c:pt>
                <c:pt idx="66">
                  <c:v>2025-09-08</c:v>
                </c:pt>
              </c:strCache>
            </c:strRef>
          </c:cat>
          <c:val>
            <c:numRef>
              <c:f>'Weekly Follower Growth Trend'!$B$5:$B$72</c:f>
              <c:numCache>
                <c:formatCode>0.00%</c:formatCode>
                <c:ptCount val="67"/>
                <c:pt idx="0">
                  <c:v>1.0709526179733787E-2</c:v>
                </c:pt>
                <c:pt idx="1">
                  <c:v>1.0035253152237385E-2</c:v>
                </c:pt>
                <c:pt idx="2">
                  <c:v>6.1532043593888509E-3</c:v>
                </c:pt>
                <c:pt idx="3">
                  <c:v>7.0194756038813571E-3</c:v>
                </c:pt>
                <c:pt idx="4">
                  <c:v>3.9974246283906723E-3</c:v>
                </c:pt>
                <c:pt idx="5">
                  <c:v>1.9610667968164271E-3</c:v>
                </c:pt>
                <c:pt idx="6">
                  <c:v>2.1159343412017798E-3</c:v>
                </c:pt>
                <c:pt idx="7">
                  <c:v>3.8800515380583087E-3</c:v>
                </c:pt>
                <c:pt idx="8">
                  <c:v>2.3089717768720206E-3</c:v>
                </c:pt>
                <c:pt idx="9">
                  <c:v>6.7435554935305723E-3</c:v>
                </c:pt>
                <c:pt idx="10">
                  <c:v>1.4216285431581398E-2</c:v>
                </c:pt>
                <c:pt idx="11">
                  <c:v>2.5711521816608116E-3</c:v>
                </c:pt>
                <c:pt idx="12">
                  <c:v>5.2519335029163131E-3</c:v>
                </c:pt>
                <c:pt idx="13">
                  <c:v>1.5378321642822803E-3</c:v>
                </c:pt>
                <c:pt idx="14">
                  <c:v>1.7288453918263881E-3</c:v>
                </c:pt>
                <c:pt idx="15">
                  <c:v>1.8947546272643525E-3</c:v>
                </c:pt>
                <c:pt idx="16">
                  <c:v>1.3784135240572171E-2</c:v>
                </c:pt>
                <c:pt idx="17">
                  <c:v>3.0190531054641659E-3</c:v>
                </c:pt>
                <c:pt idx="18">
                  <c:v>1.7507375647522346E-3</c:v>
                </c:pt>
                <c:pt idx="19">
                  <c:v>4.7398149771776844E-3</c:v>
                </c:pt>
                <c:pt idx="20">
                  <c:v>1.0915497012055407E-2</c:v>
                </c:pt>
                <c:pt idx="21">
                  <c:v>3.8051035059458792E-3</c:v>
                </c:pt>
                <c:pt idx="22">
                  <c:v>3.6781918718691762E-3</c:v>
                </c:pt>
                <c:pt idx="23">
                  <c:v>3.9281193313061976E-3</c:v>
                </c:pt>
                <c:pt idx="24">
                  <c:v>2.741648314656868E-3</c:v>
                </c:pt>
                <c:pt idx="25">
                  <c:v>1.2759550523566889E-3</c:v>
                </c:pt>
                <c:pt idx="26">
                  <c:v>4.7176696580273365E-3</c:v>
                </c:pt>
                <c:pt idx="27">
                  <c:v>1.7677812464738406E-3</c:v>
                </c:pt>
                <c:pt idx="28">
                  <c:v>6.506669773402458E-3</c:v>
                </c:pt>
                <c:pt idx="29">
                  <c:v>4.8653658034289241E-3</c:v>
                </c:pt>
                <c:pt idx="30">
                  <c:v>1.7165562473503519E-3</c:v>
                </c:pt>
                <c:pt idx="31">
                  <c:v>3.1809630491290049E-3</c:v>
                </c:pt>
                <c:pt idx="32">
                  <c:v>1.3793673813581599E-3</c:v>
                </c:pt>
                <c:pt idx="33">
                  <c:v>1.3487040845594743E-3</c:v>
                </c:pt>
                <c:pt idx="34">
                  <c:v>9.2415931314094918E-4</c:v>
                </c:pt>
                <c:pt idx="35">
                  <c:v>2.3334666742861497E-3</c:v>
                </c:pt>
                <c:pt idx="36">
                  <c:v>3.0798747854185599E-3</c:v>
                </c:pt>
                <c:pt idx="37">
                  <c:v>4.0817246978170664E-3</c:v>
                </c:pt>
                <c:pt idx="38">
                  <c:v>1.0896826083196401E-3</c:v>
                </c:pt>
                <c:pt idx="39">
                  <c:v>1.0984575217286749E-2</c:v>
                </c:pt>
                <c:pt idx="40">
                  <c:v>1.8468941678809856E-3</c:v>
                </c:pt>
                <c:pt idx="41">
                  <c:v>1.9052058737091724E-3</c:v>
                </c:pt>
                <c:pt idx="42">
                  <c:v>3.0555240088474996E-3</c:v>
                </c:pt>
                <c:pt idx="43">
                  <c:v>3.1475371965261584E-3</c:v>
                </c:pt>
                <c:pt idx="44">
                  <c:v>3.9209705941868752E-3</c:v>
                </c:pt>
                <c:pt idx="45">
                  <c:v>1.9961869935398759E-3</c:v>
                </c:pt>
                <c:pt idx="46">
                  <c:v>1.0988053215795403E-3</c:v>
                </c:pt>
                <c:pt idx="47">
                  <c:v>3.7778051067623862E-3</c:v>
                </c:pt>
                <c:pt idx="48">
                  <c:v>2.5976522198761379E-3</c:v>
                </c:pt>
                <c:pt idx="49">
                  <c:v>1.5731300645365684E-3</c:v>
                </c:pt>
                <c:pt idx="50">
                  <c:v>7.872087032172511E-3</c:v>
                </c:pt>
                <c:pt idx="51">
                  <c:v>3.8281206906062111E-3</c:v>
                </c:pt>
                <c:pt idx="52">
                  <c:v>1.2413909189098204E-3</c:v>
                </c:pt>
                <c:pt idx="53">
                  <c:v>1.1327664328719508E-2</c:v>
                </c:pt>
                <c:pt idx="54">
                  <c:v>2.4617598408673293E-3</c:v>
                </c:pt>
                <c:pt idx="55">
                  <c:v>1.1452908859898713E-3</c:v>
                </c:pt>
                <c:pt idx="56">
                  <c:v>2.2401847575057735E-3</c:v>
                </c:pt>
                <c:pt idx="57">
                  <c:v>3.3512794144334888E-3</c:v>
                </c:pt>
                <c:pt idx="58">
                  <c:v>9.827213822894169E-3</c:v>
                </c:pt>
                <c:pt idx="59">
                  <c:v>7.4721268454424738E-3</c:v>
                </c:pt>
                <c:pt idx="60">
                  <c:v>4.669318378338316E-3</c:v>
                </c:pt>
                <c:pt idx="61">
                  <c:v>7.6555792759910937E-3</c:v>
                </c:pt>
                <c:pt idx="62">
                  <c:v>2.6309839468870114E-3</c:v>
                </c:pt>
                <c:pt idx="63">
                  <c:v>2.1136549728017671E-3</c:v>
                </c:pt>
                <c:pt idx="64">
                  <c:v>6.6754281661347186E-3</c:v>
                </c:pt>
                <c:pt idx="65">
                  <c:v>3.1996007837554212E-3</c:v>
                </c:pt>
                <c:pt idx="66">
                  <c:v>9.1194199159233963E-3</c:v>
                </c:pt>
              </c:numCache>
            </c:numRef>
          </c:val>
          <c:smooth val="0"/>
          <c:extLst>
            <c:ext xmlns:c16="http://schemas.microsoft.com/office/drawing/2014/chart" uri="{C3380CC4-5D6E-409C-BE32-E72D297353CC}">
              <c16:uniqueId val="{00000000-529E-46A1-B537-5EDA0EF878AC}"/>
            </c:ext>
          </c:extLst>
        </c:ser>
        <c:ser>
          <c:idx val="1"/>
          <c:order val="1"/>
          <c:tx>
            <c:strRef>
              <c:f>'Weekly Follower Growth Trend'!$C$3:$C$4</c:f>
              <c:strCache>
                <c:ptCount val="1"/>
                <c:pt idx="0">
                  <c:v>Twitter</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'Weekly Follower Growth Trend'!$A$5:$A$72</c:f>
              <c:strCache>
                <c:ptCount val="67"/>
                <c:pt idx="0">
                  <c:v>2024-06-03</c:v>
                </c:pt>
                <c:pt idx="1">
                  <c:v>2024-06-10</c:v>
                </c:pt>
                <c:pt idx="2">
                  <c:v>2024-06-17</c:v>
                </c:pt>
                <c:pt idx="3">
                  <c:v>2024-06-24</c:v>
                </c:pt>
                <c:pt idx="4">
                  <c:v>2024-07-01</c:v>
                </c:pt>
                <c:pt idx="5">
                  <c:v>2024-07-08</c:v>
                </c:pt>
                <c:pt idx="6">
                  <c:v>2024-07-15</c:v>
                </c:pt>
                <c:pt idx="7">
                  <c:v>2024-07-22</c:v>
                </c:pt>
                <c:pt idx="8">
                  <c:v>2024-07-29</c:v>
                </c:pt>
                <c:pt idx="9">
                  <c:v>2024-08-05</c:v>
                </c:pt>
                <c:pt idx="10">
                  <c:v>2024-08-12</c:v>
                </c:pt>
                <c:pt idx="11">
                  <c:v>2024-08-19</c:v>
                </c:pt>
                <c:pt idx="12">
                  <c:v>2024-08-26</c:v>
                </c:pt>
                <c:pt idx="13">
                  <c:v>2024-09-02</c:v>
                </c:pt>
                <c:pt idx="14">
                  <c:v>2024-09-09</c:v>
                </c:pt>
                <c:pt idx="15">
                  <c:v>2024-09-16</c:v>
                </c:pt>
                <c:pt idx="16">
                  <c:v>2024-09-23</c:v>
                </c:pt>
                <c:pt idx="17">
                  <c:v>2024-09-30</c:v>
                </c:pt>
                <c:pt idx="18">
                  <c:v>2024-10-07</c:v>
                </c:pt>
                <c:pt idx="19">
                  <c:v>2024-10-14</c:v>
                </c:pt>
                <c:pt idx="20">
                  <c:v>2024-10-21</c:v>
                </c:pt>
                <c:pt idx="21">
                  <c:v>2024-10-28</c:v>
                </c:pt>
                <c:pt idx="22">
                  <c:v>2024-11-04</c:v>
                </c:pt>
                <c:pt idx="23">
                  <c:v>2024-11-11</c:v>
                </c:pt>
                <c:pt idx="24">
                  <c:v>2024-11-18</c:v>
                </c:pt>
                <c:pt idx="25">
                  <c:v>2024-11-25</c:v>
                </c:pt>
                <c:pt idx="26">
                  <c:v>2024-12-02</c:v>
                </c:pt>
                <c:pt idx="27">
                  <c:v>2024-12-09</c:v>
                </c:pt>
                <c:pt idx="28">
                  <c:v>2024-12-16</c:v>
                </c:pt>
                <c:pt idx="29">
                  <c:v>2024-12-23</c:v>
                </c:pt>
                <c:pt idx="30">
                  <c:v>2024-12-30</c:v>
                </c:pt>
                <c:pt idx="31">
                  <c:v>2025-01-06</c:v>
                </c:pt>
                <c:pt idx="32">
                  <c:v>2025-01-13</c:v>
                </c:pt>
                <c:pt idx="33">
                  <c:v>2025-01-20</c:v>
                </c:pt>
                <c:pt idx="34">
                  <c:v>2025-01-27</c:v>
                </c:pt>
                <c:pt idx="35">
                  <c:v>2025-02-03</c:v>
                </c:pt>
                <c:pt idx="36">
                  <c:v>2025-02-10</c:v>
                </c:pt>
                <c:pt idx="37">
                  <c:v>2025-02-17</c:v>
                </c:pt>
                <c:pt idx="38">
                  <c:v>2025-02-24</c:v>
                </c:pt>
                <c:pt idx="39">
                  <c:v>2025-03-03</c:v>
                </c:pt>
                <c:pt idx="40">
                  <c:v>2025-03-10</c:v>
                </c:pt>
                <c:pt idx="41">
                  <c:v>2025-03-17</c:v>
                </c:pt>
                <c:pt idx="42">
                  <c:v>2025-03-24</c:v>
                </c:pt>
                <c:pt idx="43">
                  <c:v>2025-03-31</c:v>
                </c:pt>
                <c:pt idx="44">
                  <c:v>2025-04-07</c:v>
                </c:pt>
                <c:pt idx="45">
                  <c:v>2025-04-14</c:v>
                </c:pt>
                <c:pt idx="46">
                  <c:v>2025-04-21</c:v>
                </c:pt>
                <c:pt idx="47">
                  <c:v>2025-04-28</c:v>
                </c:pt>
                <c:pt idx="48">
                  <c:v>2025-05-05</c:v>
                </c:pt>
                <c:pt idx="49">
                  <c:v>2025-05-12</c:v>
                </c:pt>
                <c:pt idx="50">
                  <c:v>2025-05-19</c:v>
                </c:pt>
                <c:pt idx="51">
                  <c:v>2025-05-26</c:v>
                </c:pt>
                <c:pt idx="52">
                  <c:v>2025-06-02</c:v>
                </c:pt>
                <c:pt idx="53">
                  <c:v>2025-06-09</c:v>
                </c:pt>
                <c:pt idx="54">
                  <c:v>2025-06-16</c:v>
                </c:pt>
                <c:pt idx="55">
                  <c:v>2025-06-23</c:v>
                </c:pt>
                <c:pt idx="56">
                  <c:v>2025-06-30</c:v>
                </c:pt>
                <c:pt idx="57">
                  <c:v>2025-07-07</c:v>
                </c:pt>
                <c:pt idx="58">
                  <c:v>2025-07-14</c:v>
                </c:pt>
                <c:pt idx="59">
                  <c:v>2025-07-21</c:v>
                </c:pt>
                <c:pt idx="60">
                  <c:v>2025-07-28</c:v>
                </c:pt>
                <c:pt idx="61">
                  <c:v>2025-08-04</c:v>
                </c:pt>
                <c:pt idx="62">
                  <c:v>2025-08-11</c:v>
                </c:pt>
                <c:pt idx="63">
                  <c:v>2025-08-18</c:v>
                </c:pt>
                <c:pt idx="64">
                  <c:v>2025-08-25</c:v>
                </c:pt>
                <c:pt idx="65">
                  <c:v>2025-09-01</c:v>
                </c:pt>
                <c:pt idx="66">
                  <c:v>2025-09-08</c:v>
                </c:pt>
              </c:strCache>
            </c:strRef>
          </c:cat>
          <c:val>
            <c:numRef>
              <c:f>'Weekly Follower Growth Trend'!$C$5:$C$72</c:f>
              <c:numCache>
                <c:formatCode>0.00%</c:formatCode>
                <c:ptCount val="67"/>
                <c:pt idx="0">
                  <c:v>3.9875766588582107E-3</c:v>
                </c:pt>
                <c:pt idx="1">
                  <c:v>4.247465810484582E-3</c:v>
                </c:pt>
                <c:pt idx="2">
                  <c:v>5.2165710498603361E-3</c:v>
                </c:pt>
                <c:pt idx="3">
                  <c:v>8.7155963302752298E-3</c:v>
                </c:pt>
                <c:pt idx="4">
                  <c:v>2.7265062228494967E-3</c:v>
                </c:pt>
                <c:pt idx="5">
                  <c:v>1.7836234485988603E-2</c:v>
                </c:pt>
                <c:pt idx="6">
                  <c:v>4.1633646660018432E-3</c:v>
                </c:pt>
                <c:pt idx="7">
                  <c:v>1.3666228646517741E-3</c:v>
                </c:pt>
                <c:pt idx="8">
                  <c:v>5.2125958475504573E-3</c:v>
                </c:pt>
                <c:pt idx="9">
                  <c:v>4.3839826448522105E-3</c:v>
                </c:pt>
                <c:pt idx="10">
                  <c:v>1.031124193757846E-2</c:v>
                </c:pt>
                <c:pt idx="11">
                  <c:v>6.2169419806330862E-3</c:v>
                </c:pt>
                <c:pt idx="12">
                  <c:v>1.1090510417460359E-3</c:v>
                </c:pt>
                <c:pt idx="13">
                  <c:v>2.6618404566337186E-3</c:v>
                </c:pt>
                <c:pt idx="14">
                  <c:v>4.7123181781018424E-3</c:v>
                </c:pt>
                <c:pt idx="15">
                  <c:v>3.4796436801746559E-3</c:v>
                </c:pt>
                <c:pt idx="16">
                  <c:v>3.305365562946797E-3</c:v>
                </c:pt>
                <c:pt idx="17">
                  <c:v>4.6946006530167259E-3</c:v>
                </c:pt>
                <c:pt idx="18">
                  <c:v>2.8850860838862216E-3</c:v>
                </c:pt>
                <c:pt idx="19">
                  <c:v>1.8353650184906177E-3</c:v>
                </c:pt>
                <c:pt idx="20">
                  <c:v>5.3980915408646862E-3</c:v>
                </c:pt>
                <c:pt idx="21">
                  <c:v>1.5788005199153436E-3</c:v>
                </c:pt>
                <c:pt idx="22">
                  <c:v>3.9842122008616216E-3</c:v>
                </c:pt>
                <c:pt idx="23">
                  <c:v>2.6275238057607967E-3</c:v>
                </c:pt>
                <c:pt idx="24">
                  <c:v>5.0288483327232481E-3</c:v>
                </c:pt>
                <c:pt idx="25">
                  <c:v>4.2439230501565839E-3</c:v>
                </c:pt>
                <c:pt idx="26">
                  <c:v>7.8261885293774095E-3</c:v>
                </c:pt>
                <c:pt idx="27">
                  <c:v>3.8344284334702996E-3</c:v>
                </c:pt>
                <c:pt idx="28">
                  <c:v>2.7987701840030041E-3</c:v>
                </c:pt>
                <c:pt idx="29">
                  <c:v>6.4046760353189906E-3</c:v>
                </c:pt>
                <c:pt idx="30">
                  <c:v>3.7157691133055076E-3</c:v>
                </c:pt>
                <c:pt idx="31">
                  <c:v>8.2282093543773697E-3</c:v>
                </c:pt>
                <c:pt idx="32">
                  <c:v>3.960732004118693E-3</c:v>
                </c:pt>
                <c:pt idx="33">
                  <c:v>2.0100280520398473E-3</c:v>
                </c:pt>
                <c:pt idx="34">
                  <c:v>5.1939513477975013E-3</c:v>
                </c:pt>
                <c:pt idx="35">
                  <c:v>6.8852027382833069E-3</c:v>
                </c:pt>
                <c:pt idx="36">
                  <c:v>1.2038244241634072E-2</c:v>
                </c:pt>
                <c:pt idx="37">
                  <c:v>2.3280135960016494E-3</c:v>
                </c:pt>
                <c:pt idx="38">
                  <c:v>3.7818873758696555E-3</c:v>
                </c:pt>
                <c:pt idx="39">
                  <c:v>7.8900723125911749E-3</c:v>
                </c:pt>
                <c:pt idx="40">
                  <c:v>5.1540047386073422E-3</c:v>
                </c:pt>
                <c:pt idx="41">
                  <c:v>1.4348198375413667E-3</c:v>
                </c:pt>
                <c:pt idx="42">
                  <c:v>6.5302778380201933E-3</c:v>
                </c:pt>
                <c:pt idx="43">
                  <c:v>9.0792625187990864E-3</c:v>
                </c:pt>
                <c:pt idx="44">
                  <c:v>2.9814935695005556E-3</c:v>
                </c:pt>
                <c:pt idx="45">
                  <c:v>6.2397756485160086E-3</c:v>
                </c:pt>
                <c:pt idx="46">
                  <c:v>1.4351099955706482E-3</c:v>
                </c:pt>
                <c:pt idx="47">
                  <c:v>2.0509887813384732E-3</c:v>
                </c:pt>
                <c:pt idx="48">
                  <c:v>2.5507605115104954E-3</c:v>
                </c:pt>
                <c:pt idx="49">
                  <c:v>2.6547884187082403E-3</c:v>
                </c:pt>
                <c:pt idx="50">
                  <c:v>4.1466368206671319E-3</c:v>
                </c:pt>
                <c:pt idx="51">
                  <c:v>3.7470607409939207E-3</c:v>
                </c:pt>
                <c:pt idx="52">
                  <c:v>9.6542972769051369E-3</c:v>
                </c:pt>
                <c:pt idx="53">
                  <c:v>1.5942232850377457E-3</c:v>
                </c:pt>
                <c:pt idx="54">
                  <c:v>5.1721119722456512E-3</c:v>
                </c:pt>
                <c:pt idx="55">
                  <c:v>2.1127444317144686E-3</c:v>
                </c:pt>
                <c:pt idx="56">
                  <c:v>1.208595326242385E-2</c:v>
                </c:pt>
                <c:pt idx="57">
                  <c:v>2.6668250067122413E-3</c:v>
                </c:pt>
                <c:pt idx="58">
                  <c:v>1.5181988769584942E-3</c:v>
                </c:pt>
                <c:pt idx="59">
                  <c:v>3.1852844079273504E-3</c:v>
                </c:pt>
                <c:pt idx="60">
                  <c:v>1.0981480529715098E-2</c:v>
                </c:pt>
                <c:pt idx="61">
                  <c:v>1.8650998332996943E-3</c:v>
                </c:pt>
                <c:pt idx="62">
                  <c:v>6.0271996703070265E-3</c:v>
                </c:pt>
                <c:pt idx="63">
                  <c:v>1.823480339105339E-3</c:v>
                </c:pt>
                <c:pt idx="64">
                  <c:v>3.9399561477483558E-3</c:v>
                </c:pt>
                <c:pt idx="65">
                  <c:v>3.6710630280192063E-3</c:v>
                </c:pt>
                <c:pt idx="66">
                  <c:v>1.7666324429429343E-3</c:v>
                </c:pt>
              </c:numCache>
            </c:numRef>
          </c:val>
          <c:smooth val="0"/>
          <c:extLst>
            <c:ext xmlns:c16="http://schemas.microsoft.com/office/drawing/2014/chart" uri="{C3380CC4-5D6E-409C-BE32-E72D297353CC}">
              <c16:uniqueId val="{00000001-529E-46A1-B537-5EDA0EF878AC}"/>
            </c:ext>
          </c:extLst>
        </c:ser>
        <c:ser>
          <c:idx val="2"/>
          <c:order val="2"/>
          <c:tx>
            <c:strRef>
              <c:f>'Weekly Follower Growth Trend'!$D$3:$D$4</c:f>
              <c:strCache>
                <c:ptCount val="1"/>
                <c:pt idx="0">
                  <c:v>Youtube</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'Weekly Follower Growth Trend'!$A$5:$A$72</c:f>
              <c:strCache>
                <c:ptCount val="67"/>
                <c:pt idx="0">
                  <c:v>2024-06-03</c:v>
                </c:pt>
                <c:pt idx="1">
                  <c:v>2024-06-10</c:v>
                </c:pt>
                <c:pt idx="2">
                  <c:v>2024-06-17</c:v>
                </c:pt>
                <c:pt idx="3">
                  <c:v>2024-06-24</c:v>
                </c:pt>
                <c:pt idx="4">
                  <c:v>2024-07-01</c:v>
                </c:pt>
                <c:pt idx="5">
                  <c:v>2024-07-08</c:v>
                </c:pt>
                <c:pt idx="6">
                  <c:v>2024-07-15</c:v>
                </c:pt>
                <c:pt idx="7">
                  <c:v>2024-07-22</c:v>
                </c:pt>
                <c:pt idx="8">
                  <c:v>2024-07-29</c:v>
                </c:pt>
                <c:pt idx="9">
                  <c:v>2024-08-05</c:v>
                </c:pt>
                <c:pt idx="10">
                  <c:v>2024-08-12</c:v>
                </c:pt>
                <c:pt idx="11">
                  <c:v>2024-08-19</c:v>
                </c:pt>
                <c:pt idx="12">
                  <c:v>2024-08-26</c:v>
                </c:pt>
                <c:pt idx="13">
                  <c:v>2024-09-02</c:v>
                </c:pt>
                <c:pt idx="14">
                  <c:v>2024-09-09</c:v>
                </c:pt>
                <c:pt idx="15">
                  <c:v>2024-09-16</c:v>
                </c:pt>
                <c:pt idx="16">
                  <c:v>2024-09-23</c:v>
                </c:pt>
                <c:pt idx="17">
                  <c:v>2024-09-30</c:v>
                </c:pt>
                <c:pt idx="18">
                  <c:v>2024-10-07</c:v>
                </c:pt>
                <c:pt idx="19">
                  <c:v>2024-10-14</c:v>
                </c:pt>
                <c:pt idx="20">
                  <c:v>2024-10-21</c:v>
                </c:pt>
                <c:pt idx="21">
                  <c:v>2024-10-28</c:v>
                </c:pt>
                <c:pt idx="22">
                  <c:v>2024-11-04</c:v>
                </c:pt>
                <c:pt idx="23">
                  <c:v>2024-11-11</c:v>
                </c:pt>
                <c:pt idx="24">
                  <c:v>2024-11-18</c:v>
                </c:pt>
                <c:pt idx="25">
                  <c:v>2024-11-25</c:v>
                </c:pt>
                <c:pt idx="26">
                  <c:v>2024-12-02</c:v>
                </c:pt>
                <c:pt idx="27">
                  <c:v>2024-12-09</c:v>
                </c:pt>
                <c:pt idx="28">
                  <c:v>2024-12-16</c:v>
                </c:pt>
                <c:pt idx="29">
                  <c:v>2024-12-23</c:v>
                </c:pt>
                <c:pt idx="30">
                  <c:v>2024-12-30</c:v>
                </c:pt>
                <c:pt idx="31">
                  <c:v>2025-01-06</c:v>
                </c:pt>
                <c:pt idx="32">
                  <c:v>2025-01-13</c:v>
                </c:pt>
                <c:pt idx="33">
                  <c:v>2025-01-20</c:v>
                </c:pt>
                <c:pt idx="34">
                  <c:v>2025-01-27</c:v>
                </c:pt>
                <c:pt idx="35">
                  <c:v>2025-02-03</c:v>
                </c:pt>
                <c:pt idx="36">
                  <c:v>2025-02-10</c:v>
                </c:pt>
                <c:pt idx="37">
                  <c:v>2025-02-17</c:v>
                </c:pt>
                <c:pt idx="38">
                  <c:v>2025-02-24</c:v>
                </c:pt>
                <c:pt idx="39">
                  <c:v>2025-03-03</c:v>
                </c:pt>
                <c:pt idx="40">
                  <c:v>2025-03-10</c:v>
                </c:pt>
                <c:pt idx="41">
                  <c:v>2025-03-17</c:v>
                </c:pt>
                <c:pt idx="42">
                  <c:v>2025-03-24</c:v>
                </c:pt>
                <c:pt idx="43">
                  <c:v>2025-03-31</c:v>
                </c:pt>
                <c:pt idx="44">
                  <c:v>2025-04-07</c:v>
                </c:pt>
                <c:pt idx="45">
                  <c:v>2025-04-14</c:v>
                </c:pt>
                <c:pt idx="46">
                  <c:v>2025-04-21</c:v>
                </c:pt>
                <c:pt idx="47">
                  <c:v>2025-04-28</c:v>
                </c:pt>
                <c:pt idx="48">
                  <c:v>2025-05-05</c:v>
                </c:pt>
                <c:pt idx="49">
                  <c:v>2025-05-12</c:v>
                </c:pt>
                <c:pt idx="50">
                  <c:v>2025-05-19</c:v>
                </c:pt>
                <c:pt idx="51">
                  <c:v>2025-05-26</c:v>
                </c:pt>
                <c:pt idx="52">
                  <c:v>2025-06-02</c:v>
                </c:pt>
                <c:pt idx="53">
                  <c:v>2025-06-09</c:v>
                </c:pt>
                <c:pt idx="54">
                  <c:v>2025-06-16</c:v>
                </c:pt>
                <c:pt idx="55">
                  <c:v>2025-06-23</c:v>
                </c:pt>
                <c:pt idx="56">
                  <c:v>2025-06-30</c:v>
                </c:pt>
                <c:pt idx="57">
                  <c:v>2025-07-07</c:v>
                </c:pt>
                <c:pt idx="58">
                  <c:v>2025-07-14</c:v>
                </c:pt>
                <c:pt idx="59">
                  <c:v>2025-07-21</c:v>
                </c:pt>
                <c:pt idx="60">
                  <c:v>2025-07-28</c:v>
                </c:pt>
                <c:pt idx="61">
                  <c:v>2025-08-04</c:v>
                </c:pt>
                <c:pt idx="62">
                  <c:v>2025-08-11</c:v>
                </c:pt>
                <c:pt idx="63">
                  <c:v>2025-08-18</c:v>
                </c:pt>
                <c:pt idx="64">
                  <c:v>2025-08-25</c:v>
                </c:pt>
                <c:pt idx="65">
                  <c:v>2025-09-01</c:v>
                </c:pt>
                <c:pt idx="66">
                  <c:v>2025-09-08</c:v>
                </c:pt>
              </c:strCache>
            </c:strRef>
          </c:cat>
          <c:val>
            <c:numRef>
              <c:f>'Weekly Follower Growth Trend'!$D$5:$D$72</c:f>
              <c:numCache>
                <c:formatCode>0.00%</c:formatCode>
                <c:ptCount val="67"/>
                <c:pt idx="0">
                  <c:v>3.176300905893983E-3</c:v>
                </c:pt>
                <c:pt idx="1">
                  <c:v>1.1541771253329111E-3</c:v>
                </c:pt>
                <c:pt idx="2">
                  <c:v>5.1990991422684362E-3</c:v>
                </c:pt>
                <c:pt idx="3">
                  <c:v>5.5548942586200059E-3</c:v>
                </c:pt>
                <c:pt idx="4">
                  <c:v>3.7184126339477423E-3</c:v>
                </c:pt>
                <c:pt idx="5">
                  <c:v>5.7836390843520723E-3</c:v>
                </c:pt>
                <c:pt idx="6">
                  <c:v>4.4074791828765565E-3</c:v>
                </c:pt>
                <c:pt idx="7">
                  <c:v>2.9558125725816196E-3</c:v>
                </c:pt>
                <c:pt idx="8">
                  <c:v>2.4107127645679174E-3</c:v>
                </c:pt>
                <c:pt idx="9">
                  <c:v>2.3829134417695176E-3</c:v>
                </c:pt>
                <c:pt idx="10">
                  <c:v>3.2668165162148292E-3</c:v>
                </c:pt>
                <c:pt idx="11">
                  <c:v>6.1138546368952043E-3</c:v>
                </c:pt>
                <c:pt idx="12">
                  <c:v>4.3018845648676966E-3</c:v>
                </c:pt>
                <c:pt idx="13">
                  <c:v>2.8775171297394605E-3</c:v>
                </c:pt>
                <c:pt idx="14">
                  <c:v>2.3319170287838973E-3</c:v>
                </c:pt>
                <c:pt idx="15">
                  <c:v>2.2541306944976669E-3</c:v>
                </c:pt>
                <c:pt idx="16">
                  <c:v>1.3748256088824177E-3</c:v>
                </c:pt>
                <c:pt idx="17">
                  <c:v>3.2768049617799048E-3</c:v>
                </c:pt>
                <c:pt idx="18">
                  <c:v>8.0878372132944243E-3</c:v>
                </c:pt>
                <c:pt idx="19">
                  <c:v>3.8177207407976638E-3</c:v>
                </c:pt>
                <c:pt idx="20">
                  <c:v>7.2173750633688196E-3</c:v>
                </c:pt>
                <c:pt idx="21">
                  <c:v>3.6774665438586984E-3</c:v>
                </c:pt>
                <c:pt idx="22">
                  <c:v>8.0175996088975802E-3</c:v>
                </c:pt>
                <c:pt idx="23">
                  <c:v>4.6556860536239985E-3</c:v>
                </c:pt>
                <c:pt idx="24">
                  <c:v>2.0449775112443779E-3</c:v>
                </c:pt>
                <c:pt idx="25">
                  <c:v>5.8524314976443207E-3</c:v>
                </c:pt>
                <c:pt idx="26">
                  <c:v>2.0028848369668811E-3</c:v>
                </c:pt>
                <c:pt idx="27">
                  <c:v>3.2086280175382597E-3</c:v>
                </c:pt>
                <c:pt idx="28">
                  <c:v>7.8332145402708487E-3</c:v>
                </c:pt>
                <c:pt idx="29">
                  <c:v>2.60081206532016E-3</c:v>
                </c:pt>
                <c:pt idx="30">
                  <c:v>4.3562203906807708E-3</c:v>
                </c:pt>
                <c:pt idx="31">
                  <c:v>2.8057492705051896E-3</c:v>
                </c:pt>
                <c:pt idx="32">
                  <c:v>2.9568975321278288E-3</c:v>
                </c:pt>
                <c:pt idx="33">
                  <c:v>2.5280739012313877E-3</c:v>
                </c:pt>
                <c:pt idx="34">
                  <c:v>3.685623501752981E-3</c:v>
                </c:pt>
                <c:pt idx="35">
                  <c:v>1.1697559866836308E-3</c:v>
                </c:pt>
                <c:pt idx="36">
                  <c:v>1.9357425118836263E-3</c:v>
                </c:pt>
                <c:pt idx="37">
                  <c:v>1.0583174536168594E-3</c:v>
                </c:pt>
                <c:pt idx="38">
                  <c:v>1.8949662755644234E-3</c:v>
                </c:pt>
                <c:pt idx="39">
                  <c:v>1.7409229805475531E-3</c:v>
                </c:pt>
                <c:pt idx="40">
                  <c:v>2.2450476889214967E-3</c:v>
                </c:pt>
                <c:pt idx="41">
                  <c:v>4.2810298761233904E-3</c:v>
                </c:pt>
                <c:pt idx="42">
                  <c:v>3.2720751898231166E-3</c:v>
                </c:pt>
                <c:pt idx="43">
                  <c:v>6.7594964249334932E-3</c:v>
                </c:pt>
                <c:pt idx="44">
                  <c:v>3.6902252215116576E-3</c:v>
                </c:pt>
                <c:pt idx="45">
                  <c:v>4.6142223427541986E-3</c:v>
                </c:pt>
                <c:pt idx="46">
                  <c:v>3.2565414723670183E-3</c:v>
                </c:pt>
                <c:pt idx="47">
                  <c:v>2.9339148299662998E-3</c:v>
                </c:pt>
                <c:pt idx="48">
                  <c:v>1.9790880672631238E-3</c:v>
                </c:pt>
                <c:pt idx="49">
                  <c:v>1.4915157677349929E-3</c:v>
                </c:pt>
                <c:pt idx="50">
                  <c:v>7.5491490264485411E-3</c:v>
                </c:pt>
                <c:pt idx="51">
                  <c:v>2.005770990217468E-3</c:v>
                </c:pt>
                <c:pt idx="52">
                  <c:v>4.9181461441388493E-3</c:v>
                </c:pt>
                <c:pt idx="53">
                  <c:v>4.1211031333606603E-3</c:v>
                </c:pt>
                <c:pt idx="54">
                  <c:v>5.4388566363352828E-3</c:v>
                </c:pt>
                <c:pt idx="55">
                  <c:v>3.3553365983339462E-3</c:v>
                </c:pt>
                <c:pt idx="56">
                  <c:v>6.4765009508285796E-3</c:v>
                </c:pt>
                <c:pt idx="57">
                  <c:v>3.1694785125105812E-3</c:v>
                </c:pt>
                <c:pt idx="58">
                  <c:v>2.6388003437092886E-3</c:v>
                </c:pt>
                <c:pt idx="59">
                  <c:v>3.2454858113287115E-3</c:v>
                </c:pt>
                <c:pt idx="60">
                  <c:v>1.7084647221127316E-2</c:v>
                </c:pt>
                <c:pt idx="61">
                  <c:v>3.9299078763469142E-3</c:v>
                </c:pt>
                <c:pt idx="62">
                  <c:v>6.6042394102916796E-3</c:v>
                </c:pt>
                <c:pt idx="63">
                  <c:v>5.5270456327116777E-3</c:v>
                </c:pt>
                <c:pt idx="64">
                  <c:v>3.5959985838152297E-3</c:v>
                </c:pt>
                <c:pt idx="65">
                  <c:v>7.9729048800556194E-4</c:v>
                </c:pt>
              </c:numCache>
            </c:numRef>
          </c:val>
          <c:smooth val="0"/>
          <c:extLst>
            <c:ext xmlns:c16="http://schemas.microsoft.com/office/drawing/2014/chart" uri="{C3380CC4-5D6E-409C-BE32-E72D297353CC}">
              <c16:uniqueId val="{00000002-529E-46A1-B537-5EDA0EF878AC}"/>
            </c:ext>
          </c:extLst>
        </c:ser>
        <c:dLbls>
          <c:showLegendKey val="0"/>
          <c:showVal val="0"/>
          <c:showCatName val="0"/>
          <c:showSerName val="0"/>
          <c:showPercent val="0"/>
          <c:showBubbleSize val="0"/>
        </c:dLbls>
        <c:marker val="1"/>
        <c:smooth val="0"/>
        <c:axId val="1684759215"/>
        <c:axId val="1684752495"/>
      </c:lineChart>
      <c:dateAx>
        <c:axId val="168475921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4752495"/>
        <c:crosses val="autoZero"/>
        <c:auto val="0"/>
        <c:lblOffset val="100"/>
        <c:baseTimeUnit val="days"/>
        <c:majorUnit val="4"/>
        <c:minorUnit val="1"/>
      </c:dateAx>
      <c:valAx>
        <c:axId val="1684752495"/>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4759215"/>
        <c:crosses val="autoZero"/>
        <c:crossBetween val="between"/>
        <c:majorUnit val="5.000000000000001E-3"/>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3 - Platform Performance.xlsx.xlsx]Ad Spend vs. Engagement!PivotTable9</c:name>
    <c:fmtId val="0"/>
  </c:pivotSource>
  <c:chart>
    <c:autoTitleDeleted val="1"/>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'Ad Spend vs. Engagement'!$H$7</c:f>
              <c:strCache>
                <c:ptCount val="1"/>
                <c:pt idx="0">
                  <c:v>Sum of Ad_Spend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 Spend vs. Engagement'!$F$8:$F$11</c:f>
              <c:strCache>
                <c:ptCount val="3"/>
                <c:pt idx="0">
                  <c:v>Instagram</c:v>
                </c:pt>
                <c:pt idx="1">
                  <c:v>Twitter</c:v>
                </c:pt>
                <c:pt idx="2">
                  <c:v>Youtube</c:v>
                </c:pt>
              </c:strCache>
            </c:strRef>
          </c:cat>
          <c:val>
            <c:numRef>
              <c:f>'Ad Spend vs. Engagement'!$H$8:$H$11</c:f>
              <c:numCache>
                <c:formatCode>0</c:formatCode>
                <c:ptCount val="3"/>
                <c:pt idx="0">
                  <c:v>1035942</c:v>
                </c:pt>
                <c:pt idx="1">
                  <c:v>1114204</c:v>
                </c:pt>
                <c:pt idx="2">
                  <c:v>1065782</c:v>
                </c:pt>
              </c:numCache>
            </c:numRef>
          </c:val>
          <c:extLst>
            <c:ext xmlns:c16="http://schemas.microsoft.com/office/drawing/2014/chart" uri="{C3380CC4-5D6E-409C-BE32-E72D297353CC}">
              <c16:uniqueId val="{00000001-63D6-400B-8275-3121641D27A9}"/>
            </c:ext>
          </c:extLst>
        </c:ser>
        <c:dLbls>
          <c:showLegendKey val="0"/>
          <c:showVal val="1"/>
          <c:showCatName val="0"/>
          <c:showSerName val="0"/>
          <c:showPercent val="0"/>
          <c:showBubbleSize val="0"/>
        </c:dLbls>
        <c:gapWidth val="219"/>
        <c:axId val="18045088"/>
        <c:axId val="18045568"/>
      </c:barChart>
      <c:lineChart>
        <c:grouping val="standard"/>
        <c:varyColors val="0"/>
        <c:ser>
          <c:idx val="0"/>
          <c:order val="0"/>
          <c:tx>
            <c:strRef>
              <c:f>'Ad Spend vs. Engagement'!$G$7</c:f>
              <c:strCache>
                <c:ptCount val="1"/>
                <c:pt idx="0">
                  <c:v>Sum of Engagement_Rate</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 Spend vs. Engagement'!$F$8:$F$11</c:f>
              <c:strCache>
                <c:ptCount val="3"/>
                <c:pt idx="0">
                  <c:v>Instagram</c:v>
                </c:pt>
                <c:pt idx="1">
                  <c:v>Twitter</c:v>
                </c:pt>
                <c:pt idx="2">
                  <c:v>Youtube</c:v>
                </c:pt>
              </c:strCache>
            </c:strRef>
          </c:cat>
          <c:val>
            <c:numRef>
              <c:f>'Ad Spend vs. Engagement'!$G$8:$G$11</c:f>
              <c:numCache>
                <c:formatCode>0</c:formatCode>
                <c:ptCount val="3"/>
                <c:pt idx="0">
                  <c:v>432.70000000000016</c:v>
                </c:pt>
                <c:pt idx="1">
                  <c:v>461.34</c:v>
                </c:pt>
                <c:pt idx="2">
                  <c:v>443.44999999999993</c:v>
                </c:pt>
              </c:numCache>
            </c:numRef>
          </c:val>
          <c:smooth val="0"/>
          <c:extLst>
            <c:ext xmlns:c16="http://schemas.microsoft.com/office/drawing/2014/chart" uri="{C3380CC4-5D6E-409C-BE32-E72D297353CC}">
              <c16:uniqueId val="{00000000-63D6-400B-8275-3121641D27A9}"/>
            </c:ext>
          </c:extLst>
        </c:ser>
        <c:dLbls>
          <c:showLegendKey val="0"/>
          <c:showVal val="1"/>
          <c:showCatName val="0"/>
          <c:showSerName val="0"/>
          <c:showPercent val="0"/>
          <c:showBubbleSize val="0"/>
        </c:dLbls>
        <c:marker val="1"/>
        <c:smooth val="0"/>
        <c:axId val="460911920"/>
        <c:axId val="460900880"/>
      </c:lineChart>
      <c:catAx>
        <c:axId val="18045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45568"/>
        <c:crosses val="autoZero"/>
        <c:auto val="1"/>
        <c:lblAlgn val="ctr"/>
        <c:lblOffset val="100"/>
        <c:noMultiLvlLbl val="0"/>
      </c:catAx>
      <c:valAx>
        <c:axId val="180455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45088"/>
        <c:crosses val="autoZero"/>
        <c:crossBetween val="between"/>
      </c:valAx>
      <c:valAx>
        <c:axId val="460900880"/>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911920"/>
        <c:crosses val="max"/>
        <c:crossBetween val="between"/>
      </c:valAx>
      <c:catAx>
        <c:axId val="460911920"/>
        <c:scaling>
          <c:orientation val="minMax"/>
        </c:scaling>
        <c:delete val="1"/>
        <c:axPos val="b"/>
        <c:numFmt formatCode="General" sourceLinked="1"/>
        <c:majorTickMark val="out"/>
        <c:minorTickMark val="none"/>
        <c:tickLblPos val="nextTo"/>
        <c:crossAx val="460900880"/>
        <c:crosses val="autoZero"/>
        <c:auto val="1"/>
        <c:lblAlgn val="ctr"/>
        <c:lblOffset val="100"/>
        <c:noMultiLvlLbl val="0"/>
      </c:catAx>
      <c:spPr>
        <a:solidFill>
          <a:schemeClr val="tx2">
            <a:lumMod val="20000"/>
            <a:lumOff val="8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5</xdr:col>
      <xdr:colOff>600076</xdr:colOff>
      <xdr:row>32</xdr:row>
      <xdr:rowOff>9525</xdr:rowOff>
    </xdr:from>
    <xdr:ext cx="7315200" cy="1190625"/>
    <xdr:sp macro="" textlink="">
      <xdr:nvSpPr>
        <xdr:cNvPr id="3" name="TextBox 2">
          <a:extLst>
            <a:ext uri="{FF2B5EF4-FFF2-40B4-BE49-F238E27FC236}">
              <a16:creationId xmlns:a16="http://schemas.microsoft.com/office/drawing/2014/main" id="{5EAE1EEE-6469-ED85-3D42-01BD0346A03E}"/>
            </a:ext>
          </a:extLst>
        </xdr:cNvPr>
        <xdr:cNvSpPr txBox="1"/>
      </xdr:nvSpPr>
      <xdr:spPr>
        <a:xfrm>
          <a:off x="4962526" y="6153150"/>
          <a:ext cx="7315200" cy="1190625"/>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1"/>
            <a:t>1. Twitter shows the highest overall follower growth over time. It consistently performs better than Instagram and YouTube every week.  </a:t>
          </a:r>
        </a:p>
        <a:p>
          <a:endParaRPr lang="en-IN" sz="1200" b="1"/>
        </a:p>
        <a:p>
          <a:r>
            <a:rPr lang="en-IN" sz="1200" b="1"/>
            <a:t>2. Follower growth patterns on Twitter are more unpredictable. This suggests that Twitter gains its audience faster, while Instagram grows more steadily.</a:t>
          </a:r>
        </a:p>
      </xdr:txBody>
    </xdr:sp>
    <xdr:clientData/>
  </xdr:oneCellAnchor>
  <xdr:twoCellAnchor>
    <xdr:from>
      <xdr:col>6</xdr:col>
      <xdr:colOff>11906</xdr:colOff>
      <xdr:row>1</xdr:row>
      <xdr:rowOff>440531</xdr:rowOff>
    </xdr:from>
    <xdr:to>
      <xdr:col>20</xdr:col>
      <xdr:colOff>166686</xdr:colOff>
      <xdr:row>28</xdr:row>
      <xdr:rowOff>-1</xdr:rowOff>
    </xdr:to>
    <xdr:graphicFrame macro="">
      <xdr:nvGraphicFramePr>
        <xdr:cNvPr id="5" name="Chart 4">
          <a:extLst>
            <a:ext uri="{FF2B5EF4-FFF2-40B4-BE49-F238E27FC236}">
              <a16:creationId xmlns:a16="http://schemas.microsoft.com/office/drawing/2014/main" id="{2EB65835-821C-E44C-FF4A-39ADCF1E6C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607218</xdr:colOff>
      <xdr:row>3</xdr:row>
      <xdr:rowOff>0</xdr:rowOff>
    </xdr:from>
    <xdr:to>
      <xdr:col>18</xdr:col>
      <xdr:colOff>571499</xdr:colOff>
      <xdr:row>20</xdr:row>
      <xdr:rowOff>178594</xdr:rowOff>
    </xdr:to>
    <xdr:graphicFrame macro="">
      <xdr:nvGraphicFramePr>
        <xdr:cNvPr id="3" name="Chart 2">
          <a:extLst>
            <a:ext uri="{FF2B5EF4-FFF2-40B4-BE49-F238E27FC236}">
              <a16:creationId xmlns:a16="http://schemas.microsoft.com/office/drawing/2014/main" id="{066E0979-EE84-297F-78E5-52FA93F96F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4</xdr:col>
      <xdr:colOff>1</xdr:colOff>
      <xdr:row>25</xdr:row>
      <xdr:rowOff>11906</xdr:rowOff>
    </xdr:from>
    <xdr:ext cx="7019924" cy="940594"/>
    <xdr:sp macro="" textlink="">
      <xdr:nvSpPr>
        <xdr:cNvPr id="2" name="TextBox 1">
          <a:extLst>
            <a:ext uri="{FF2B5EF4-FFF2-40B4-BE49-F238E27FC236}">
              <a16:creationId xmlns:a16="http://schemas.microsoft.com/office/drawing/2014/main" id="{4CFE600C-4E7F-3ACF-1537-BF59F12D1195}"/>
            </a:ext>
          </a:extLst>
        </xdr:cNvPr>
        <xdr:cNvSpPr txBox="1"/>
      </xdr:nvSpPr>
      <xdr:spPr>
        <a:xfrm>
          <a:off x="3726657" y="4786312"/>
          <a:ext cx="7019924" cy="940594"/>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1"/>
            <a:t>Maintain a presence on multiple platforms, but focus efforts on Twitter and YouTube. Twitter has the highest total follower growth, and YouTube shows steady, strong weekly growth trends. These two platforms are the best for expanding audience reach. Instagram's growth is relatively modest, suggesting that improvement is needed rather than just more expansion.</a:t>
          </a:r>
        </a:p>
      </xdr:txBody>
    </xdr:sp>
    <xdr:clientData/>
  </xdr:oneCellAnchor>
  <xdr:oneCellAnchor>
    <xdr:from>
      <xdr:col>4</xdr:col>
      <xdr:colOff>0</xdr:colOff>
      <xdr:row>33</xdr:row>
      <xdr:rowOff>0</xdr:rowOff>
    </xdr:from>
    <xdr:ext cx="7010399" cy="1393032"/>
    <xdr:sp macro="" textlink="">
      <xdr:nvSpPr>
        <xdr:cNvPr id="4" name="TextBox 3">
          <a:extLst>
            <a:ext uri="{FF2B5EF4-FFF2-40B4-BE49-F238E27FC236}">
              <a16:creationId xmlns:a16="http://schemas.microsoft.com/office/drawing/2014/main" id="{C9898389-9167-93FE-7F47-542B6C997B3B}"/>
            </a:ext>
          </a:extLst>
        </xdr:cNvPr>
        <xdr:cNvSpPr txBox="1"/>
      </xdr:nvSpPr>
      <xdr:spPr>
        <a:xfrm>
          <a:off x="3726656" y="6441281"/>
          <a:ext cx="7010399" cy="1393032"/>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1"/>
            <a:t>1. Twitter has the highest average ad spend and also provides strong engagement rates, indicating efficient use of budget.  </a:t>
          </a:r>
        </a:p>
        <a:p>
          <a:r>
            <a:rPr lang="en-IN" sz="1200" b="1"/>
            <a:t>2. YouTube reaches similar engagement levels with lower ad spend than Twitter, suggesting better cost efficiency.  </a:t>
          </a:r>
        </a:p>
        <a:p>
          <a:r>
            <a:rPr lang="en-IN" sz="1200" b="1"/>
            <a:t>3. Instagram maintains steady engagement with relatively lower ad spend, making it good for consistent but not aggressive growth campaigns</a:t>
          </a:r>
          <a:r>
            <a:rPr lang="en-IN" sz="1100" b="1"/>
            <a:t>.  </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dabir Lateef" refreshedDate="46072.473386111109" createdVersion="8" refreshedVersion="8" minRefreshableVersion="3" recordCount="200" xr:uid="{A0B52A87-A912-47C0-A665-08EA8E0FCF61}">
  <cacheSource type="worksheet">
    <worksheetSource ref="A1:G201" sheet="Engagement Summary"/>
  </cacheSource>
  <cacheFields count="8">
    <cacheField name="Week_Start_Date" numFmtId="164">
      <sharedItems containsSemiMixedTypes="0" containsNonDate="0" containsDate="1" containsString="0" minDate="2024-06-03T00:00:00" maxDate="2025-09-09T00:00:00" count="67">
        <d v="2024-06-03T00:00:00"/>
        <d v="2024-06-10T00:00:00"/>
        <d v="2024-06-17T00:00:00"/>
        <d v="2024-06-24T00:00:00"/>
        <d v="2024-07-01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d v="2025-05-19T00:00:00"/>
        <d v="2025-05-26T00:00:00"/>
        <d v="2025-06-02T00:00:00"/>
        <d v="2025-06-09T00:00:00"/>
        <d v="2025-06-16T00:00:00"/>
        <d v="2025-06-23T00:00:00"/>
        <d v="2025-06-30T00:00:00"/>
        <d v="2025-07-07T00:00:00"/>
        <d v="2025-07-14T00:00:00"/>
        <d v="2025-07-21T00:00:00"/>
        <d v="2025-07-28T00:00:00"/>
        <d v="2025-08-04T00:00:00"/>
        <d v="2025-08-11T00:00:00"/>
        <d v="2025-08-18T00:00:00"/>
        <d v="2025-08-25T00:00:00"/>
        <d v="2025-09-01T00:00:00"/>
        <d v="2025-09-08T00:00:00"/>
      </sharedItems>
      <fieldGroup par="7"/>
    </cacheField>
    <cacheField name="Platform" numFmtId="0">
      <sharedItems count="3">
        <s v="Instagram"/>
        <s v="Twitter"/>
        <s v="Youtube"/>
      </sharedItems>
    </cacheField>
    <cacheField name="New_Followers" numFmtId="1">
      <sharedItems containsSemiMixedTypes="0" containsString="0" containsNumber="1" containsInteger="1" minValue="503" maxValue="1490"/>
    </cacheField>
    <cacheField name="Unfollows" numFmtId="1">
      <sharedItems containsSemiMixedTypes="0" containsString="0" containsNumber="1" containsInteger="1" minValue="50" maxValue="296"/>
    </cacheField>
    <cacheField name="Total_Followers" numFmtId="1">
      <sharedItems containsSemiMixedTypes="0" containsString="0" containsNumber="1" containsInteger="1" minValue="61445" maxValue="397607"/>
    </cacheField>
    <cacheField name="Engagement_Rate" numFmtId="2">
      <sharedItems containsSemiMixedTypes="0" containsString="0" containsNumber="1" minValue="3.08" maxValue="9.99"/>
    </cacheField>
    <cacheField name="Ad_Spend" numFmtId="1">
      <sharedItems containsSemiMixedTypes="0" containsString="0" containsNumber="1" containsInteger="1" minValue="5281" maxValue="27829"/>
    </cacheField>
    <cacheField name="Days (Week_Start_Date)" numFmtId="0" databaseField="0">
      <fieldGroup base="0">
        <rangePr groupBy="days" startDate="2024-06-03T00:00:00" endDate="2025-09-09T00:00:00" groupInterval="7"/>
        <groupItems count="69">
          <s v="&lt;03-06-2024"/>
          <s v="03-06-2024 - 09-06-2024"/>
          <s v="10-06-2024 - 16-06-2024"/>
          <s v="17-06-2024 - 23-06-2024"/>
          <s v="24-06-2024 - 30-06-2024"/>
          <s v="01-07-2024 - 07-07-2024"/>
          <s v="08-07-2024 - 14-07-2024"/>
          <s v="15-07-2024 - 21-07-2024"/>
          <s v="22-07-2024 - 28-07-2024"/>
          <s v="29-07-2024 - 04-08-2024"/>
          <s v="05-08-2024 - 11-08-2024"/>
          <s v="12-08-2024 - 18-08-2024"/>
          <s v="19-08-2024 - 25-08-2024"/>
          <s v="26-08-2024 - 01-09-2024"/>
          <s v="02-09-2024 - 08-09-2024"/>
          <s v="09-09-2024 - 15-09-2024"/>
          <s v="16-09-2024 - 22-09-2024"/>
          <s v="23-09-2024 - 29-09-2024"/>
          <s v="30-09-2024 - 06-10-2024"/>
          <s v="07-10-2024 - 13-10-2024"/>
          <s v="14-10-2024 - 20-10-2024"/>
          <s v="21-10-2024 - 27-10-2024"/>
          <s v="28-10-2024 - 03-11-2024"/>
          <s v="04-11-2024 - 10-11-2024"/>
          <s v="11-11-2024 - 17-11-2024"/>
          <s v="18-11-2024 - 24-11-2024"/>
          <s v="25-11-2024 - 01-12-2024"/>
          <s v="02-12-2024 - 08-12-2024"/>
          <s v="09-12-2024 - 15-12-2024"/>
          <s v="16-12-2024 - 22-12-2024"/>
          <s v="23-12-2024 - 29-12-2024"/>
          <s v="30-12-2024 - 05-01-2025"/>
          <s v="06-01-2025 - 12-01-2025"/>
          <s v="13-01-2025 - 19-01-2025"/>
          <s v="20-01-2025 - 26-01-2025"/>
          <s v="27-01-2025 - 02-02-2025"/>
          <s v="03-02-2025 - 09-02-2025"/>
          <s v="10-02-2025 - 16-02-2025"/>
          <s v="17-02-2025 - 23-02-2025"/>
          <s v="24-02-2025 - 02-03-2025"/>
          <s v="03-03-2025 - 09-03-2025"/>
          <s v="10-03-2025 - 16-03-2025"/>
          <s v="17-03-2025 - 23-03-2025"/>
          <s v="24-03-2025 - 30-03-2025"/>
          <s v="31-03-2025 - 06-04-2025"/>
          <s v="07-04-2025 - 13-04-2025"/>
          <s v="14-04-2025 - 20-04-2025"/>
          <s v="21-04-2025 - 27-04-2025"/>
          <s v="28-04-2025 - 04-05-2025"/>
          <s v="05-05-2025 - 11-05-2025"/>
          <s v="12-05-2025 - 18-05-2025"/>
          <s v="19-05-2025 - 25-05-2025"/>
          <s v="26-05-2025 - 01-06-2025"/>
          <s v="02-06-2025 - 08-06-2025"/>
          <s v="09-06-2025 - 15-06-2025"/>
          <s v="16-06-2025 - 22-06-2025"/>
          <s v="23-06-2025 - 29-06-2025"/>
          <s v="30-06-2025 - 06-07-2025"/>
          <s v="07-07-2025 - 13-07-2025"/>
          <s v="14-07-2025 - 20-07-2025"/>
          <s v="21-07-2025 - 27-07-2025"/>
          <s v="28-07-2025 - 03-08-2025"/>
          <s v="04-08-2025 - 10-08-2025"/>
          <s v="11-08-2025 - 17-08-2025"/>
          <s v="18-08-2025 - 24-08-2025"/>
          <s v="25-08-2025 - 31-08-2025"/>
          <s v="01-09-2025 - 07-09-2025"/>
          <s v="08-09-2025 - 09-09-2025"/>
          <s v="&gt;09-09-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dabir Lateef" refreshedDate="46072.473387384256" createdVersion="8" refreshedVersion="8" minRefreshableVersion="3" recordCount="200" xr:uid="{93E387D2-F644-4878-B62F-E3DCF7C4C9F7}">
  <cacheSource type="worksheet">
    <worksheetSource name="Table2"/>
  </cacheSource>
  <cacheFields count="3">
    <cacheField name="Platform" numFmtId="0">
      <sharedItems count="3">
        <s v="Instagram"/>
        <s v="Twitter"/>
        <s v="Youtube"/>
      </sharedItems>
    </cacheField>
    <cacheField name="Engagement_Rate" numFmtId="2">
      <sharedItems containsSemiMixedTypes="0" containsString="0" containsNumber="1" minValue="3.08" maxValue="9.99"/>
    </cacheField>
    <cacheField name="Ad_Spend" numFmtId="1">
      <sharedItems containsSemiMixedTypes="0" containsString="0" containsNumber="1" containsInteger="1" minValue="5281" maxValue="27829"/>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dabir Lateef" refreshedDate="46072.474606828706" createdVersion="8" refreshedVersion="8" minRefreshableVersion="3" recordCount="200" xr:uid="{F56BA0C8-3B29-4742-9451-D3624DB96AC2}">
  <cacheSource type="worksheet">
    <worksheetSource name="Table5"/>
  </cacheSource>
  <cacheFields count="12">
    <cacheField name="Week_Start_Date" numFmtId="164">
      <sharedItems containsSemiMixedTypes="0" containsNonDate="0" containsDate="1" containsString="0" minDate="2024-06-03T00:00:00" maxDate="2025-09-09T00:00:00" count="67">
        <d v="2024-06-03T00:00:00"/>
        <d v="2024-06-10T00:00:00"/>
        <d v="2024-06-17T00:00:00"/>
        <d v="2024-06-24T00:00:00"/>
        <d v="2024-07-01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d v="2025-05-19T00:00:00"/>
        <d v="2025-05-26T00:00:00"/>
        <d v="2025-06-02T00:00:00"/>
        <d v="2025-06-09T00:00:00"/>
        <d v="2025-06-16T00:00:00"/>
        <d v="2025-06-23T00:00:00"/>
        <d v="2025-06-30T00:00:00"/>
        <d v="2025-07-07T00:00:00"/>
        <d v="2025-07-14T00:00:00"/>
        <d v="2025-07-21T00:00:00"/>
        <d v="2025-07-28T00:00:00"/>
        <d v="2025-08-04T00:00:00"/>
        <d v="2025-08-11T00:00:00"/>
        <d v="2025-08-18T00:00:00"/>
        <d v="2025-08-25T00:00:00"/>
        <d v="2025-09-01T00:00:00"/>
        <d v="2025-09-08T00:00:00"/>
      </sharedItems>
      <fieldGroup par="11"/>
    </cacheField>
    <cacheField name="Platform" numFmtId="0">
      <sharedItems count="3">
        <s v="Instagram"/>
        <s v="Twitter"/>
        <s v="Youtube"/>
      </sharedItems>
    </cacheField>
    <cacheField name="New_Followers" numFmtId="1">
      <sharedItems containsSemiMixedTypes="0" containsString="0" containsNumber="1" containsInteger="1" minValue="503" maxValue="1490"/>
    </cacheField>
    <cacheField name="Unfollows" numFmtId="1">
      <sharedItems containsSemiMixedTypes="0" containsString="0" containsNumber="1" containsInteger="1" minValue="50" maxValue="296"/>
    </cacheField>
    <cacheField name="Total_Followers" numFmtId="1">
      <sharedItems containsSemiMixedTypes="0" containsString="0" containsNumber="1" containsInteger="1" minValue="61445" maxValue="397607"/>
    </cacheField>
    <cacheField name="Engagement_Rate" numFmtId="2">
      <sharedItems containsSemiMixedTypes="0" containsString="0" containsNumber="1" minValue="3.08" maxValue="9.99"/>
    </cacheField>
    <cacheField name="Ad_Spend" numFmtId="1">
      <sharedItems containsSemiMixedTypes="0" containsString="0" containsNumber="1" containsInteger="1" minValue="5281" maxValue="27829"/>
    </cacheField>
    <cacheField name="Net_Followers" numFmtId="1">
      <sharedItems containsSemiMixedTypes="0" containsString="0" containsNumber="1" containsInteger="1" minValue="250" maxValue="1397"/>
    </cacheField>
    <cacheField name="follower growth rate " numFmtId="10">
      <sharedItems containsSemiMixedTypes="0" containsString="0" containsNumber="1" minValue="7.9729048800556194E-4" maxValue="1.7836234485988603E-2"/>
    </cacheField>
    <cacheField name="Months (Week_Start_Date)" numFmtId="0" databaseField="0">
      <fieldGroup base="0">
        <rangePr groupBy="months" startDate="2024-06-03T00:00:00" endDate="2025-09-09T00:00:00"/>
        <groupItems count="14">
          <s v="&lt;03-06-2024"/>
          <s v="Jan"/>
          <s v="Feb"/>
          <s v="Mar"/>
          <s v="Apr"/>
          <s v="May"/>
          <s v="Jun"/>
          <s v="Jul"/>
          <s v="Aug"/>
          <s v="Sep"/>
          <s v="Oct"/>
          <s v="Nov"/>
          <s v="Dec"/>
          <s v="&gt;09-09-2025"/>
        </groupItems>
      </fieldGroup>
    </cacheField>
    <cacheField name="Quarters (Week_Start_Date)" numFmtId="0" databaseField="0">
      <fieldGroup base="0">
        <rangePr groupBy="quarters" startDate="2024-06-03T00:00:00" endDate="2025-09-09T00:00:00"/>
        <groupItems count="6">
          <s v="&lt;03-06-2024"/>
          <s v="Qtr1"/>
          <s v="Qtr2"/>
          <s v="Qtr3"/>
          <s v="Qtr4"/>
          <s v="&gt;09-09-2025"/>
        </groupItems>
      </fieldGroup>
    </cacheField>
    <cacheField name="Years (Week_Start_Date)" numFmtId="0" databaseField="0">
      <fieldGroup base="0">
        <rangePr groupBy="years" startDate="2024-06-03T00:00:00" endDate="2025-09-09T00:00:00"/>
        <groupItems count="4">
          <s v="&lt;03-06-2024"/>
          <s v="2024"/>
          <s v="2025"/>
          <s v="&gt;09-09-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n v="1402"/>
    <n v="68"/>
    <n v="124562"/>
    <n v="9.92"/>
    <n v="23125"/>
  </r>
  <r>
    <x v="0"/>
    <x v="1"/>
    <n v="995"/>
    <n v="86"/>
    <n v="227958"/>
    <n v="8.0500000000000007"/>
    <n v="22788"/>
  </r>
  <r>
    <x v="0"/>
    <x v="2"/>
    <n v="1472"/>
    <n v="296"/>
    <n v="370242"/>
    <n v="7.72"/>
    <n v="7810"/>
  </r>
  <r>
    <x v="1"/>
    <x v="0"/>
    <n v="1018"/>
    <n v="90"/>
    <n v="92474"/>
    <n v="9.4"/>
    <n v="11966"/>
  </r>
  <r>
    <x v="1"/>
    <x v="1"/>
    <n v="1461"/>
    <n v="64"/>
    <n v="328902"/>
    <n v="9.02"/>
    <n v="26298"/>
  </r>
  <r>
    <x v="1"/>
    <x v="2"/>
    <n v="545"/>
    <n v="93"/>
    <n v="391621"/>
    <n v="9.9600000000000009"/>
    <n v="22029"/>
  </r>
  <r>
    <x v="2"/>
    <x v="0"/>
    <n v="881"/>
    <n v="291"/>
    <n v="95885"/>
    <n v="5.29"/>
    <n v="12391"/>
  </r>
  <r>
    <x v="2"/>
    <x v="1"/>
    <n v="1414"/>
    <n v="131"/>
    <n v="245947"/>
    <n v="8.3000000000000007"/>
    <n v="14477"/>
  </r>
  <r>
    <x v="2"/>
    <x v="2"/>
    <n v="1472"/>
    <n v="170"/>
    <n v="250428"/>
    <n v="4.66"/>
    <n v="25040"/>
  </r>
  <r>
    <x v="3"/>
    <x v="0"/>
    <n v="809"/>
    <n v="197"/>
    <n v="87186"/>
    <n v="9.48"/>
    <n v="22619"/>
  </r>
  <r>
    <x v="3"/>
    <x v="1"/>
    <n v="1371"/>
    <n v="250"/>
    <n v="128620"/>
    <n v="7.11"/>
    <n v="12399"/>
  </r>
  <r>
    <x v="3"/>
    <x v="2"/>
    <n v="844"/>
    <n v="144"/>
    <n v="126015"/>
    <n v="9.65"/>
    <n v="22456"/>
  </r>
  <r>
    <x v="4"/>
    <x v="0"/>
    <n v="786"/>
    <n v="72"/>
    <n v="178615"/>
    <n v="5.43"/>
    <n v="19328"/>
  </r>
  <r>
    <x v="4"/>
    <x v="1"/>
    <n v="845"/>
    <n v="250"/>
    <n v="218228"/>
    <n v="4.5199999999999996"/>
    <n v="21107"/>
  </r>
  <r>
    <x v="4"/>
    <x v="2"/>
    <n v="1218"/>
    <n v="101"/>
    <n v="300397"/>
    <n v="4.33"/>
    <n v="12277"/>
  </r>
  <r>
    <x v="5"/>
    <x v="0"/>
    <n v="797"/>
    <n v="130"/>
    <n v="340121"/>
    <n v="8.52"/>
    <n v="11684"/>
  </r>
  <r>
    <x v="5"/>
    <x v="1"/>
    <n v="1471"/>
    <n v="100"/>
    <n v="76866"/>
    <n v="8.5500000000000007"/>
    <n v="14412"/>
  </r>
  <r>
    <x v="5"/>
    <x v="2"/>
    <n v="1253"/>
    <n v="136"/>
    <n v="193131"/>
    <n v="7.99"/>
    <n v="15924"/>
  </r>
  <r>
    <x v="6"/>
    <x v="0"/>
    <n v="616"/>
    <n v="257"/>
    <n v="169665"/>
    <n v="6.31"/>
    <n v="12390"/>
  </r>
  <r>
    <x v="6"/>
    <x v="1"/>
    <n v="1308"/>
    <n v="210"/>
    <n v="263729"/>
    <n v="8.5299999999999994"/>
    <n v="25742"/>
  </r>
  <r>
    <x v="6"/>
    <x v="2"/>
    <n v="981"/>
    <n v="69"/>
    <n v="206921"/>
    <n v="8.42"/>
    <n v="10495"/>
  </r>
  <r>
    <x v="7"/>
    <x v="0"/>
    <n v="866"/>
    <n v="74"/>
    <n v="204121"/>
    <n v="9.34"/>
    <n v="7797"/>
  </r>
  <r>
    <x v="7"/>
    <x v="1"/>
    <n v="547"/>
    <n v="183"/>
    <n v="266350"/>
    <n v="5.65"/>
    <n v="15595"/>
  </r>
  <r>
    <x v="7"/>
    <x v="2"/>
    <n v="1241"/>
    <n v="116"/>
    <n v="380606"/>
    <n v="4.2"/>
    <n v="24617"/>
  </r>
  <r>
    <x v="8"/>
    <x v="0"/>
    <n v="973"/>
    <n v="104"/>
    <n v="376358"/>
    <n v="3.87"/>
    <n v="9847"/>
  </r>
  <r>
    <x v="8"/>
    <x v="1"/>
    <n v="611"/>
    <n v="197"/>
    <n v="79423"/>
    <n v="5.82"/>
    <n v="13644"/>
  </r>
  <r>
    <x v="8"/>
    <x v="2"/>
    <n v="983"/>
    <n v="134"/>
    <n v="352178"/>
    <n v="3.55"/>
    <n v="11421"/>
  </r>
  <r>
    <x v="9"/>
    <x v="0"/>
    <n v="1449"/>
    <n v="96"/>
    <n v="200636"/>
    <n v="9.92"/>
    <n v="15613"/>
  </r>
  <r>
    <x v="9"/>
    <x v="1"/>
    <n v="752"/>
    <n v="170"/>
    <n v="132756"/>
    <n v="8.17"/>
    <n v="23900"/>
  </r>
  <r>
    <x v="9"/>
    <x v="2"/>
    <n v="937"/>
    <n v="179"/>
    <n v="318098"/>
    <n v="5.3"/>
    <n v="5836"/>
  </r>
  <r>
    <x v="10"/>
    <x v="0"/>
    <n v="1060"/>
    <n v="83"/>
    <n v="68724"/>
    <n v="5.98"/>
    <n v="5624"/>
  </r>
  <r>
    <x v="10"/>
    <x v="1"/>
    <n v="1456"/>
    <n v="265"/>
    <n v="115505"/>
    <n v="7.49"/>
    <n v="10311"/>
  </r>
  <r>
    <x v="10"/>
    <x v="2"/>
    <n v="1109"/>
    <n v="205"/>
    <n v="276722"/>
    <n v="9.3800000000000008"/>
    <n v="8274"/>
  </r>
  <r>
    <x v="11"/>
    <x v="0"/>
    <n v="1002"/>
    <n v="93"/>
    <n v="353538"/>
    <n v="5.84"/>
    <n v="6031"/>
  </r>
  <r>
    <x v="11"/>
    <x v="1"/>
    <n v="571"/>
    <n v="189"/>
    <n v="61445"/>
    <n v="5.41"/>
    <n v="27829"/>
  </r>
  <r>
    <x v="11"/>
    <x v="2"/>
    <n v="1240"/>
    <n v="231"/>
    <n v="165035"/>
    <n v="6.05"/>
    <n v="18267"/>
  </r>
  <r>
    <x v="12"/>
    <x v="0"/>
    <n v="1154"/>
    <n v="132"/>
    <n v="194595"/>
    <n v="7.54"/>
    <n v="26624"/>
  </r>
  <r>
    <x v="12"/>
    <x v="1"/>
    <n v="537"/>
    <n v="275"/>
    <n v="236238"/>
    <n v="5.87"/>
    <n v="26644"/>
  </r>
  <r>
    <x v="12"/>
    <x v="2"/>
    <n v="1456"/>
    <n v="290"/>
    <n v="271044"/>
    <n v="7.17"/>
    <n v="13051"/>
  </r>
  <r>
    <x v="13"/>
    <x v="0"/>
    <n v="721"/>
    <n v="206"/>
    <n v="334887"/>
    <n v="6.05"/>
    <n v="14217"/>
  </r>
  <r>
    <x v="13"/>
    <x v="1"/>
    <n v="1098"/>
    <n v="142"/>
    <n v="359150"/>
    <n v="7.51"/>
    <n v="16385"/>
  </r>
  <r>
    <x v="13"/>
    <x v="2"/>
    <n v="1096"/>
    <n v="65"/>
    <n v="358295"/>
    <n v="7.66"/>
    <n v="24548"/>
  </r>
  <r>
    <x v="14"/>
    <x v="0"/>
    <n v="912"/>
    <n v="275"/>
    <n v="368454"/>
    <n v="6.03"/>
    <n v="9195"/>
  </r>
  <r>
    <x v="14"/>
    <x v="1"/>
    <n v="1430"/>
    <n v="162"/>
    <n v="269082"/>
    <n v="3.4"/>
    <n v="18071"/>
  </r>
  <r>
    <x v="14"/>
    <x v="2"/>
    <n v="854"/>
    <n v="129"/>
    <n v="310903"/>
    <n v="7.83"/>
    <n v="16875"/>
  </r>
  <r>
    <x v="15"/>
    <x v="0"/>
    <n v="681"/>
    <n v="210"/>
    <n v="248581"/>
    <n v="8.76"/>
    <n v="9567"/>
  </r>
  <r>
    <x v="15"/>
    <x v="1"/>
    <n v="1373"/>
    <n v="82"/>
    <n v="371015"/>
    <n v="9.52"/>
    <n v="20306"/>
  </r>
  <r>
    <x v="15"/>
    <x v="2"/>
    <n v="685"/>
    <n v="285"/>
    <n v="177452"/>
    <n v="3.36"/>
    <n v="21134"/>
  </r>
  <r>
    <x v="16"/>
    <x v="0"/>
    <n v="1290"/>
    <n v="177"/>
    <n v="80745"/>
    <n v="9.2200000000000006"/>
    <n v="26872"/>
  </r>
  <r>
    <x v="16"/>
    <x v="1"/>
    <n v="1437"/>
    <n v="239"/>
    <n v="362441"/>
    <n v="5.57"/>
    <n v="10253"/>
  </r>
  <r>
    <x v="16"/>
    <x v="2"/>
    <n v="769"/>
    <n v="295"/>
    <n v="344771"/>
    <n v="8.06"/>
    <n v="23963"/>
  </r>
  <r>
    <x v="17"/>
    <x v="0"/>
    <n v="1416"/>
    <n v="284"/>
    <n v="374952"/>
    <n v="3.45"/>
    <n v="11335"/>
  </r>
  <r>
    <x v="17"/>
    <x v="1"/>
    <n v="998"/>
    <n v="154"/>
    <n v="179781"/>
    <n v="9.58"/>
    <n v="12115"/>
  </r>
  <r>
    <x v="17"/>
    <x v="2"/>
    <n v="1421"/>
    <n v="246"/>
    <n v="358581"/>
    <n v="8.8800000000000008"/>
    <n v="24358"/>
  </r>
  <r>
    <x v="18"/>
    <x v="0"/>
    <n v="764"/>
    <n v="205"/>
    <n v="319294"/>
    <n v="6.23"/>
    <n v="12181"/>
  </r>
  <r>
    <x v="18"/>
    <x v="1"/>
    <n v="678"/>
    <n v="124"/>
    <n v="192022"/>
    <n v="8.4499999999999993"/>
    <n v="17729"/>
  </r>
  <r>
    <x v="18"/>
    <x v="2"/>
    <n v="1328"/>
    <n v="103"/>
    <n v="151462"/>
    <n v="8.4"/>
    <n v="10881"/>
  </r>
  <r>
    <x v="19"/>
    <x v="0"/>
    <n v="1161"/>
    <n v="269"/>
    <n v="188193"/>
    <n v="7.34"/>
    <n v="18576"/>
  </r>
  <r>
    <x v="19"/>
    <x v="1"/>
    <n v="588"/>
    <n v="52"/>
    <n v="292040"/>
    <n v="8.14"/>
    <n v="9383"/>
  </r>
  <r>
    <x v="19"/>
    <x v="2"/>
    <n v="1457"/>
    <n v="215"/>
    <n v="325325"/>
    <n v="9.58"/>
    <n v="14178"/>
  </r>
  <r>
    <x v="20"/>
    <x v="0"/>
    <n v="1190"/>
    <n v="242"/>
    <n v="86849"/>
    <n v="8.06"/>
    <n v="21254"/>
  </r>
  <r>
    <x v="20"/>
    <x v="1"/>
    <n v="886"/>
    <n v="124"/>
    <n v="141161"/>
    <n v="8.19"/>
    <n v="14215"/>
  </r>
  <r>
    <x v="20"/>
    <x v="2"/>
    <n v="1237"/>
    <n v="155"/>
    <n v="149916"/>
    <n v="4.4800000000000004"/>
    <n v="16921"/>
  </r>
  <r>
    <x v="21"/>
    <x v="0"/>
    <n v="1435"/>
    <n v="261"/>
    <n v="308533"/>
    <n v="4.5199999999999996"/>
    <n v="25130"/>
  </r>
  <r>
    <x v="21"/>
    <x v="1"/>
    <n v="746"/>
    <n v="282"/>
    <n v="293894"/>
    <n v="5.42"/>
    <n v="25537"/>
  </r>
  <r>
    <x v="21"/>
    <x v="2"/>
    <n v="759"/>
    <n v="216"/>
    <n v="147656"/>
    <n v="4.08"/>
    <n v="24943"/>
  </r>
  <r>
    <x v="22"/>
    <x v="0"/>
    <n v="1437"/>
    <n v="235"/>
    <n v="326791"/>
    <n v="4.0599999999999996"/>
    <n v="14563"/>
  </r>
  <r>
    <x v="22"/>
    <x v="1"/>
    <n v="1463"/>
    <n v="73"/>
    <n v="348877"/>
    <n v="9.91"/>
    <n v="26273"/>
  </r>
  <r>
    <x v="22"/>
    <x v="2"/>
    <n v="1208"/>
    <n v="224"/>
    <n v="122730"/>
    <n v="8.7200000000000006"/>
    <n v="10858"/>
  </r>
  <r>
    <x v="23"/>
    <x v="0"/>
    <n v="1391"/>
    <n v="187"/>
    <n v="306508"/>
    <n v="8.3800000000000008"/>
    <n v="25038"/>
  </r>
  <r>
    <x v="23"/>
    <x v="1"/>
    <n v="655"/>
    <n v="123"/>
    <n v="202472"/>
    <n v="7.56"/>
    <n v="9092"/>
  </r>
  <r>
    <x v="23"/>
    <x v="2"/>
    <n v="1148"/>
    <n v="90"/>
    <n v="227249"/>
    <n v="7.24"/>
    <n v="17662"/>
  </r>
  <r>
    <x v="24"/>
    <x v="0"/>
    <n v="946"/>
    <n v="270"/>
    <n v="246567"/>
    <n v="4.53"/>
    <n v="5924"/>
  </r>
  <r>
    <x v="24"/>
    <x v="1"/>
    <n v="791"/>
    <n v="214"/>
    <n v="114738"/>
    <n v="6.62"/>
    <n v="25347"/>
  </r>
  <r>
    <x v="24"/>
    <x v="2"/>
    <n v="793"/>
    <n v="111"/>
    <n v="333500"/>
    <n v="6.36"/>
    <n v="8910"/>
  </r>
  <r>
    <x v="25"/>
    <x v="0"/>
    <n v="663"/>
    <n v="213"/>
    <n v="352677"/>
    <n v="9"/>
    <n v="20438"/>
  </r>
  <r>
    <x v="25"/>
    <x v="1"/>
    <n v="954"/>
    <n v="271"/>
    <n v="160936"/>
    <n v="8.83"/>
    <n v="8760"/>
  </r>
  <r>
    <x v="25"/>
    <x v="2"/>
    <n v="1313"/>
    <n v="159"/>
    <n v="197183"/>
    <n v="9.7100000000000009"/>
    <n v="6625"/>
  </r>
  <r>
    <x v="26"/>
    <x v="0"/>
    <n v="895"/>
    <n v="87"/>
    <n v="171271"/>
    <n v="6.68"/>
    <n v="23329"/>
  </r>
  <r>
    <x v="26"/>
    <x v="1"/>
    <n v="1027"/>
    <n v="156"/>
    <n v="111293"/>
    <n v="5.51"/>
    <n v="7299"/>
  </r>
  <r>
    <x v="26"/>
    <x v="2"/>
    <n v="990"/>
    <n v="286"/>
    <n v="351493"/>
    <n v="7.97"/>
    <n v="14496"/>
  </r>
  <r>
    <x v="27"/>
    <x v="0"/>
    <n v="875"/>
    <n v="264"/>
    <n v="345631"/>
    <n v="9.18"/>
    <n v="25703"/>
  </r>
  <r>
    <x v="27"/>
    <x v="1"/>
    <n v="599"/>
    <n v="194"/>
    <n v="105622"/>
    <n v="6.44"/>
    <n v="15108"/>
  </r>
  <r>
    <x v="27"/>
    <x v="2"/>
    <n v="630"/>
    <n v="248"/>
    <n v="119054"/>
    <n v="5.0199999999999996"/>
    <n v="18867"/>
  </r>
  <r>
    <x v="28"/>
    <x v="0"/>
    <n v="1350"/>
    <n v="233"/>
    <n v="171670"/>
    <n v="4.53"/>
    <n v="17574"/>
  </r>
  <r>
    <x v="28"/>
    <x v="1"/>
    <n v="632"/>
    <n v="155"/>
    <n v="170432"/>
    <n v="9.17"/>
    <n v="12840"/>
  </r>
  <r>
    <x v="28"/>
    <x v="2"/>
    <n v="1182"/>
    <n v="83"/>
    <n v="140300"/>
    <n v="3.27"/>
    <n v="21079"/>
  </r>
  <r>
    <x v="29"/>
    <x v="0"/>
    <n v="661"/>
    <n v="94"/>
    <n v="116538"/>
    <n v="5.31"/>
    <n v="23486"/>
  </r>
  <r>
    <x v="29"/>
    <x v="1"/>
    <n v="1360"/>
    <n v="227"/>
    <n v="176902"/>
    <n v="6.03"/>
    <n v="5960"/>
  </r>
  <r>
    <x v="29"/>
    <x v="2"/>
    <n v="935"/>
    <n v="85"/>
    <n v="326821"/>
    <n v="8.89"/>
    <n v="13301"/>
  </r>
  <r>
    <x v="30"/>
    <x v="0"/>
    <n v="664"/>
    <n v="251"/>
    <n v="240598"/>
    <n v="4.79"/>
    <n v="10563"/>
  </r>
  <r>
    <x v="30"/>
    <x v="1"/>
    <n v="1490"/>
    <n v="103"/>
    <n v="373274"/>
    <n v="4.8"/>
    <n v="19949"/>
  </r>
  <r>
    <x v="30"/>
    <x v="2"/>
    <n v="601"/>
    <n v="64"/>
    <n v="123272"/>
    <n v="4.07"/>
    <n v="14273"/>
  </r>
  <r>
    <x v="31"/>
    <x v="0"/>
    <n v="613"/>
    <n v="170"/>
    <n v="139266"/>
    <n v="6.06"/>
    <n v="9247"/>
  </r>
  <r>
    <x v="31"/>
    <x v="1"/>
    <n v="1340"/>
    <n v="57"/>
    <n v="155927"/>
    <n v="7.79"/>
    <n v="11972"/>
  </r>
  <r>
    <x v="31"/>
    <x v="2"/>
    <n v="953"/>
    <n v="228"/>
    <n v="258398"/>
    <n v="9.0500000000000007"/>
    <n v="13314"/>
  </r>
  <r>
    <x v="32"/>
    <x v="0"/>
    <n v="532"/>
    <n v="65"/>
    <n v="338561"/>
    <n v="3.5"/>
    <n v="14749"/>
  </r>
  <r>
    <x v="32"/>
    <x v="1"/>
    <n v="1414"/>
    <n v="60"/>
    <n v="341856"/>
    <n v="8.76"/>
    <n v="6868"/>
  </r>
  <r>
    <x v="32"/>
    <x v="2"/>
    <n v="685"/>
    <n v="165"/>
    <n v="175860"/>
    <n v="6.26"/>
    <n v="6027"/>
  </r>
  <r>
    <x v="33"/>
    <x v="0"/>
    <n v="601"/>
    <n v="159"/>
    <n v="327722"/>
    <n v="3.33"/>
    <n v="25267"/>
  </r>
  <r>
    <x v="33"/>
    <x v="1"/>
    <n v="841"/>
    <n v="295"/>
    <n v="271638"/>
    <n v="9.15"/>
    <n v="5900"/>
  </r>
  <r>
    <x v="33"/>
    <x v="2"/>
    <n v="1105"/>
    <n v="261"/>
    <n v="333851"/>
    <n v="6.03"/>
    <n v="11181"/>
  </r>
  <r>
    <x v="34"/>
    <x v="0"/>
    <n v="566"/>
    <n v="225"/>
    <n v="368984"/>
    <n v="9.82"/>
    <n v="9592"/>
  </r>
  <r>
    <x v="34"/>
    <x v="1"/>
    <n v="1149"/>
    <n v="280"/>
    <n v="167310"/>
    <n v="3.7"/>
    <n v="5291"/>
  </r>
  <r>
    <x v="34"/>
    <x v="2"/>
    <n v="819"/>
    <n v="101"/>
    <n v="194811"/>
    <n v="3.35"/>
    <n v="22244"/>
  </r>
  <r>
    <x v="35"/>
    <x v="0"/>
    <n v="795"/>
    <n v="60"/>
    <n v="314982"/>
    <n v="7.31"/>
    <n v="6824"/>
  </r>
  <r>
    <x v="35"/>
    <x v="1"/>
    <n v="681"/>
    <n v="158"/>
    <n v="75960"/>
    <n v="3.13"/>
    <n v="24112"/>
  </r>
  <r>
    <x v="35"/>
    <x v="2"/>
    <n v="534"/>
    <n v="112"/>
    <n v="360759"/>
    <n v="4.8899999999999997"/>
    <n v="25478"/>
  </r>
  <r>
    <x v="36"/>
    <x v="0"/>
    <n v="1066"/>
    <n v="151"/>
    <n v="297090"/>
    <n v="8.6300000000000008"/>
    <n v="11235"/>
  </r>
  <r>
    <x v="36"/>
    <x v="1"/>
    <n v="1270"/>
    <n v="162"/>
    <n v="92040"/>
    <n v="8.0299999999999994"/>
    <n v="6120"/>
  </r>
  <r>
    <x v="36"/>
    <x v="2"/>
    <n v="536"/>
    <n v="198"/>
    <n v="174610"/>
    <n v="7.85"/>
    <n v="20572"/>
  </r>
  <r>
    <x v="37"/>
    <x v="0"/>
    <n v="819"/>
    <n v="95"/>
    <n v="177376"/>
    <n v="6.12"/>
    <n v="14975"/>
  </r>
  <r>
    <x v="37"/>
    <x v="1"/>
    <n v="681"/>
    <n v="218"/>
    <n v="198882"/>
    <n v="7.16"/>
    <n v="22234"/>
  </r>
  <r>
    <x v="37"/>
    <x v="2"/>
    <n v="646"/>
    <n v="290"/>
    <n v="336383"/>
    <n v="7.04"/>
    <n v="6532"/>
  </r>
  <r>
    <x v="38"/>
    <x v="0"/>
    <n v="645"/>
    <n v="267"/>
    <n v="346890"/>
    <n v="3.71"/>
    <n v="24858"/>
  </r>
  <r>
    <x v="38"/>
    <x v="1"/>
    <n v="886"/>
    <n v="250"/>
    <n v="168170"/>
    <n v="4.12"/>
    <n v="13883"/>
  </r>
  <r>
    <x v="38"/>
    <x v="2"/>
    <n v="978"/>
    <n v="279"/>
    <n v="368872"/>
    <n v="6.82"/>
    <n v="18654"/>
  </r>
  <r>
    <x v="39"/>
    <x v="0"/>
    <n v="1444"/>
    <n v="165"/>
    <n v="116436"/>
    <n v="8.2200000000000006"/>
    <n v="25234"/>
  </r>
  <r>
    <x v="39"/>
    <x v="1"/>
    <n v="1234"/>
    <n v="228"/>
    <n v="127502"/>
    <n v="7.71"/>
    <n v="6772"/>
  </r>
  <r>
    <x v="39"/>
    <x v="2"/>
    <n v="665"/>
    <n v="187"/>
    <n v="274567"/>
    <n v="7.39"/>
    <n v="22428"/>
  </r>
  <r>
    <x v="40"/>
    <x v="0"/>
    <n v="631"/>
    <n v="86"/>
    <n v="295090"/>
    <n v="7.89"/>
    <n v="11911"/>
  </r>
  <r>
    <x v="40"/>
    <x v="1"/>
    <n v="1159"/>
    <n v="154"/>
    <n v="194994"/>
    <n v="6.39"/>
    <n v="21900"/>
  </r>
  <r>
    <x v="40"/>
    <x v="2"/>
    <n v="950"/>
    <n v="185"/>
    <n v="340750"/>
    <n v="6.77"/>
    <n v="25542"/>
  </r>
  <r>
    <x v="41"/>
    <x v="0"/>
    <n v="693"/>
    <n v="129"/>
    <n v="296031"/>
    <n v="3.41"/>
    <n v="7140"/>
  </r>
  <r>
    <x v="41"/>
    <x v="1"/>
    <n v="576"/>
    <n v="80"/>
    <n v="345688"/>
    <n v="4.1100000000000003"/>
    <n v="20474"/>
  </r>
  <r>
    <x v="41"/>
    <x v="2"/>
    <n v="1274"/>
    <n v="146"/>
    <n v="263488"/>
    <n v="9.58"/>
    <n v="8698"/>
  </r>
  <r>
    <x v="42"/>
    <x v="0"/>
    <n v="818"/>
    <n v="253"/>
    <n v="184911"/>
    <n v="3.39"/>
    <n v="10402"/>
  </r>
  <r>
    <x v="42"/>
    <x v="1"/>
    <n v="975"/>
    <n v="162"/>
    <n v="124497"/>
    <n v="9.58"/>
    <n v="26618"/>
  </r>
  <r>
    <x v="42"/>
    <x v="2"/>
    <n v="1398"/>
    <n v="97"/>
    <n v="397607"/>
    <n v="5.09"/>
    <n v="7975"/>
  </r>
  <r>
    <x v="43"/>
    <x v="0"/>
    <n v="591"/>
    <n v="155"/>
    <n v="138521"/>
    <n v="7.85"/>
    <n v="19054"/>
  </r>
  <r>
    <x v="43"/>
    <x v="1"/>
    <n v="1232"/>
    <n v="254"/>
    <n v="107718"/>
    <n v="9.7100000000000009"/>
    <n v="13740"/>
  </r>
  <r>
    <x v="43"/>
    <x v="2"/>
    <n v="1425"/>
    <n v="58"/>
    <n v="202234"/>
    <n v="6.67"/>
    <n v="18442"/>
  </r>
  <r>
    <x v="44"/>
    <x v="0"/>
    <n v="1417"/>
    <n v="80"/>
    <n v="340987"/>
    <n v="6.13"/>
    <n v="10104"/>
  </r>
  <r>
    <x v="44"/>
    <x v="1"/>
    <n v="1222"/>
    <n v="208"/>
    <n v="340098"/>
    <n v="7.34"/>
    <n v="21771"/>
  </r>
  <r>
    <x v="44"/>
    <x v="2"/>
    <n v="1071"/>
    <n v="131"/>
    <n v="254727"/>
    <n v="6.87"/>
    <n v="22191"/>
  </r>
  <r>
    <x v="45"/>
    <x v="0"/>
    <n v="772"/>
    <n v="82"/>
    <n v="345659"/>
    <n v="3.52"/>
    <n v="27753"/>
  </r>
  <r>
    <x v="45"/>
    <x v="1"/>
    <n v="1472"/>
    <n v="137"/>
    <n v="213950"/>
    <n v="6.96"/>
    <n v="23736"/>
  </r>
  <r>
    <x v="45"/>
    <x v="2"/>
    <n v="1472"/>
    <n v="281"/>
    <n v="258115"/>
    <n v="7.23"/>
    <n v="27393"/>
  </r>
  <r>
    <x v="46"/>
    <x v="0"/>
    <n v="585"/>
    <n v="232"/>
    <n v="321258"/>
    <n v="7.42"/>
    <n v="10343"/>
  </r>
  <r>
    <x v="46"/>
    <x v="1"/>
    <n v="747"/>
    <n v="261"/>
    <n v="338650"/>
    <n v="7.73"/>
    <n v="25259"/>
  </r>
  <r>
    <x v="46"/>
    <x v="2"/>
    <n v="1113"/>
    <n v="224"/>
    <n v="272989"/>
    <n v="5.13"/>
    <n v="24827"/>
  </r>
  <r>
    <x v="47"/>
    <x v="0"/>
    <n v="1100"/>
    <n v="117"/>
    <n v="260204"/>
    <n v="4.4000000000000004"/>
    <n v="11908"/>
  </r>
  <r>
    <x v="47"/>
    <x v="1"/>
    <n v="751"/>
    <n v="170"/>
    <n v="283278"/>
    <n v="3.49"/>
    <n v="11005"/>
  </r>
  <r>
    <x v="47"/>
    <x v="2"/>
    <n v="864"/>
    <n v="50"/>
    <n v="277445"/>
    <n v="3.57"/>
    <n v="26333"/>
  </r>
  <r>
    <x v="48"/>
    <x v="0"/>
    <n v="1146"/>
    <n v="227"/>
    <n v="353781"/>
    <n v="6.41"/>
    <n v="5495"/>
  </r>
  <r>
    <x v="48"/>
    <x v="1"/>
    <n v="883"/>
    <n v="207"/>
    <n v="265019"/>
    <n v="6.04"/>
    <n v="15655"/>
  </r>
  <r>
    <x v="48"/>
    <x v="2"/>
    <n v="622"/>
    <n v="163"/>
    <n v="231925"/>
    <n v="9.18"/>
    <n v="13763"/>
  </r>
  <r>
    <x v="49"/>
    <x v="0"/>
    <n v="837"/>
    <n v="261"/>
    <n v="366149"/>
    <n v="6.54"/>
    <n v="26073"/>
  </r>
  <r>
    <x v="49"/>
    <x v="1"/>
    <n v="544"/>
    <n v="97"/>
    <n v="168375"/>
    <n v="8.66"/>
    <n v="12774"/>
  </r>
  <r>
    <x v="49"/>
    <x v="2"/>
    <n v="624"/>
    <n v="247"/>
    <n v="252763"/>
    <n v="3.89"/>
    <n v="19000"/>
  </r>
  <r>
    <x v="50"/>
    <x v="0"/>
    <n v="1073"/>
    <n v="141"/>
    <n v="118393"/>
    <n v="7.95"/>
    <n v="14051"/>
  </r>
  <r>
    <x v="50"/>
    <x v="1"/>
    <n v="1430"/>
    <n v="74"/>
    <n v="327012"/>
    <n v="6.66"/>
    <n v="27782"/>
  </r>
  <r>
    <x v="50"/>
    <x v="2"/>
    <n v="1358"/>
    <n v="77"/>
    <n v="169688"/>
    <n v="5.25"/>
    <n v="7859"/>
  </r>
  <r>
    <x v="51"/>
    <x v="0"/>
    <n v="1242"/>
    <n v="201"/>
    <n v="271935"/>
    <n v="5.07"/>
    <n v="15773"/>
  </r>
  <r>
    <x v="51"/>
    <x v="1"/>
    <n v="1389"/>
    <n v="205"/>
    <n v="315981"/>
    <n v="7.62"/>
    <n v="20595"/>
  </r>
  <r>
    <x v="51"/>
    <x v="2"/>
    <n v="826"/>
    <n v="142"/>
    <n v="341016"/>
    <n v="7.44"/>
    <n v="12031"/>
  </r>
  <r>
    <x v="52"/>
    <x v="0"/>
    <n v="618"/>
    <n v="264"/>
    <n v="285164"/>
    <n v="4.8600000000000003"/>
    <n v="15128"/>
  </r>
  <r>
    <x v="52"/>
    <x v="1"/>
    <n v="1419"/>
    <n v="293"/>
    <n v="116632"/>
    <n v="6.93"/>
    <n v="11826"/>
  </r>
  <r>
    <x v="52"/>
    <x v="2"/>
    <n v="637"/>
    <n v="68"/>
    <n v="115694"/>
    <n v="9.99"/>
    <n v="12562"/>
  </r>
  <r>
    <x v="53"/>
    <x v="0"/>
    <n v="917"/>
    <n v="187"/>
    <n v="64444"/>
    <n v="5.22"/>
    <n v="13013"/>
  </r>
  <r>
    <x v="53"/>
    <x v="1"/>
    <n v="810"/>
    <n v="232"/>
    <n v="362559"/>
    <n v="5.17"/>
    <n v="12937"/>
  </r>
  <r>
    <x v="53"/>
    <x v="2"/>
    <n v="1183"/>
    <n v="248"/>
    <n v="226881"/>
    <n v="5.17"/>
    <n v="14534"/>
  </r>
  <r>
    <x v="54"/>
    <x v="0"/>
    <n v="765"/>
    <n v="67"/>
    <n v="283537"/>
    <n v="6.18"/>
    <n v="8182"/>
  </r>
  <r>
    <x v="54"/>
    <x v="1"/>
    <n v="540"/>
    <n v="215"/>
    <n v="62837"/>
    <n v="5.3"/>
    <n v="10615"/>
  </r>
  <r>
    <x v="54"/>
    <x v="2"/>
    <n v="1145"/>
    <n v="151"/>
    <n v="182759"/>
    <n v="5.99"/>
    <n v="20109"/>
  </r>
  <r>
    <x v="55"/>
    <x v="0"/>
    <n v="564"/>
    <n v="244"/>
    <n v="279405"/>
    <n v="8.43"/>
    <n v="26024"/>
  </r>
  <r>
    <x v="55"/>
    <x v="1"/>
    <n v="668"/>
    <n v="124"/>
    <n v="257485"/>
    <n v="7.55"/>
    <n v="26730"/>
  </r>
  <r>
    <x v="55"/>
    <x v="2"/>
    <n v="761"/>
    <n v="241"/>
    <n v="154977"/>
    <n v="5.63"/>
    <n v="10563"/>
  </r>
  <r>
    <x v="56"/>
    <x v="0"/>
    <n v="593"/>
    <n v="108"/>
    <n v="216500"/>
    <n v="4.71"/>
    <n v="27575"/>
  </r>
  <r>
    <x v="56"/>
    <x v="1"/>
    <n v="1349"/>
    <n v="115"/>
    <n v="102102"/>
    <n v="5.28"/>
    <n v="14479"/>
  </r>
  <r>
    <x v="56"/>
    <x v="2"/>
    <n v="693"/>
    <n v="97"/>
    <n v="92025"/>
    <n v="5.95"/>
    <n v="15915"/>
  </r>
  <r>
    <x v="57"/>
    <x v="0"/>
    <n v="974"/>
    <n v="143"/>
    <n v="247965"/>
    <n v="9.98"/>
    <n v="12767"/>
  </r>
  <r>
    <x v="57"/>
    <x v="1"/>
    <n v="1155"/>
    <n v="122"/>
    <n v="387352"/>
    <n v="9.93"/>
    <n v="12170"/>
  </r>
  <r>
    <x v="57"/>
    <x v="2"/>
    <n v="1051"/>
    <n v="246"/>
    <n v="253985"/>
    <n v="9.08"/>
    <n v="7245"/>
  </r>
  <r>
    <x v="58"/>
    <x v="0"/>
    <n v="1457"/>
    <n v="183"/>
    <n v="129640"/>
    <n v="7.98"/>
    <n v="12985"/>
  </r>
  <r>
    <x v="58"/>
    <x v="1"/>
    <n v="670"/>
    <n v="242"/>
    <n v="281913"/>
    <n v="9.6199999999999992"/>
    <n v="16377"/>
  </r>
  <r>
    <x v="58"/>
    <x v="2"/>
    <n v="1111"/>
    <n v="159"/>
    <n v="360770"/>
    <n v="8.7100000000000009"/>
    <n v="11453"/>
  </r>
  <r>
    <x v="59"/>
    <x v="0"/>
    <n v="1197"/>
    <n v="246"/>
    <n v="127273"/>
    <n v="6.69"/>
    <n v="12323"/>
  </r>
  <r>
    <x v="59"/>
    <x v="1"/>
    <n v="754"/>
    <n v="150"/>
    <n v="189622"/>
    <n v="4.25"/>
    <n v="11911"/>
  </r>
  <r>
    <x v="59"/>
    <x v="2"/>
    <n v="1246"/>
    <n v="107"/>
    <n v="350949"/>
    <n v="4.9800000000000004"/>
    <n v="27809"/>
  </r>
  <r>
    <x v="60"/>
    <x v="0"/>
    <n v="780"/>
    <n v="213"/>
    <n v="121431"/>
    <n v="4.97"/>
    <n v="21464"/>
  </r>
  <r>
    <x v="60"/>
    <x v="1"/>
    <n v="1425"/>
    <n v="143"/>
    <n v="116742"/>
    <n v="3.71"/>
    <n v="27126"/>
  </r>
  <r>
    <x v="60"/>
    <x v="2"/>
    <n v="1490"/>
    <n v="103"/>
    <n v="81184"/>
    <n v="7.79"/>
    <n v="10681"/>
  </r>
  <r>
    <x v="61"/>
    <x v="0"/>
    <n v="949"/>
    <n v="282"/>
    <n v="87126"/>
    <n v="4.96"/>
    <n v="5413"/>
  </r>
  <r>
    <x v="61"/>
    <x v="1"/>
    <n v="640"/>
    <n v="141"/>
    <n v="267546"/>
    <n v="8.58"/>
    <n v="25058"/>
  </r>
  <r>
    <x v="61"/>
    <x v="2"/>
    <n v="616"/>
    <n v="93"/>
    <n v="133082"/>
    <n v="8.51"/>
    <n v="18303"/>
  </r>
  <r>
    <x v="62"/>
    <x v="0"/>
    <n v="1080"/>
    <n v="184"/>
    <n v="340557"/>
    <n v="5.41"/>
    <n v="5526"/>
  </r>
  <r>
    <x v="62"/>
    <x v="1"/>
    <n v="938"/>
    <n v="236"/>
    <n v="116472"/>
    <n v="8.7200000000000006"/>
    <n v="17460"/>
  </r>
  <r>
    <x v="62"/>
    <x v="2"/>
    <n v="1007"/>
    <n v="258"/>
    <n v="113412"/>
    <n v="7.71"/>
    <n v="14475"/>
  </r>
  <r>
    <x v="63"/>
    <x v="0"/>
    <n v="541"/>
    <n v="208"/>
    <n v="157547"/>
    <n v="8.35"/>
    <n v="20162"/>
  </r>
  <r>
    <x v="63"/>
    <x v="1"/>
    <n v="745"/>
    <n v="98"/>
    <n v="354816"/>
    <n v="4.03"/>
    <n v="17103"/>
  </r>
  <r>
    <x v="63"/>
    <x v="2"/>
    <n v="936"/>
    <n v="97"/>
    <n v="151799"/>
    <n v="9.3699999999999992"/>
    <n v="15461"/>
  </r>
  <r>
    <x v="64"/>
    <x v="0"/>
    <n v="1183"/>
    <n v="223"/>
    <n v="143811"/>
    <n v="6.07"/>
    <n v="22103"/>
  </r>
  <r>
    <x v="64"/>
    <x v="1"/>
    <n v="1413"/>
    <n v="245"/>
    <n v="296450"/>
    <n v="6.52"/>
    <n v="11625"/>
  </r>
  <r>
    <x v="64"/>
    <x v="2"/>
    <n v="791"/>
    <n v="273"/>
    <n v="144049"/>
    <n v="3.08"/>
    <n v="5281"/>
  </r>
  <r>
    <x v="65"/>
    <x v="0"/>
    <n v="1052"/>
    <n v="180"/>
    <n v="272534"/>
    <n v="5.34"/>
    <n v="13424"/>
  </r>
  <r>
    <x v="65"/>
    <x v="1"/>
    <n v="572"/>
    <n v="270"/>
    <n v="82265"/>
    <n v="3.65"/>
    <n v="13140"/>
  </r>
  <r>
    <x v="65"/>
    <x v="2"/>
    <n v="503"/>
    <n v="253"/>
    <n v="313562"/>
    <n v="4.18"/>
    <n v="19538"/>
  </r>
  <r>
    <x v="66"/>
    <x v="0"/>
    <n v="1017"/>
    <n v="197"/>
    <n v="89918"/>
    <n v="3.91"/>
    <n v="7881"/>
  </r>
  <r>
    <x v="66"/>
    <x v="1"/>
    <n v="860"/>
    <n v="244"/>
    <n v="348686"/>
    <n v="5.12"/>
    <n v="1141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n v="9.92"/>
    <n v="23125"/>
  </r>
  <r>
    <x v="1"/>
    <n v="8.0500000000000007"/>
    <n v="22788"/>
  </r>
  <r>
    <x v="2"/>
    <n v="7.72"/>
    <n v="7810"/>
  </r>
  <r>
    <x v="0"/>
    <n v="9.4"/>
    <n v="11966"/>
  </r>
  <r>
    <x v="1"/>
    <n v="9.02"/>
    <n v="26298"/>
  </r>
  <r>
    <x v="2"/>
    <n v="9.9600000000000009"/>
    <n v="22029"/>
  </r>
  <r>
    <x v="0"/>
    <n v="5.29"/>
    <n v="12391"/>
  </r>
  <r>
    <x v="1"/>
    <n v="8.3000000000000007"/>
    <n v="14477"/>
  </r>
  <r>
    <x v="2"/>
    <n v="4.66"/>
    <n v="25040"/>
  </r>
  <r>
    <x v="0"/>
    <n v="9.48"/>
    <n v="22619"/>
  </r>
  <r>
    <x v="1"/>
    <n v="7.11"/>
    <n v="12399"/>
  </r>
  <r>
    <x v="2"/>
    <n v="9.65"/>
    <n v="22456"/>
  </r>
  <r>
    <x v="0"/>
    <n v="5.43"/>
    <n v="19328"/>
  </r>
  <r>
    <x v="1"/>
    <n v="4.5199999999999996"/>
    <n v="21107"/>
  </r>
  <r>
    <x v="2"/>
    <n v="4.33"/>
    <n v="12277"/>
  </r>
  <r>
    <x v="0"/>
    <n v="8.52"/>
    <n v="11684"/>
  </r>
  <r>
    <x v="1"/>
    <n v="8.5500000000000007"/>
    <n v="14412"/>
  </r>
  <r>
    <x v="2"/>
    <n v="7.99"/>
    <n v="15924"/>
  </r>
  <r>
    <x v="0"/>
    <n v="6.31"/>
    <n v="12390"/>
  </r>
  <r>
    <x v="1"/>
    <n v="8.5299999999999994"/>
    <n v="25742"/>
  </r>
  <r>
    <x v="2"/>
    <n v="8.42"/>
    <n v="10495"/>
  </r>
  <r>
    <x v="0"/>
    <n v="9.34"/>
    <n v="7797"/>
  </r>
  <r>
    <x v="1"/>
    <n v="5.65"/>
    <n v="15595"/>
  </r>
  <r>
    <x v="2"/>
    <n v="4.2"/>
    <n v="24617"/>
  </r>
  <r>
    <x v="0"/>
    <n v="3.87"/>
    <n v="9847"/>
  </r>
  <r>
    <x v="1"/>
    <n v="5.82"/>
    <n v="13644"/>
  </r>
  <r>
    <x v="2"/>
    <n v="3.55"/>
    <n v="11421"/>
  </r>
  <r>
    <x v="0"/>
    <n v="9.92"/>
    <n v="15613"/>
  </r>
  <r>
    <x v="1"/>
    <n v="8.17"/>
    <n v="23900"/>
  </r>
  <r>
    <x v="2"/>
    <n v="5.3"/>
    <n v="5836"/>
  </r>
  <r>
    <x v="0"/>
    <n v="5.98"/>
    <n v="5624"/>
  </r>
  <r>
    <x v="1"/>
    <n v="7.49"/>
    <n v="10311"/>
  </r>
  <r>
    <x v="2"/>
    <n v="9.3800000000000008"/>
    <n v="8274"/>
  </r>
  <r>
    <x v="0"/>
    <n v="5.84"/>
    <n v="6031"/>
  </r>
  <r>
    <x v="1"/>
    <n v="5.41"/>
    <n v="27829"/>
  </r>
  <r>
    <x v="2"/>
    <n v="6.05"/>
    <n v="18267"/>
  </r>
  <r>
    <x v="0"/>
    <n v="7.54"/>
    <n v="26624"/>
  </r>
  <r>
    <x v="1"/>
    <n v="5.87"/>
    <n v="26644"/>
  </r>
  <r>
    <x v="2"/>
    <n v="7.17"/>
    <n v="13051"/>
  </r>
  <r>
    <x v="0"/>
    <n v="6.05"/>
    <n v="14217"/>
  </r>
  <r>
    <x v="1"/>
    <n v="7.51"/>
    <n v="16385"/>
  </r>
  <r>
    <x v="2"/>
    <n v="7.66"/>
    <n v="24548"/>
  </r>
  <r>
    <x v="0"/>
    <n v="6.03"/>
    <n v="9195"/>
  </r>
  <r>
    <x v="1"/>
    <n v="3.4"/>
    <n v="18071"/>
  </r>
  <r>
    <x v="2"/>
    <n v="7.83"/>
    <n v="16875"/>
  </r>
  <r>
    <x v="0"/>
    <n v="8.76"/>
    <n v="9567"/>
  </r>
  <r>
    <x v="1"/>
    <n v="9.52"/>
    <n v="20306"/>
  </r>
  <r>
    <x v="2"/>
    <n v="3.36"/>
    <n v="21134"/>
  </r>
  <r>
    <x v="0"/>
    <n v="9.2200000000000006"/>
    <n v="26872"/>
  </r>
  <r>
    <x v="1"/>
    <n v="5.57"/>
    <n v="10253"/>
  </r>
  <r>
    <x v="2"/>
    <n v="8.06"/>
    <n v="23963"/>
  </r>
  <r>
    <x v="0"/>
    <n v="3.45"/>
    <n v="11335"/>
  </r>
  <r>
    <x v="1"/>
    <n v="9.58"/>
    <n v="12115"/>
  </r>
  <r>
    <x v="2"/>
    <n v="8.8800000000000008"/>
    <n v="24358"/>
  </r>
  <r>
    <x v="0"/>
    <n v="6.23"/>
    <n v="12181"/>
  </r>
  <r>
    <x v="1"/>
    <n v="8.4499999999999993"/>
    <n v="17729"/>
  </r>
  <r>
    <x v="2"/>
    <n v="8.4"/>
    <n v="10881"/>
  </r>
  <r>
    <x v="0"/>
    <n v="7.34"/>
    <n v="18576"/>
  </r>
  <r>
    <x v="1"/>
    <n v="8.14"/>
    <n v="9383"/>
  </r>
  <r>
    <x v="2"/>
    <n v="9.58"/>
    <n v="14178"/>
  </r>
  <r>
    <x v="0"/>
    <n v="8.06"/>
    <n v="21254"/>
  </r>
  <r>
    <x v="1"/>
    <n v="8.19"/>
    <n v="14215"/>
  </r>
  <r>
    <x v="2"/>
    <n v="4.4800000000000004"/>
    <n v="16921"/>
  </r>
  <r>
    <x v="0"/>
    <n v="4.5199999999999996"/>
    <n v="25130"/>
  </r>
  <r>
    <x v="1"/>
    <n v="5.42"/>
    <n v="25537"/>
  </r>
  <r>
    <x v="2"/>
    <n v="4.08"/>
    <n v="24943"/>
  </r>
  <r>
    <x v="0"/>
    <n v="4.0599999999999996"/>
    <n v="14563"/>
  </r>
  <r>
    <x v="1"/>
    <n v="9.91"/>
    <n v="26273"/>
  </r>
  <r>
    <x v="2"/>
    <n v="8.7200000000000006"/>
    <n v="10858"/>
  </r>
  <r>
    <x v="0"/>
    <n v="8.3800000000000008"/>
    <n v="25038"/>
  </r>
  <r>
    <x v="1"/>
    <n v="7.56"/>
    <n v="9092"/>
  </r>
  <r>
    <x v="2"/>
    <n v="7.24"/>
    <n v="17662"/>
  </r>
  <r>
    <x v="0"/>
    <n v="4.53"/>
    <n v="5924"/>
  </r>
  <r>
    <x v="1"/>
    <n v="6.62"/>
    <n v="25347"/>
  </r>
  <r>
    <x v="2"/>
    <n v="6.36"/>
    <n v="8910"/>
  </r>
  <r>
    <x v="0"/>
    <n v="9"/>
    <n v="20438"/>
  </r>
  <r>
    <x v="1"/>
    <n v="8.83"/>
    <n v="8760"/>
  </r>
  <r>
    <x v="2"/>
    <n v="9.7100000000000009"/>
    <n v="6625"/>
  </r>
  <r>
    <x v="0"/>
    <n v="6.68"/>
    <n v="23329"/>
  </r>
  <r>
    <x v="1"/>
    <n v="5.51"/>
    <n v="7299"/>
  </r>
  <r>
    <x v="2"/>
    <n v="7.97"/>
    <n v="14496"/>
  </r>
  <r>
    <x v="0"/>
    <n v="9.18"/>
    <n v="25703"/>
  </r>
  <r>
    <x v="1"/>
    <n v="6.44"/>
    <n v="15108"/>
  </r>
  <r>
    <x v="2"/>
    <n v="5.0199999999999996"/>
    <n v="18867"/>
  </r>
  <r>
    <x v="0"/>
    <n v="4.53"/>
    <n v="17574"/>
  </r>
  <r>
    <x v="1"/>
    <n v="9.17"/>
    <n v="12840"/>
  </r>
  <r>
    <x v="2"/>
    <n v="3.27"/>
    <n v="21079"/>
  </r>
  <r>
    <x v="0"/>
    <n v="5.31"/>
    <n v="23486"/>
  </r>
  <r>
    <x v="1"/>
    <n v="6.03"/>
    <n v="5960"/>
  </r>
  <r>
    <x v="2"/>
    <n v="8.89"/>
    <n v="13301"/>
  </r>
  <r>
    <x v="0"/>
    <n v="4.79"/>
    <n v="10563"/>
  </r>
  <r>
    <x v="1"/>
    <n v="4.8"/>
    <n v="19949"/>
  </r>
  <r>
    <x v="2"/>
    <n v="4.07"/>
    <n v="14273"/>
  </r>
  <r>
    <x v="0"/>
    <n v="6.06"/>
    <n v="9247"/>
  </r>
  <r>
    <x v="1"/>
    <n v="7.79"/>
    <n v="11972"/>
  </r>
  <r>
    <x v="2"/>
    <n v="9.0500000000000007"/>
    <n v="13314"/>
  </r>
  <r>
    <x v="0"/>
    <n v="3.5"/>
    <n v="14749"/>
  </r>
  <r>
    <x v="1"/>
    <n v="8.76"/>
    <n v="6868"/>
  </r>
  <r>
    <x v="2"/>
    <n v="6.26"/>
    <n v="6027"/>
  </r>
  <r>
    <x v="0"/>
    <n v="3.33"/>
    <n v="25267"/>
  </r>
  <r>
    <x v="1"/>
    <n v="9.15"/>
    <n v="5900"/>
  </r>
  <r>
    <x v="2"/>
    <n v="6.03"/>
    <n v="11181"/>
  </r>
  <r>
    <x v="0"/>
    <n v="9.82"/>
    <n v="9592"/>
  </r>
  <r>
    <x v="1"/>
    <n v="3.7"/>
    <n v="5291"/>
  </r>
  <r>
    <x v="2"/>
    <n v="3.35"/>
    <n v="22244"/>
  </r>
  <r>
    <x v="0"/>
    <n v="7.31"/>
    <n v="6824"/>
  </r>
  <r>
    <x v="1"/>
    <n v="3.13"/>
    <n v="24112"/>
  </r>
  <r>
    <x v="2"/>
    <n v="4.8899999999999997"/>
    <n v="25478"/>
  </r>
  <r>
    <x v="0"/>
    <n v="8.6300000000000008"/>
    <n v="11235"/>
  </r>
  <r>
    <x v="1"/>
    <n v="8.0299999999999994"/>
    <n v="6120"/>
  </r>
  <r>
    <x v="2"/>
    <n v="7.85"/>
    <n v="20572"/>
  </r>
  <r>
    <x v="0"/>
    <n v="6.12"/>
    <n v="14975"/>
  </r>
  <r>
    <x v="1"/>
    <n v="7.16"/>
    <n v="22234"/>
  </r>
  <r>
    <x v="2"/>
    <n v="7.04"/>
    <n v="6532"/>
  </r>
  <r>
    <x v="0"/>
    <n v="3.71"/>
    <n v="24858"/>
  </r>
  <r>
    <x v="1"/>
    <n v="4.12"/>
    <n v="13883"/>
  </r>
  <r>
    <x v="2"/>
    <n v="6.82"/>
    <n v="18654"/>
  </r>
  <r>
    <x v="0"/>
    <n v="8.2200000000000006"/>
    <n v="25234"/>
  </r>
  <r>
    <x v="1"/>
    <n v="7.71"/>
    <n v="6772"/>
  </r>
  <r>
    <x v="2"/>
    <n v="7.39"/>
    <n v="22428"/>
  </r>
  <r>
    <x v="0"/>
    <n v="7.89"/>
    <n v="11911"/>
  </r>
  <r>
    <x v="1"/>
    <n v="6.39"/>
    <n v="21900"/>
  </r>
  <r>
    <x v="2"/>
    <n v="6.77"/>
    <n v="25542"/>
  </r>
  <r>
    <x v="0"/>
    <n v="3.41"/>
    <n v="7140"/>
  </r>
  <r>
    <x v="1"/>
    <n v="4.1100000000000003"/>
    <n v="20474"/>
  </r>
  <r>
    <x v="2"/>
    <n v="9.58"/>
    <n v="8698"/>
  </r>
  <r>
    <x v="0"/>
    <n v="3.39"/>
    <n v="10402"/>
  </r>
  <r>
    <x v="1"/>
    <n v="9.58"/>
    <n v="26618"/>
  </r>
  <r>
    <x v="2"/>
    <n v="5.09"/>
    <n v="7975"/>
  </r>
  <r>
    <x v="0"/>
    <n v="7.85"/>
    <n v="19054"/>
  </r>
  <r>
    <x v="1"/>
    <n v="9.7100000000000009"/>
    <n v="13740"/>
  </r>
  <r>
    <x v="2"/>
    <n v="6.67"/>
    <n v="18442"/>
  </r>
  <r>
    <x v="0"/>
    <n v="6.13"/>
    <n v="10104"/>
  </r>
  <r>
    <x v="1"/>
    <n v="7.34"/>
    <n v="21771"/>
  </r>
  <r>
    <x v="2"/>
    <n v="6.87"/>
    <n v="22191"/>
  </r>
  <r>
    <x v="0"/>
    <n v="3.52"/>
    <n v="27753"/>
  </r>
  <r>
    <x v="1"/>
    <n v="6.96"/>
    <n v="23736"/>
  </r>
  <r>
    <x v="2"/>
    <n v="7.23"/>
    <n v="27393"/>
  </r>
  <r>
    <x v="0"/>
    <n v="7.42"/>
    <n v="10343"/>
  </r>
  <r>
    <x v="1"/>
    <n v="7.73"/>
    <n v="25259"/>
  </r>
  <r>
    <x v="2"/>
    <n v="5.13"/>
    <n v="24827"/>
  </r>
  <r>
    <x v="0"/>
    <n v="4.4000000000000004"/>
    <n v="11908"/>
  </r>
  <r>
    <x v="1"/>
    <n v="3.49"/>
    <n v="11005"/>
  </r>
  <r>
    <x v="2"/>
    <n v="3.57"/>
    <n v="26333"/>
  </r>
  <r>
    <x v="0"/>
    <n v="6.41"/>
    <n v="5495"/>
  </r>
  <r>
    <x v="1"/>
    <n v="6.04"/>
    <n v="15655"/>
  </r>
  <r>
    <x v="2"/>
    <n v="9.18"/>
    <n v="13763"/>
  </r>
  <r>
    <x v="0"/>
    <n v="6.54"/>
    <n v="26073"/>
  </r>
  <r>
    <x v="1"/>
    <n v="8.66"/>
    <n v="12774"/>
  </r>
  <r>
    <x v="2"/>
    <n v="3.89"/>
    <n v="19000"/>
  </r>
  <r>
    <x v="0"/>
    <n v="7.95"/>
    <n v="14051"/>
  </r>
  <r>
    <x v="1"/>
    <n v="6.66"/>
    <n v="27782"/>
  </r>
  <r>
    <x v="2"/>
    <n v="5.25"/>
    <n v="7859"/>
  </r>
  <r>
    <x v="0"/>
    <n v="5.07"/>
    <n v="15773"/>
  </r>
  <r>
    <x v="1"/>
    <n v="7.62"/>
    <n v="20595"/>
  </r>
  <r>
    <x v="2"/>
    <n v="7.44"/>
    <n v="12031"/>
  </r>
  <r>
    <x v="0"/>
    <n v="4.8600000000000003"/>
    <n v="15128"/>
  </r>
  <r>
    <x v="1"/>
    <n v="6.93"/>
    <n v="11826"/>
  </r>
  <r>
    <x v="2"/>
    <n v="9.99"/>
    <n v="12562"/>
  </r>
  <r>
    <x v="0"/>
    <n v="5.22"/>
    <n v="13013"/>
  </r>
  <r>
    <x v="1"/>
    <n v="5.17"/>
    <n v="12937"/>
  </r>
  <r>
    <x v="2"/>
    <n v="5.17"/>
    <n v="14534"/>
  </r>
  <r>
    <x v="0"/>
    <n v="6.18"/>
    <n v="8182"/>
  </r>
  <r>
    <x v="1"/>
    <n v="5.3"/>
    <n v="10615"/>
  </r>
  <r>
    <x v="2"/>
    <n v="5.99"/>
    <n v="20109"/>
  </r>
  <r>
    <x v="0"/>
    <n v="8.43"/>
    <n v="26024"/>
  </r>
  <r>
    <x v="1"/>
    <n v="7.55"/>
    <n v="26730"/>
  </r>
  <r>
    <x v="2"/>
    <n v="5.63"/>
    <n v="10563"/>
  </r>
  <r>
    <x v="0"/>
    <n v="4.71"/>
    <n v="27575"/>
  </r>
  <r>
    <x v="1"/>
    <n v="5.28"/>
    <n v="14479"/>
  </r>
  <r>
    <x v="2"/>
    <n v="5.95"/>
    <n v="15915"/>
  </r>
  <r>
    <x v="0"/>
    <n v="9.98"/>
    <n v="12767"/>
  </r>
  <r>
    <x v="1"/>
    <n v="9.93"/>
    <n v="12170"/>
  </r>
  <r>
    <x v="2"/>
    <n v="9.08"/>
    <n v="7245"/>
  </r>
  <r>
    <x v="0"/>
    <n v="7.98"/>
    <n v="12985"/>
  </r>
  <r>
    <x v="1"/>
    <n v="9.6199999999999992"/>
    <n v="16377"/>
  </r>
  <r>
    <x v="2"/>
    <n v="8.7100000000000009"/>
    <n v="11453"/>
  </r>
  <r>
    <x v="0"/>
    <n v="6.69"/>
    <n v="12323"/>
  </r>
  <r>
    <x v="1"/>
    <n v="4.25"/>
    <n v="11911"/>
  </r>
  <r>
    <x v="2"/>
    <n v="4.9800000000000004"/>
    <n v="27809"/>
  </r>
  <r>
    <x v="0"/>
    <n v="4.97"/>
    <n v="21464"/>
  </r>
  <r>
    <x v="1"/>
    <n v="3.71"/>
    <n v="27126"/>
  </r>
  <r>
    <x v="2"/>
    <n v="7.79"/>
    <n v="10681"/>
  </r>
  <r>
    <x v="0"/>
    <n v="4.96"/>
    <n v="5413"/>
  </r>
  <r>
    <x v="1"/>
    <n v="8.58"/>
    <n v="25058"/>
  </r>
  <r>
    <x v="2"/>
    <n v="8.51"/>
    <n v="18303"/>
  </r>
  <r>
    <x v="0"/>
    <n v="5.41"/>
    <n v="5526"/>
  </r>
  <r>
    <x v="1"/>
    <n v="8.7200000000000006"/>
    <n v="17460"/>
  </r>
  <r>
    <x v="2"/>
    <n v="7.71"/>
    <n v="14475"/>
  </r>
  <r>
    <x v="0"/>
    <n v="8.35"/>
    <n v="20162"/>
  </r>
  <r>
    <x v="1"/>
    <n v="4.03"/>
    <n v="17103"/>
  </r>
  <r>
    <x v="2"/>
    <n v="9.3699999999999992"/>
    <n v="15461"/>
  </r>
  <r>
    <x v="0"/>
    <n v="6.07"/>
    <n v="22103"/>
  </r>
  <r>
    <x v="1"/>
    <n v="6.52"/>
    <n v="11625"/>
  </r>
  <r>
    <x v="2"/>
    <n v="3.08"/>
    <n v="5281"/>
  </r>
  <r>
    <x v="0"/>
    <n v="5.34"/>
    <n v="13424"/>
  </r>
  <r>
    <x v="1"/>
    <n v="3.65"/>
    <n v="13140"/>
  </r>
  <r>
    <x v="2"/>
    <n v="4.18"/>
    <n v="19538"/>
  </r>
  <r>
    <x v="0"/>
    <n v="3.91"/>
    <n v="7881"/>
  </r>
  <r>
    <x v="1"/>
    <n v="5.12"/>
    <n v="1141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n v="1402"/>
    <n v="68"/>
    <n v="124562"/>
    <n v="9.92"/>
    <n v="23125"/>
    <n v="1334"/>
    <n v="1.0709526179733787E-2"/>
  </r>
  <r>
    <x v="0"/>
    <x v="1"/>
    <n v="995"/>
    <n v="86"/>
    <n v="227958"/>
    <n v="8.0500000000000007"/>
    <n v="22788"/>
    <n v="909"/>
    <n v="3.9875766588582107E-3"/>
  </r>
  <r>
    <x v="0"/>
    <x v="2"/>
    <n v="1472"/>
    <n v="296"/>
    <n v="370242"/>
    <n v="7.72"/>
    <n v="7810"/>
    <n v="1176"/>
    <n v="3.176300905893983E-3"/>
  </r>
  <r>
    <x v="1"/>
    <x v="0"/>
    <n v="1018"/>
    <n v="90"/>
    <n v="92474"/>
    <n v="9.4"/>
    <n v="11966"/>
    <n v="928"/>
    <n v="1.0035253152237385E-2"/>
  </r>
  <r>
    <x v="1"/>
    <x v="1"/>
    <n v="1461"/>
    <n v="64"/>
    <n v="328902"/>
    <n v="9.02"/>
    <n v="26298"/>
    <n v="1397"/>
    <n v="4.247465810484582E-3"/>
  </r>
  <r>
    <x v="1"/>
    <x v="2"/>
    <n v="545"/>
    <n v="93"/>
    <n v="391621"/>
    <n v="9.9600000000000009"/>
    <n v="22029"/>
    <n v="452"/>
    <n v="1.1541771253329111E-3"/>
  </r>
  <r>
    <x v="2"/>
    <x v="0"/>
    <n v="881"/>
    <n v="291"/>
    <n v="95885"/>
    <n v="5.29"/>
    <n v="12391"/>
    <n v="590"/>
    <n v="6.1532043593888509E-3"/>
  </r>
  <r>
    <x v="2"/>
    <x v="1"/>
    <n v="1414"/>
    <n v="131"/>
    <n v="245947"/>
    <n v="8.3000000000000007"/>
    <n v="14477"/>
    <n v="1283"/>
    <n v="5.2165710498603361E-3"/>
  </r>
  <r>
    <x v="2"/>
    <x v="2"/>
    <n v="1472"/>
    <n v="170"/>
    <n v="250428"/>
    <n v="4.66"/>
    <n v="25040"/>
    <n v="1302"/>
    <n v="5.1990991422684362E-3"/>
  </r>
  <r>
    <x v="3"/>
    <x v="0"/>
    <n v="809"/>
    <n v="197"/>
    <n v="87186"/>
    <n v="9.48"/>
    <n v="22619"/>
    <n v="612"/>
    <n v="7.0194756038813571E-3"/>
  </r>
  <r>
    <x v="3"/>
    <x v="1"/>
    <n v="1371"/>
    <n v="250"/>
    <n v="128620"/>
    <n v="7.11"/>
    <n v="12399"/>
    <n v="1121"/>
    <n v="8.7155963302752298E-3"/>
  </r>
  <r>
    <x v="3"/>
    <x v="2"/>
    <n v="844"/>
    <n v="144"/>
    <n v="126015"/>
    <n v="9.65"/>
    <n v="22456"/>
    <n v="700"/>
    <n v="5.5548942586200059E-3"/>
  </r>
  <r>
    <x v="4"/>
    <x v="0"/>
    <n v="786"/>
    <n v="72"/>
    <n v="178615"/>
    <n v="5.43"/>
    <n v="19328"/>
    <n v="714"/>
    <n v="3.9974246283906723E-3"/>
  </r>
  <r>
    <x v="4"/>
    <x v="1"/>
    <n v="845"/>
    <n v="250"/>
    <n v="218228"/>
    <n v="4.5199999999999996"/>
    <n v="21107"/>
    <n v="595"/>
    <n v="2.7265062228494967E-3"/>
  </r>
  <r>
    <x v="4"/>
    <x v="2"/>
    <n v="1218"/>
    <n v="101"/>
    <n v="300397"/>
    <n v="4.33"/>
    <n v="12277"/>
    <n v="1117"/>
    <n v="3.7184126339477423E-3"/>
  </r>
  <r>
    <x v="5"/>
    <x v="0"/>
    <n v="797"/>
    <n v="130"/>
    <n v="340121"/>
    <n v="8.52"/>
    <n v="11684"/>
    <n v="667"/>
    <n v="1.9610667968164271E-3"/>
  </r>
  <r>
    <x v="5"/>
    <x v="1"/>
    <n v="1471"/>
    <n v="100"/>
    <n v="76866"/>
    <n v="8.5500000000000007"/>
    <n v="14412"/>
    <n v="1371"/>
    <n v="1.7836234485988603E-2"/>
  </r>
  <r>
    <x v="5"/>
    <x v="2"/>
    <n v="1253"/>
    <n v="136"/>
    <n v="193131"/>
    <n v="7.99"/>
    <n v="15924"/>
    <n v="1117"/>
    <n v="5.7836390843520723E-3"/>
  </r>
  <r>
    <x v="6"/>
    <x v="0"/>
    <n v="616"/>
    <n v="257"/>
    <n v="169665"/>
    <n v="6.31"/>
    <n v="12390"/>
    <n v="359"/>
    <n v="2.1159343412017798E-3"/>
  </r>
  <r>
    <x v="6"/>
    <x v="1"/>
    <n v="1308"/>
    <n v="210"/>
    <n v="263729"/>
    <n v="8.5299999999999994"/>
    <n v="25742"/>
    <n v="1098"/>
    <n v="4.1633646660018432E-3"/>
  </r>
  <r>
    <x v="6"/>
    <x v="2"/>
    <n v="981"/>
    <n v="69"/>
    <n v="206921"/>
    <n v="8.42"/>
    <n v="10495"/>
    <n v="912"/>
    <n v="4.4074791828765565E-3"/>
  </r>
  <r>
    <x v="7"/>
    <x v="0"/>
    <n v="866"/>
    <n v="74"/>
    <n v="204121"/>
    <n v="9.34"/>
    <n v="7797"/>
    <n v="792"/>
    <n v="3.8800515380583087E-3"/>
  </r>
  <r>
    <x v="7"/>
    <x v="1"/>
    <n v="547"/>
    <n v="183"/>
    <n v="266350"/>
    <n v="5.65"/>
    <n v="15595"/>
    <n v="364"/>
    <n v="1.3666228646517741E-3"/>
  </r>
  <r>
    <x v="7"/>
    <x v="2"/>
    <n v="1241"/>
    <n v="116"/>
    <n v="380606"/>
    <n v="4.2"/>
    <n v="24617"/>
    <n v="1125"/>
    <n v="2.9558125725816196E-3"/>
  </r>
  <r>
    <x v="8"/>
    <x v="0"/>
    <n v="973"/>
    <n v="104"/>
    <n v="376358"/>
    <n v="3.87"/>
    <n v="9847"/>
    <n v="869"/>
    <n v="2.3089717768720206E-3"/>
  </r>
  <r>
    <x v="8"/>
    <x v="1"/>
    <n v="611"/>
    <n v="197"/>
    <n v="79423"/>
    <n v="5.82"/>
    <n v="13644"/>
    <n v="414"/>
    <n v="5.2125958475504573E-3"/>
  </r>
  <r>
    <x v="8"/>
    <x v="2"/>
    <n v="983"/>
    <n v="134"/>
    <n v="352178"/>
    <n v="3.55"/>
    <n v="11421"/>
    <n v="849"/>
    <n v="2.4107127645679174E-3"/>
  </r>
  <r>
    <x v="9"/>
    <x v="0"/>
    <n v="1449"/>
    <n v="96"/>
    <n v="200636"/>
    <n v="9.92"/>
    <n v="15613"/>
    <n v="1353"/>
    <n v="6.7435554935305723E-3"/>
  </r>
  <r>
    <x v="9"/>
    <x v="1"/>
    <n v="752"/>
    <n v="170"/>
    <n v="132756"/>
    <n v="8.17"/>
    <n v="23900"/>
    <n v="582"/>
    <n v="4.3839826448522105E-3"/>
  </r>
  <r>
    <x v="9"/>
    <x v="2"/>
    <n v="937"/>
    <n v="179"/>
    <n v="318098"/>
    <n v="5.3"/>
    <n v="5836"/>
    <n v="758"/>
    <n v="2.3829134417695176E-3"/>
  </r>
  <r>
    <x v="10"/>
    <x v="0"/>
    <n v="1060"/>
    <n v="83"/>
    <n v="68724"/>
    <n v="5.98"/>
    <n v="5624"/>
    <n v="977"/>
    <n v="1.4216285431581398E-2"/>
  </r>
  <r>
    <x v="10"/>
    <x v="1"/>
    <n v="1456"/>
    <n v="265"/>
    <n v="115505"/>
    <n v="7.49"/>
    <n v="10311"/>
    <n v="1191"/>
    <n v="1.031124193757846E-2"/>
  </r>
  <r>
    <x v="10"/>
    <x v="2"/>
    <n v="1109"/>
    <n v="205"/>
    <n v="276722"/>
    <n v="9.3800000000000008"/>
    <n v="8274"/>
    <n v="904"/>
    <n v="3.2668165162148292E-3"/>
  </r>
  <r>
    <x v="11"/>
    <x v="0"/>
    <n v="1002"/>
    <n v="93"/>
    <n v="353538"/>
    <n v="5.84"/>
    <n v="6031"/>
    <n v="909"/>
    <n v="2.5711521816608116E-3"/>
  </r>
  <r>
    <x v="11"/>
    <x v="1"/>
    <n v="571"/>
    <n v="189"/>
    <n v="61445"/>
    <n v="5.41"/>
    <n v="27829"/>
    <n v="382"/>
    <n v="6.2169419806330862E-3"/>
  </r>
  <r>
    <x v="11"/>
    <x v="2"/>
    <n v="1240"/>
    <n v="231"/>
    <n v="165035"/>
    <n v="6.05"/>
    <n v="18267"/>
    <n v="1009"/>
    <n v="6.1138546368952043E-3"/>
  </r>
  <r>
    <x v="12"/>
    <x v="0"/>
    <n v="1154"/>
    <n v="132"/>
    <n v="194595"/>
    <n v="7.54"/>
    <n v="26624"/>
    <n v="1022"/>
    <n v="5.2519335029163131E-3"/>
  </r>
  <r>
    <x v="12"/>
    <x v="1"/>
    <n v="537"/>
    <n v="275"/>
    <n v="236238"/>
    <n v="5.87"/>
    <n v="26644"/>
    <n v="262"/>
    <n v="1.1090510417460359E-3"/>
  </r>
  <r>
    <x v="12"/>
    <x v="2"/>
    <n v="1456"/>
    <n v="290"/>
    <n v="271044"/>
    <n v="7.17"/>
    <n v="13051"/>
    <n v="1166"/>
    <n v="4.3018845648676966E-3"/>
  </r>
  <r>
    <x v="13"/>
    <x v="0"/>
    <n v="721"/>
    <n v="206"/>
    <n v="334887"/>
    <n v="6.05"/>
    <n v="14217"/>
    <n v="515"/>
    <n v="1.5378321642822803E-3"/>
  </r>
  <r>
    <x v="13"/>
    <x v="1"/>
    <n v="1098"/>
    <n v="142"/>
    <n v="359150"/>
    <n v="7.51"/>
    <n v="16385"/>
    <n v="956"/>
    <n v="2.6618404566337186E-3"/>
  </r>
  <r>
    <x v="13"/>
    <x v="2"/>
    <n v="1096"/>
    <n v="65"/>
    <n v="358295"/>
    <n v="7.66"/>
    <n v="24548"/>
    <n v="1031"/>
    <n v="2.8775171297394605E-3"/>
  </r>
  <r>
    <x v="14"/>
    <x v="0"/>
    <n v="912"/>
    <n v="275"/>
    <n v="368454"/>
    <n v="6.03"/>
    <n v="9195"/>
    <n v="637"/>
    <n v="1.7288453918263881E-3"/>
  </r>
  <r>
    <x v="14"/>
    <x v="1"/>
    <n v="1430"/>
    <n v="162"/>
    <n v="269082"/>
    <n v="3.4"/>
    <n v="18071"/>
    <n v="1268"/>
    <n v="4.7123181781018424E-3"/>
  </r>
  <r>
    <x v="14"/>
    <x v="2"/>
    <n v="854"/>
    <n v="129"/>
    <n v="310903"/>
    <n v="7.83"/>
    <n v="16875"/>
    <n v="725"/>
    <n v="2.3319170287838973E-3"/>
  </r>
  <r>
    <x v="15"/>
    <x v="0"/>
    <n v="681"/>
    <n v="210"/>
    <n v="248581"/>
    <n v="8.76"/>
    <n v="9567"/>
    <n v="471"/>
    <n v="1.8947546272643525E-3"/>
  </r>
  <r>
    <x v="15"/>
    <x v="1"/>
    <n v="1373"/>
    <n v="82"/>
    <n v="371015"/>
    <n v="9.52"/>
    <n v="20306"/>
    <n v="1291"/>
    <n v="3.4796436801746559E-3"/>
  </r>
  <r>
    <x v="15"/>
    <x v="2"/>
    <n v="685"/>
    <n v="285"/>
    <n v="177452"/>
    <n v="3.36"/>
    <n v="21134"/>
    <n v="400"/>
    <n v="2.2541306944976669E-3"/>
  </r>
  <r>
    <x v="16"/>
    <x v="0"/>
    <n v="1290"/>
    <n v="177"/>
    <n v="80745"/>
    <n v="9.2200000000000006"/>
    <n v="26872"/>
    <n v="1113"/>
    <n v="1.3784135240572171E-2"/>
  </r>
  <r>
    <x v="16"/>
    <x v="1"/>
    <n v="1437"/>
    <n v="239"/>
    <n v="362441"/>
    <n v="5.57"/>
    <n v="10253"/>
    <n v="1198"/>
    <n v="3.305365562946797E-3"/>
  </r>
  <r>
    <x v="16"/>
    <x v="2"/>
    <n v="769"/>
    <n v="295"/>
    <n v="344771"/>
    <n v="8.06"/>
    <n v="23963"/>
    <n v="474"/>
    <n v="1.3748256088824177E-3"/>
  </r>
  <r>
    <x v="17"/>
    <x v="0"/>
    <n v="1416"/>
    <n v="284"/>
    <n v="374952"/>
    <n v="3.45"/>
    <n v="11335"/>
    <n v="1132"/>
    <n v="3.0190531054641659E-3"/>
  </r>
  <r>
    <x v="17"/>
    <x v="1"/>
    <n v="998"/>
    <n v="154"/>
    <n v="179781"/>
    <n v="9.58"/>
    <n v="12115"/>
    <n v="844"/>
    <n v="4.6946006530167259E-3"/>
  </r>
  <r>
    <x v="17"/>
    <x v="2"/>
    <n v="1421"/>
    <n v="246"/>
    <n v="358581"/>
    <n v="8.8800000000000008"/>
    <n v="24358"/>
    <n v="1175"/>
    <n v="3.2768049617799048E-3"/>
  </r>
  <r>
    <x v="18"/>
    <x v="0"/>
    <n v="764"/>
    <n v="205"/>
    <n v="319294"/>
    <n v="6.23"/>
    <n v="12181"/>
    <n v="559"/>
    <n v="1.7507375647522346E-3"/>
  </r>
  <r>
    <x v="18"/>
    <x v="1"/>
    <n v="678"/>
    <n v="124"/>
    <n v="192022"/>
    <n v="8.4499999999999993"/>
    <n v="17729"/>
    <n v="554"/>
    <n v="2.8850860838862216E-3"/>
  </r>
  <r>
    <x v="18"/>
    <x v="2"/>
    <n v="1328"/>
    <n v="103"/>
    <n v="151462"/>
    <n v="8.4"/>
    <n v="10881"/>
    <n v="1225"/>
    <n v="8.0878372132944243E-3"/>
  </r>
  <r>
    <x v="19"/>
    <x v="0"/>
    <n v="1161"/>
    <n v="269"/>
    <n v="188193"/>
    <n v="7.34"/>
    <n v="18576"/>
    <n v="892"/>
    <n v="4.7398149771776844E-3"/>
  </r>
  <r>
    <x v="19"/>
    <x v="1"/>
    <n v="588"/>
    <n v="52"/>
    <n v="292040"/>
    <n v="8.14"/>
    <n v="9383"/>
    <n v="536"/>
    <n v="1.8353650184906177E-3"/>
  </r>
  <r>
    <x v="19"/>
    <x v="2"/>
    <n v="1457"/>
    <n v="215"/>
    <n v="325325"/>
    <n v="9.58"/>
    <n v="14178"/>
    <n v="1242"/>
    <n v="3.8177207407976638E-3"/>
  </r>
  <r>
    <x v="20"/>
    <x v="0"/>
    <n v="1190"/>
    <n v="242"/>
    <n v="86849"/>
    <n v="8.06"/>
    <n v="21254"/>
    <n v="948"/>
    <n v="1.0915497012055407E-2"/>
  </r>
  <r>
    <x v="20"/>
    <x v="1"/>
    <n v="886"/>
    <n v="124"/>
    <n v="141161"/>
    <n v="8.19"/>
    <n v="14215"/>
    <n v="762"/>
    <n v="5.3980915408646862E-3"/>
  </r>
  <r>
    <x v="20"/>
    <x v="2"/>
    <n v="1237"/>
    <n v="155"/>
    <n v="149916"/>
    <n v="4.4800000000000004"/>
    <n v="16921"/>
    <n v="1082"/>
    <n v="7.2173750633688196E-3"/>
  </r>
  <r>
    <x v="21"/>
    <x v="0"/>
    <n v="1435"/>
    <n v="261"/>
    <n v="308533"/>
    <n v="4.5199999999999996"/>
    <n v="25130"/>
    <n v="1174"/>
    <n v="3.8051035059458792E-3"/>
  </r>
  <r>
    <x v="21"/>
    <x v="1"/>
    <n v="746"/>
    <n v="282"/>
    <n v="293894"/>
    <n v="5.42"/>
    <n v="25537"/>
    <n v="464"/>
    <n v="1.5788005199153436E-3"/>
  </r>
  <r>
    <x v="21"/>
    <x v="2"/>
    <n v="759"/>
    <n v="216"/>
    <n v="147656"/>
    <n v="4.08"/>
    <n v="24943"/>
    <n v="543"/>
    <n v="3.6774665438586984E-3"/>
  </r>
  <r>
    <x v="22"/>
    <x v="0"/>
    <n v="1437"/>
    <n v="235"/>
    <n v="326791"/>
    <n v="4.0599999999999996"/>
    <n v="14563"/>
    <n v="1202"/>
    <n v="3.6781918718691762E-3"/>
  </r>
  <r>
    <x v="22"/>
    <x v="1"/>
    <n v="1463"/>
    <n v="73"/>
    <n v="348877"/>
    <n v="9.91"/>
    <n v="26273"/>
    <n v="1390"/>
    <n v="3.9842122008616216E-3"/>
  </r>
  <r>
    <x v="22"/>
    <x v="2"/>
    <n v="1208"/>
    <n v="224"/>
    <n v="122730"/>
    <n v="8.7200000000000006"/>
    <n v="10858"/>
    <n v="984"/>
    <n v="8.0175996088975802E-3"/>
  </r>
  <r>
    <x v="23"/>
    <x v="0"/>
    <n v="1391"/>
    <n v="187"/>
    <n v="306508"/>
    <n v="8.3800000000000008"/>
    <n v="25038"/>
    <n v="1204"/>
    <n v="3.9281193313061976E-3"/>
  </r>
  <r>
    <x v="23"/>
    <x v="1"/>
    <n v="655"/>
    <n v="123"/>
    <n v="202472"/>
    <n v="7.56"/>
    <n v="9092"/>
    <n v="532"/>
    <n v="2.6275238057607967E-3"/>
  </r>
  <r>
    <x v="23"/>
    <x v="2"/>
    <n v="1148"/>
    <n v="90"/>
    <n v="227249"/>
    <n v="7.24"/>
    <n v="17662"/>
    <n v="1058"/>
    <n v="4.6556860536239985E-3"/>
  </r>
  <r>
    <x v="24"/>
    <x v="0"/>
    <n v="946"/>
    <n v="270"/>
    <n v="246567"/>
    <n v="4.53"/>
    <n v="5924"/>
    <n v="676"/>
    <n v="2.741648314656868E-3"/>
  </r>
  <r>
    <x v="24"/>
    <x v="1"/>
    <n v="791"/>
    <n v="214"/>
    <n v="114738"/>
    <n v="6.62"/>
    <n v="25347"/>
    <n v="577"/>
    <n v="5.0288483327232481E-3"/>
  </r>
  <r>
    <x v="24"/>
    <x v="2"/>
    <n v="793"/>
    <n v="111"/>
    <n v="333500"/>
    <n v="6.36"/>
    <n v="8910"/>
    <n v="682"/>
    <n v="2.0449775112443779E-3"/>
  </r>
  <r>
    <x v="25"/>
    <x v="0"/>
    <n v="663"/>
    <n v="213"/>
    <n v="352677"/>
    <n v="9"/>
    <n v="20438"/>
    <n v="450"/>
    <n v="1.2759550523566889E-3"/>
  </r>
  <r>
    <x v="25"/>
    <x v="1"/>
    <n v="954"/>
    <n v="271"/>
    <n v="160936"/>
    <n v="8.83"/>
    <n v="8760"/>
    <n v="683"/>
    <n v="4.2439230501565839E-3"/>
  </r>
  <r>
    <x v="25"/>
    <x v="2"/>
    <n v="1313"/>
    <n v="159"/>
    <n v="197183"/>
    <n v="9.7100000000000009"/>
    <n v="6625"/>
    <n v="1154"/>
    <n v="5.8524314976443207E-3"/>
  </r>
  <r>
    <x v="26"/>
    <x v="0"/>
    <n v="895"/>
    <n v="87"/>
    <n v="171271"/>
    <n v="6.68"/>
    <n v="23329"/>
    <n v="808"/>
    <n v="4.7176696580273365E-3"/>
  </r>
  <r>
    <x v="26"/>
    <x v="1"/>
    <n v="1027"/>
    <n v="156"/>
    <n v="111293"/>
    <n v="5.51"/>
    <n v="7299"/>
    <n v="871"/>
    <n v="7.8261885293774095E-3"/>
  </r>
  <r>
    <x v="26"/>
    <x v="2"/>
    <n v="990"/>
    <n v="286"/>
    <n v="351493"/>
    <n v="7.97"/>
    <n v="14496"/>
    <n v="704"/>
    <n v="2.0028848369668811E-3"/>
  </r>
  <r>
    <x v="27"/>
    <x v="0"/>
    <n v="875"/>
    <n v="264"/>
    <n v="345631"/>
    <n v="9.18"/>
    <n v="25703"/>
    <n v="611"/>
    <n v="1.7677812464738406E-3"/>
  </r>
  <r>
    <x v="27"/>
    <x v="1"/>
    <n v="599"/>
    <n v="194"/>
    <n v="105622"/>
    <n v="6.44"/>
    <n v="15108"/>
    <n v="405"/>
    <n v="3.8344284334702996E-3"/>
  </r>
  <r>
    <x v="27"/>
    <x v="2"/>
    <n v="630"/>
    <n v="248"/>
    <n v="119054"/>
    <n v="5.0199999999999996"/>
    <n v="18867"/>
    <n v="382"/>
    <n v="3.2086280175382597E-3"/>
  </r>
  <r>
    <x v="28"/>
    <x v="0"/>
    <n v="1350"/>
    <n v="233"/>
    <n v="171670"/>
    <n v="4.53"/>
    <n v="17574"/>
    <n v="1117"/>
    <n v="6.506669773402458E-3"/>
  </r>
  <r>
    <x v="28"/>
    <x v="1"/>
    <n v="632"/>
    <n v="155"/>
    <n v="170432"/>
    <n v="9.17"/>
    <n v="12840"/>
    <n v="477"/>
    <n v="2.7987701840030041E-3"/>
  </r>
  <r>
    <x v="28"/>
    <x v="2"/>
    <n v="1182"/>
    <n v="83"/>
    <n v="140300"/>
    <n v="3.27"/>
    <n v="21079"/>
    <n v="1099"/>
    <n v="7.8332145402708487E-3"/>
  </r>
  <r>
    <x v="29"/>
    <x v="0"/>
    <n v="661"/>
    <n v="94"/>
    <n v="116538"/>
    <n v="5.31"/>
    <n v="23486"/>
    <n v="567"/>
    <n v="4.8653658034289241E-3"/>
  </r>
  <r>
    <x v="29"/>
    <x v="1"/>
    <n v="1360"/>
    <n v="227"/>
    <n v="176902"/>
    <n v="6.03"/>
    <n v="5960"/>
    <n v="1133"/>
    <n v="6.4046760353189906E-3"/>
  </r>
  <r>
    <x v="29"/>
    <x v="2"/>
    <n v="935"/>
    <n v="85"/>
    <n v="326821"/>
    <n v="8.89"/>
    <n v="13301"/>
    <n v="850"/>
    <n v="2.60081206532016E-3"/>
  </r>
  <r>
    <x v="30"/>
    <x v="0"/>
    <n v="664"/>
    <n v="251"/>
    <n v="240598"/>
    <n v="4.79"/>
    <n v="10563"/>
    <n v="413"/>
    <n v="1.7165562473503519E-3"/>
  </r>
  <r>
    <x v="30"/>
    <x v="1"/>
    <n v="1490"/>
    <n v="103"/>
    <n v="373274"/>
    <n v="4.8"/>
    <n v="19949"/>
    <n v="1387"/>
    <n v="3.7157691133055076E-3"/>
  </r>
  <r>
    <x v="30"/>
    <x v="2"/>
    <n v="601"/>
    <n v="64"/>
    <n v="123272"/>
    <n v="4.07"/>
    <n v="14273"/>
    <n v="537"/>
    <n v="4.3562203906807708E-3"/>
  </r>
  <r>
    <x v="31"/>
    <x v="0"/>
    <n v="613"/>
    <n v="170"/>
    <n v="139266"/>
    <n v="6.06"/>
    <n v="9247"/>
    <n v="443"/>
    <n v="3.1809630491290049E-3"/>
  </r>
  <r>
    <x v="31"/>
    <x v="1"/>
    <n v="1340"/>
    <n v="57"/>
    <n v="155927"/>
    <n v="7.79"/>
    <n v="11972"/>
    <n v="1283"/>
    <n v="8.2282093543773697E-3"/>
  </r>
  <r>
    <x v="31"/>
    <x v="2"/>
    <n v="953"/>
    <n v="228"/>
    <n v="258398"/>
    <n v="9.0500000000000007"/>
    <n v="13314"/>
    <n v="725"/>
    <n v="2.8057492705051896E-3"/>
  </r>
  <r>
    <x v="32"/>
    <x v="0"/>
    <n v="532"/>
    <n v="65"/>
    <n v="338561"/>
    <n v="3.5"/>
    <n v="14749"/>
    <n v="467"/>
    <n v="1.3793673813581599E-3"/>
  </r>
  <r>
    <x v="32"/>
    <x v="1"/>
    <n v="1414"/>
    <n v="60"/>
    <n v="341856"/>
    <n v="8.76"/>
    <n v="6868"/>
    <n v="1354"/>
    <n v="3.960732004118693E-3"/>
  </r>
  <r>
    <x v="32"/>
    <x v="2"/>
    <n v="685"/>
    <n v="165"/>
    <n v="175860"/>
    <n v="6.26"/>
    <n v="6027"/>
    <n v="520"/>
    <n v="2.9568975321278288E-3"/>
  </r>
  <r>
    <x v="33"/>
    <x v="0"/>
    <n v="601"/>
    <n v="159"/>
    <n v="327722"/>
    <n v="3.33"/>
    <n v="25267"/>
    <n v="442"/>
    <n v="1.3487040845594743E-3"/>
  </r>
  <r>
    <x v="33"/>
    <x v="1"/>
    <n v="841"/>
    <n v="295"/>
    <n v="271638"/>
    <n v="9.15"/>
    <n v="5900"/>
    <n v="546"/>
    <n v="2.0100280520398473E-3"/>
  </r>
  <r>
    <x v="33"/>
    <x v="2"/>
    <n v="1105"/>
    <n v="261"/>
    <n v="333851"/>
    <n v="6.03"/>
    <n v="11181"/>
    <n v="844"/>
    <n v="2.5280739012313877E-3"/>
  </r>
  <r>
    <x v="34"/>
    <x v="0"/>
    <n v="566"/>
    <n v="225"/>
    <n v="368984"/>
    <n v="9.82"/>
    <n v="9592"/>
    <n v="341"/>
    <n v="9.2415931314094918E-4"/>
  </r>
  <r>
    <x v="34"/>
    <x v="1"/>
    <n v="1149"/>
    <n v="280"/>
    <n v="167310"/>
    <n v="3.7"/>
    <n v="5291"/>
    <n v="869"/>
    <n v="5.1939513477975013E-3"/>
  </r>
  <r>
    <x v="34"/>
    <x v="2"/>
    <n v="819"/>
    <n v="101"/>
    <n v="194811"/>
    <n v="3.35"/>
    <n v="22244"/>
    <n v="718"/>
    <n v="3.685623501752981E-3"/>
  </r>
  <r>
    <x v="35"/>
    <x v="0"/>
    <n v="795"/>
    <n v="60"/>
    <n v="314982"/>
    <n v="7.31"/>
    <n v="6824"/>
    <n v="735"/>
    <n v="2.3334666742861497E-3"/>
  </r>
  <r>
    <x v="35"/>
    <x v="1"/>
    <n v="681"/>
    <n v="158"/>
    <n v="75960"/>
    <n v="3.13"/>
    <n v="24112"/>
    <n v="523"/>
    <n v="6.8852027382833069E-3"/>
  </r>
  <r>
    <x v="35"/>
    <x v="2"/>
    <n v="534"/>
    <n v="112"/>
    <n v="360759"/>
    <n v="4.8899999999999997"/>
    <n v="25478"/>
    <n v="422"/>
    <n v="1.1697559866836308E-3"/>
  </r>
  <r>
    <x v="36"/>
    <x v="0"/>
    <n v="1066"/>
    <n v="151"/>
    <n v="297090"/>
    <n v="8.6300000000000008"/>
    <n v="11235"/>
    <n v="915"/>
    <n v="3.0798747854185599E-3"/>
  </r>
  <r>
    <x v="36"/>
    <x v="1"/>
    <n v="1270"/>
    <n v="162"/>
    <n v="92040"/>
    <n v="8.0299999999999994"/>
    <n v="6120"/>
    <n v="1108"/>
    <n v="1.2038244241634072E-2"/>
  </r>
  <r>
    <x v="36"/>
    <x v="2"/>
    <n v="536"/>
    <n v="198"/>
    <n v="174610"/>
    <n v="7.85"/>
    <n v="20572"/>
    <n v="338"/>
    <n v="1.9357425118836263E-3"/>
  </r>
  <r>
    <x v="37"/>
    <x v="0"/>
    <n v="819"/>
    <n v="95"/>
    <n v="177376"/>
    <n v="6.12"/>
    <n v="14975"/>
    <n v="724"/>
    <n v="4.0817246978170664E-3"/>
  </r>
  <r>
    <x v="37"/>
    <x v="1"/>
    <n v="681"/>
    <n v="218"/>
    <n v="198882"/>
    <n v="7.16"/>
    <n v="22234"/>
    <n v="463"/>
    <n v="2.3280135960016494E-3"/>
  </r>
  <r>
    <x v="37"/>
    <x v="2"/>
    <n v="646"/>
    <n v="290"/>
    <n v="336383"/>
    <n v="7.04"/>
    <n v="6532"/>
    <n v="356"/>
    <n v="1.0583174536168594E-3"/>
  </r>
  <r>
    <x v="38"/>
    <x v="0"/>
    <n v="645"/>
    <n v="267"/>
    <n v="346890"/>
    <n v="3.71"/>
    <n v="24858"/>
    <n v="378"/>
    <n v="1.0896826083196401E-3"/>
  </r>
  <r>
    <x v="38"/>
    <x v="1"/>
    <n v="886"/>
    <n v="250"/>
    <n v="168170"/>
    <n v="4.12"/>
    <n v="13883"/>
    <n v="636"/>
    <n v="3.7818873758696555E-3"/>
  </r>
  <r>
    <x v="38"/>
    <x v="2"/>
    <n v="978"/>
    <n v="279"/>
    <n v="368872"/>
    <n v="6.82"/>
    <n v="18654"/>
    <n v="699"/>
    <n v="1.8949662755644234E-3"/>
  </r>
  <r>
    <x v="39"/>
    <x v="0"/>
    <n v="1444"/>
    <n v="165"/>
    <n v="116436"/>
    <n v="8.2200000000000006"/>
    <n v="25234"/>
    <n v="1279"/>
    <n v="1.0984575217286749E-2"/>
  </r>
  <r>
    <x v="39"/>
    <x v="1"/>
    <n v="1234"/>
    <n v="228"/>
    <n v="127502"/>
    <n v="7.71"/>
    <n v="6772"/>
    <n v="1006"/>
    <n v="7.8900723125911749E-3"/>
  </r>
  <r>
    <x v="39"/>
    <x v="2"/>
    <n v="665"/>
    <n v="187"/>
    <n v="274567"/>
    <n v="7.39"/>
    <n v="22428"/>
    <n v="478"/>
    <n v="1.7409229805475531E-3"/>
  </r>
  <r>
    <x v="40"/>
    <x v="0"/>
    <n v="631"/>
    <n v="86"/>
    <n v="295090"/>
    <n v="7.89"/>
    <n v="11911"/>
    <n v="545"/>
    <n v="1.8468941678809856E-3"/>
  </r>
  <r>
    <x v="40"/>
    <x v="1"/>
    <n v="1159"/>
    <n v="154"/>
    <n v="194994"/>
    <n v="6.39"/>
    <n v="21900"/>
    <n v="1005"/>
    <n v="5.1540047386073422E-3"/>
  </r>
  <r>
    <x v="40"/>
    <x v="2"/>
    <n v="950"/>
    <n v="185"/>
    <n v="340750"/>
    <n v="6.77"/>
    <n v="25542"/>
    <n v="765"/>
    <n v="2.2450476889214967E-3"/>
  </r>
  <r>
    <x v="41"/>
    <x v="0"/>
    <n v="693"/>
    <n v="129"/>
    <n v="296031"/>
    <n v="3.41"/>
    <n v="7140"/>
    <n v="564"/>
    <n v="1.9052058737091724E-3"/>
  </r>
  <r>
    <x v="41"/>
    <x v="1"/>
    <n v="576"/>
    <n v="80"/>
    <n v="345688"/>
    <n v="4.1100000000000003"/>
    <n v="20474"/>
    <n v="496"/>
    <n v="1.4348198375413667E-3"/>
  </r>
  <r>
    <x v="41"/>
    <x v="2"/>
    <n v="1274"/>
    <n v="146"/>
    <n v="263488"/>
    <n v="9.58"/>
    <n v="8698"/>
    <n v="1128"/>
    <n v="4.2810298761233904E-3"/>
  </r>
  <r>
    <x v="42"/>
    <x v="0"/>
    <n v="818"/>
    <n v="253"/>
    <n v="184911"/>
    <n v="3.39"/>
    <n v="10402"/>
    <n v="565"/>
    <n v="3.0555240088474996E-3"/>
  </r>
  <r>
    <x v="42"/>
    <x v="1"/>
    <n v="975"/>
    <n v="162"/>
    <n v="124497"/>
    <n v="9.58"/>
    <n v="26618"/>
    <n v="813"/>
    <n v="6.5302778380201933E-3"/>
  </r>
  <r>
    <x v="42"/>
    <x v="2"/>
    <n v="1398"/>
    <n v="97"/>
    <n v="397607"/>
    <n v="5.09"/>
    <n v="7975"/>
    <n v="1301"/>
    <n v="3.2720751898231166E-3"/>
  </r>
  <r>
    <x v="43"/>
    <x v="0"/>
    <n v="591"/>
    <n v="155"/>
    <n v="138521"/>
    <n v="7.85"/>
    <n v="19054"/>
    <n v="436"/>
    <n v="3.1475371965261584E-3"/>
  </r>
  <r>
    <x v="43"/>
    <x v="1"/>
    <n v="1232"/>
    <n v="254"/>
    <n v="107718"/>
    <n v="9.7100000000000009"/>
    <n v="13740"/>
    <n v="978"/>
    <n v="9.0792625187990864E-3"/>
  </r>
  <r>
    <x v="43"/>
    <x v="2"/>
    <n v="1425"/>
    <n v="58"/>
    <n v="202234"/>
    <n v="6.67"/>
    <n v="18442"/>
    <n v="1367"/>
    <n v="6.7594964249334932E-3"/>
  </r>
  <r>
    <x v="44"/>
    <x v="0"/>
    <n v="1417"/>
    <n v="80"/>
    <n v="340987"/>
    <n v="6.13"/>
    <n v="10104"/>
    <n v="1337"/>
    <n v="3.9209705941868752E-3"/>
  </r>
  <r>
    <x v="44"/>
    <x v="1"/>
    <n v="1222"/>
    <n v="208"/>
    <n v="340098"/>
    <n v="7.34"/>
    <n v="21771"/>
    <n v="1014"/>
    <n v="2.9814935695005556E-3"/>
  </r>
  <r>
    <x v="44"/>
    <x v="2"/>
    <n v="1071"/>
    <n v="131"/>
    <n v="254727"/>
    <n v="6.87"/>
    <n v="22191"/>
    <n v="940"/>
    <n v="3.6902252215116576E-3"/>
  </r>
  <r>
    <x v="45"/>
    <x v="0"/>
    <n v="772"/>
    <n v="82"/>
    <n v="345659"/>
    <n v="3.52"/>
    <n v="27753"/>
    <n v="690"/>
    <n v="1.9961869935398759E-3"/>
  </r>
  <r>
    <x v="45"/>
    <x v="1"/>
    <n v="1472"/>
    <n v="137"/>
    <n v="213950"/>
    <n v="6.96"/>
    <n v="23736"/>
    <n v="1335"/>
    <n v="6.2397756485160086E-3"/>
  </r>
  <r>
    <x v="45"/>
    <x v="2"/>
    <n v="1472"/>
    <n v="281"/>
    <n v="258115"/>
    <n v="7.23"/>
    <n v="27393"/>
    <n v="1191"/>
    <n v="4.6142223427541986E-3"/>
  </r>
  <r>
    <x v="46"/>
    <x v="0"/>
    <n v="585"/>
    <n v="232"/>
    <n v="321258"/>
    <n v="7.42"/>
    <n v="10343"/>
    <n v="353"/>
    <n v="1.0988053215795403E-3"/>
  </r>
  <r>
    <x v="46"/>
    <x v="1"/>
    <n v="747"/>
    <n v="261"/>
    <n v="338650"/>
    <n v="7.73"/>
    <n v="25259"/>
    <n v="486"/>
    <n v="1.4351099955706482E-3"/>
  </r>
  <r>
    <x v="46"/>
    <x v="2"/>
    <n v="1113"/>
    <n v="224"/>
    <n v="272989"/>
    <n v="5.13"/>
    <n v="24827"/>
    <n v="889"/>
    <n v="3.2565414723670183E-3"/>
  </r>
  <r>
    <x v="47"/>
    <x v="0"/>
    <n v="1100"/>
    <n v="117"/>
    <n v="260204"/>
    <n v="4.4000000000000004"/>
    <n v="11908"/>
    <n v="983"/>
    <n v="3.7778051067623862E-3"/>
  </r>
  <r>
    <x v="47"/>
    <x v="1"/>
    <n v="751"/>
    <n v="170"/>
    <n v="283278"/>
    <n v="3.49"/>
    <n v="11005"/>
    <n v="581"/>
    <n v="2.0509887813384732E-3"/>
  </r>
  <r>
    <x v="47"/>
    <x v="2"/>
    <n v="864"/>
    <n v="50"/>
    <n v="277445"/>
    <n v="3.57"/>
    <n v="26333"/>
    <n v="814"/>
    <n v="2.9339148299662998E-3"/>
  </r>
  <r>
    <x v="48"/>
    <x v="0"/>
    <n v="1146"/>
    <n v="227"/>
    <n v="353781"/>
    <n v="6.41"/>
    <n v="5495"/>
    <n v="919"/>
    <n v="2.5976522198761379E-3"/>
  </r>
  <r>
    <x v="48"/>
    <x v="1"/>
    <n v="883"/>
    <n v="207"/>
    <n v="265019"/>
    <n v="6.04"/>
    <n v="15655"/>
    <n v="676"/>
    <n v="2.5507605115104954E-3"/>
  </r>
  <r>
    <x v="48"/>
    <x v="2"/>
    <n v="622"/>
    <n v="163"/>
    <n v="231925"/>
    <n v="9.18"/>
    <n v="13763"/>
    <n v="459"/>
    <n v="1.9790880672631238E-3"/>
  </r>
  <r>
    <x v="49"/>
    <x v="0"/>
    <n v="837"/>
    <n v="261"/>
    <n v="366149"/>
    <n v="6.54"/>
    <n v="26073"/>
    <n v="576"/>
    <n v="1.5731300645365684E-3"/>
  </r>
  <r>
    <x v="49"/>
    <x v="1"/>
    <n v="544"/>
    <n v="97"/>
    <n v="168375"/>
    <n v="8.66"/>
    <n v="12774"/>
    <n v="447"/>
    <n v="2.6547884187082403E-3"/>
  </r>
  <r>
    <x v="49"/>
    <x v="2"/>
    <n v="624"/>
    <n v="247"/>
    <n v="252763"/>
    <n v="3.89"/>
    <n v="19000"/>
    <n v="377"/>
    <n v="1.4915157677349929E-3"/>
  </r>
  <r>
    <x v="50"/>
    <x v="0"/>
    <n v="1073"/>
    <n v="141"/>
    <n v="118393"/>
    <n v="7.95"/>
    <n v="14051"/>
    <n v="932"/>
    <n v="7.872087032172511E-3"/>
  </r>
  <r>
    <x v="50"/>
    <x v="1"/>
    <n v="1430"/>
    <n v="74"/>
    <n v="327012"/>
    <n v="6.66"/>
    <n v="27782"/>
    <n v="1356"/>
    <n v="4.1466368206671319E-3"/>
  </r>
  <r>
    <x v="50"/>
    <x v="2"/>
    <n v="1358"/>
    <n v="77"/>
    <n v="169688"/>
    <n v="5.25"/>
    <n v="7859"/>
    <n v="1281"/>
    <n v="7.5491490264485411E-3"/>
  </r>
  <r>
    <x v="51"/>
    <x v="0"/>
    <n v="1242"/>
    <n v="201"/>
    <n v="271935"/>
    <n v="5.07"/>
    <n v="15773"/>
    <n v="1041"/>
    <n v="3.8281206906062111E-3"/>
  </r>
  <r>
    <x v="51"/>
    <x v="1"/>
    <n v="1389"/>
    <n v="205"/>
    <n v="315981"/>
    <n v="7.62"/>
    <n v="20595"/>
    <n v="1184"/>
    <n v="3.7470607409939207E-3"/>
  </r>
  <r>
    <x v="51"/>
    <x v="2"/>
    <n v="826"/>
    <n v="142"/>
    <n v="341016"/>
    <n v="7.44"/>
    <n v="12031"/>
    <n v="684"/>
    <n v="2.005770990217468E-3"/>
  </r>
  <r>
    <x v="52"/>
    <x v="0"/>
    <n v="618"/>
    <n v="264"/>
    <n v="285164"/>
    <n v="4.8600000000000003"/>
    <n v="15128"/>
    <n v="354"/>
    <n v="1.2413909189098204E-3"/>
  </r>
  <r>
    <x v="52"/>
    <x v="1"/>
    <n v="1419"/>
    <n v="293"/>
    <n v="116632"/>
    <n v="6.93"/>
    <n v="11826"/>
    <n v="1126"/>
    <n v="9.6542972769051369E-3"/>
  </r>
  <r>
    <x v="52"/>
    <x v="2"/>
    <n v="637"/>
    <n v="68"/>
    <n v="115694"/>
    <n v="9.99"/>
    <n v="12562"/>
    <n v="569"/>
    <n v="4.9181461441388493E-3"/>
  </r>
  <r>
    <x v="53"/>
    <x v="0"/>
    <n v="917"/>
    <n v="187"/>
    <n v="64444"/>
    <n v="5.22"/>
    <n v="13013"/>
    <n v="730"/>
    <n v="1.1327664328719508E-2"/>
  </r>
  <r>
    <x v="53"/>
    <x v="1"/>
    <n v="810"/>
    <n v="232"/>
    <n v="362559"/>
    <n v="5.17"/>
    <n v="12937"/>
    <n v="578"/>
    <n v="1.5942232850377457E-3"/>
  </r>
  <r>
    <x v="53"/>
    <x v="2"/>
    <n v="1183"/>
    <n v="248"/>
    <n v="226881"/>
    <n v="5.17"/>
    <n v="14534"/>
    <n v="935"/>
    <n v="4.1211031333606603E-3"/>
  </r>
  <r>
    <x v="54"/>
    <x v="0"/>
    <n v="765"/>
    <n v="67"/>
    <n v="283537"/>
    <n v="6.18"/>
    <n v="8182"/>
    <n v="698"/>
    <n v="2.4617598408673293E-3"/>
  </r>
  <r>
    <x v="54"/>
    <x v="1"/>
    <n v="540"/>
    <n v="215"/>
    <n v="62837"/>
    <n v="5.3"/>
    <n v="10615"/>
    <n v="325"/>
    <n v="5.1721119722456512E-3"/>
  </r>
  <r>
    <x v="54"/>
    <x v="2"/>
    <n v="1145"/>
    <n v="151"/>
    <n v="182759"/>
    <n v="5.99"/>
    <n v="20109"/>
    <n v="994"/>
    <n v="5.4388566363352828E-3"/>
  </r>
  <r>
    <x v="55"/>
    <x v="0"/>
    <n v="564"/>
    <n v="244"/>
    <n v="279405"/>
    <n v="8.43"/>
    <n v="26024"/>
    <n v="320"/>
    <n v="1.1452908859898713E-3"/>
  </r>
  <r>
    <x v="55"/>
    <x v="1"/>
    <n v="668"/>
    <n v="124"/>
    <n v="257485"/>
    <n v="7.55"/>
    <n v="26730"/>
    <n v="544"/>
    <n v="2.1127444317144686E-3"/>
  </r>
  <r>
    <x v="55"/>
    <x v="2"/>
    <n v="761"/>
    <n v="241"/>
    <n v="154977"/>
    <n v="5.63"/>
    <n v="10563"/>
    <n v="520"/>
    <n v="3.3553365983339462E-3"/>
  </r>
  <r>
    <x v="56"/>
    <x v="0"/>
    <n v="593"/>
    <n v="108"/>
    <n v="216500"/>
    <n v="4.71"/>
    <n v="27575"/>
    <n v="485"/>
    <n v="2.2401847575057735E-3"/>
  </r>
  <r>
    <x v="56"/>
    <x v="1"/>
    <n v="1349"/>
    <n v="115"/>
    <n v="102102"/>
    <n v="5.28"/>
    <n v="14479"/>
    <n v="1234"/>
    <n v="1.208595326242385E-2"/>
  </r>
  <r>
    <x v="56"/>
    <x v="2"/>
    <n v="693"/>
    <n v="97"/>
    <n v="92025"/>
    <n v="5.95"/>
    <n v="15915"/>
    <n v="596"/>
    <n v="6.4765009508285796E-3"/>
  </r>
  <r>
    <x v="57"/>
    <x v="0"/>
    <n v="974"/>
    <n v="143"/>
    <n v="247965"/>
    <n v="9.98"/>
    <n v="12767"/>
    <n v="831"/>
    <n v="3.3512794144334888E-3"/>
  </r>
  <r>
    <x v="57"/>
    <x v="1"/>
    <n v="1155"/>
    <n v="122"/>
    <n v="387352"/>
    <n v="9.93"/>
    <n v="12170"/>
    <n v="1033"/>
    <n v="2.6668250067122413E-3"/>
  </r>
  <r>
    <x v="57"/>
    <x v="2"/>
    <n v="1051"/>
    <n v="246"/>
    <n v="253985"/>
    <n v="9.08"/>
    <n v="7245"/>
    <n v="805"/>
    <n v="3.1694785125105812E-3"/>
  </r>
  <r>
    <x v="58"/>
    <x v="0"/>
    <n v="1457"/>
    <n v="183"/>
    <n v="129640"/>
    <n v="7.98"/>
    <n v="12985"/>
    <n v="1274"/>
    <n v="9.827213822894169E-3"/>
  </r>
  <r>
    <x v="58"/>
    <x v="1"/>
    <n v="670"/>
    <n v="242"/>
    <n v="281913"/>
    <n v="9.6199999999999992"/>
    <n v="16377"/>
    <n v="428"/>
    <n v="1.5181988769584942E-3"/>
  </r>
  <r>
    <x v="58"/>
    <x v="2"/>
    <n v="1111"/>
    <n v="159"/>
    <n v="360770"/>
    <n v="8.7100000000000009"/>
    <n v="11453"/>
    <n v="952"/>
    <n v="2.6388003437092886E-3"/>
  </r>
  <r>
    <x v="59"/>
    <x v="0"/>
    <n v="1197"/>
    <n v="246"/>
    <n v="127273"/>
    <n v="6.69"/>
    <n v="12323"/>
    <n v="951"/>
    <n v="7.4721268454424738E-3"/>
  </r>
  <r>
    <x v="59"/>
    <x v="1"/>
    <n v="754"/>
    <n v="150"/>
    <n v="189622"/>
    <n v="4.25"/>
    <n v="11911"/>
    <n v="604"/>
    <n v="3.1852844079273504E-3"/>
  </r>
  <r>
    <x v="59"/>
    <x v="2"/>
    <n v="1246"/>
    <n v="107"/>
    <n v="350949"/>
    <n v="4.9800000000000004"/>
    <n v="27809"/>
    <n v="1139"/>
    <n v="3.2454858113287115E-3"/>
  </r>
  <r>
    <x v="60"/>
    <x v="0"/>
    <n v="780"/>
    <n v="213"/>
    <n v="121431"/>
    <n v="4.97"/>
    <n v="21464"/>
    <n v="567"/>
    <n v="4.669318378338316E-3"/>
  </r>
  <r>
    <x v="60"/>
    <x v="1"/>
    <n v="1425"/>
    <n v="143"/>
    <n v="116742"/>
    <n v="3.71"/>
    <n v="27126"/>
    <n v="1282"/>
    <n v="1.0981480529715098E-2"/>
  </r>
  <r>
    <x v="60"/>
    <x v="2"/>
    <n v="1490"/>
    <n v="103"/>
    <n v="81184"/>
    <n v="7.79"/>
    <n v="10681"/>
    <n v="1387"/>
    <n v="1.7084647221127316E-2"/>
  </r>
  <r>
    <x v="61"/>
    <x v="0"/>
    <n v="949"/>
    <n v="282"/>
    <n v="87126"/>
    <n v="4.96"/>
    <n v="5413"/>
    <n v="667"/>
    <n v="7.6555792759910937E-3"/>
  </r>
  <r>
    <x v="61"/>
    <x v="1"/>
    <n v="640"/>
    <n v="141"/>
    <n v="267546"/>
    <n v="8.58"/>
    <n v="25058"/>
    <n v="499"/>
    <n v="1.8650998332996943E-3"/>
  </r>
  <r>
    <x v="61"/>
    <x v="2"/>
    <n v="616"/>
    <n v="93"/>
    <n v="133082"/>
    <n v="8.51"/>
    <n v="18303"/>
    <n v="523"/>
    <n v="3.9299078763469142E-3"/>
  </r>
  <r>
    <x v="62"/>
    <x v="0"/>
    <n v="1080"/>
    <n v="184"/>
    <n v="340557"/>
    <n v="5.41"/>
    <n v="5526"/>
    <n v="896"/>
    <n v="2.6309839468870114E-3"/>
  </r>
  <r>
    <x v="62"/>
    <x v="1"/>
    <n v="938"/>
    <n v="236"/>
    <n v="116472"/>
    <n v="8.7200000000000006"/>
    <n v="17460"/>
    <n v="702"/>
    <n v="6.0271996703070265E-3"/>
  </r>
  <r>
    <x v="62"/>
    <x v="2"/>
    <n v="1007"/>
    <n v="258"/>
    <n v="113412"/>
    <n v="7.71"/>
    <n v="14475"/>
    <n v="749"/>
    <n v="6.6042394102916796E-3"/>
  </r>
  <r>
    <x v="63"/>
    <x v="0"/>
    <n v="541"/>
    <n v="208"/>
    <n v="157547"/>
    <n v="8.35"/>
    <n v="20162"/>
    <n v="333"/>
    <n v="2.1136549728017671E-3"/>
  </r>
  <r>
    <x v="63"/>
    <x v="1"/>
    <n v="745"/>
    <n v="98"/>
    <n v="354816"/>
    <n v="4.03"/>
    <n v="17103"/>
    <n v="647"/>
    <n v="1.823480339105339E-3"/>
  </r>
  <r>
    <x v="63"/>
    <x v="2"/>
    <n v="936"/>
    <n v="97"/>
    <n v="151799"/>
    <n v="9.3699999999999992"/>
    <n v="15461"/>
    <n v="839"/>
    <n v="5.5270456327116777E-3"/>
  </r>
  <r>
    <x v="64"/>
    <x v="0"/>
    <n v="1183"/>
    <n v="223"/>
    <n v="143811"/>
    <n v="6.07"/>
    <n v="22103"/>
    <n v="960"/>
    <n v="6.6754281661347186E-3"/>
  </r>
  <r>
    <x v="64"/>
    <x v="1"/>
    <n v="1413"/>
    <n v="245"/>
    <n v="296450"/>
    <n v="6.52"/>
    <n v="11625"/>
    <n v="1168"/>
    <n v="3.9399561477483558E-3"/>
  </r>
  <r>
    <x v="64"/>
    <x v="2"/>
    <n v="791"/>
    <n v="273"/>
    <n v="144049"/>
    <n v="3.08"/>
    <n v="5281"/>
    <n v="518"/>
    <n v="3.5959985838152297E-3"/>
  </r>
  <r>
    <x v="65"/>
    <x v="0"/>
    <n v="1052"/>
    <n v="180"/>
    <n v="272534"/>
    <n v="5.34"/>
    <n v="13424"/>
    <n v="872"/>
    <n v="3.1996007837554212E-3"/>
  </r>
  <r>
    <x v="65"/>
    <x v="1"/>
    <n v="572"/>
    <n v="270"/>
    <n v="82265"/>
    <n v="3.65"/>
    <n v="13140"/>
    <n v="302"/>
    <n v="3.6710630280192063E-3"/>
  </r>
  <r>
    <x v="65"/>
    <x v="2"/>
    <n v="503"/>
    <n v="253"/>
    <n v="313562"/>
    <n v="4.18"/>
    <n v="19538"/>
    <n v="250"/>
    <n v="7.9729048800556194E-4"/>
  </r>
  <r>
    <x v="66"/>
    <x v="0"/>
    <n v="1017"/>
    <n v="197"/>
    <n v="89918"/>
    <n v="3.91"/>
    <n v="7881"/>
    <n v="820"/>
    <n v="9.1194199159233963E-3"/>
  </r>
  <r>
    <x v="66"/>
    <x v="1"/>
    <n v="860"/>
    <n v="244"/>
    <n v="348686"/>
    <n v="5.12"/>
    <n v="11418"/>
    <n v="616"/>
    <n v="1.7666324429429343E-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2A19D0-3954-49A2-A7B9-B8CD9FA0331D}"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7" firstHeaderRow="1" firstDataRow="1" firstDataCol="1"/>
  <pivotFields count="8">
    <pivotField numFmtId="164" showAll="0">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axis="axisRow" showAll="0">
      <items count="4">
        <item x="0"/>
        <item x="1"/>
        <item x="2"/>
        <item t="default"/>
      </items>
    </pivotField>
    <pivotField numFmtId="1" showAll="0"/>
    <pivotField numFmtId="1" showAll="0"/>
    <pivotField numFmtId="1" showAll="0"/>
    <pivotField dataField="1" numFmtId="2" showAll="0"/>
    <pivotField numFmtId="1" showAll="0"/>
    <pivotField showAll="0">
      <items count="7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t="default"/>
      </items>
    </pivotField>
  </pivotFields>
  <rowFields count="1">
    <field x="1"/>
  </rowFields>
  <rowItems count="4">
    <i>
      <x/>
    </i>
    <i>
      <x v="1"/>
    </i>
    <i>
      <x v="2"/>
    </i>
    <i t="grand">
      <x/>
    </i>
  </rowItems>
  <colItems count="1">
    <i/>
  </colItems>
  <dataFields count="1">
    <dataField name="Average of Engagement_Rate" fld="5" subtotal="average" baseField="1"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271A6C-6123-4212-929E-5952E024FFF2}" name="PivotTable22" cacheId="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location ref="A3:E72" firstHeaderRow="1" firstDataRow="2" firstDataCol="1"/>
  <pivotFields count="12">
    <pivotField axis="axisRow" numFmtId="164" showAll="0">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axis="axisCol" showAll="0">
      <items count="4">
        <item x="0"/>
        <item x="1"/>
        <item x="2"/>
        <item t="default"/>
      </items>
    </pivotField>
    <pivotField numFmtId="1" showAll="0"/>
    <pivotField numFmtId="1" showAll="0"/>
    <pivotField numFmtId="1" showAll="0"/>
    <pivotField numFmtId="2" showAll="0"/>
    <pivotField numFmtId="1" showAll="0"/>
    <pivotField numFmtId="1" showAll="0"/>
    <pivotField dataField="1"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0"/>
  </rowFields>
  <rowItems count="6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t="grand">
      <x/>
    </i>
  </rowItems>
  <colFields count="1">
    <field x="1"/>
  </colFields>
  <colItems count="4">
    <i>
      <x/>
    </i>
    <i>
      <x v="1"/>
    </i>
    <i>
      <x v="2"/>
    </i>
    <i t="grand">
      <x/>
    </i>
  </colItems>
  <dataFields count="1">
    <dataField name="Sum of follower growth rate " fld="8" baseField="0" baseItem="0" numFmtId="10"/>
  </dataFields>
  <chartFormats count="3">
    <chartFormat chart="5" format="0" series="1">
      <pivotArea type="data" outline="0" fieldPosition="0">
        <references count="2">
          <reference field="4294967294" count="1" selected="0">
            <x v="0"/>
          </reference>
          <reference field="1" count="1" selected="0">
            <x v="0"/>
          </reference>
        </references>
      </pivotArea>
    </chartFormat>
    <chartFormat chart="5" format="1" series="1">
      <pivotArea type="data" outline="0" fieldPosition="0">
        <references count="2">
          <reference field="4294967294" count="1" selected="0">
            <x v="0"/>
          </reference>
          <reference field="1" count="1" selected="0">
            <x v="1"/>
          </reference>
        </references>
      </pivotArea>
    </chartFormat>
    <chartFormat chart="5" format="2"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00977B-3708-444F-8BB1-B050DAE44E6A}" name="PivotTable9"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F7:H11" firstHeaderRow="0" firstDataRow="1" firstDataCol="1"/>
  <pivotFields count="3">
    <pivotField axis="axisRow" showAll="0">
      <items count="4">
        <item x="0"/>
        <item x="1"/>
        <item x="2"/>
        <item t="default"/>
      </items>
    </pivotField>
    <pivotField dataField="1" numFmtId="2" showAll="0"/>
    <pivotField dataField="1" numFmtId="1" showAll="0"/>
  </pivotFields>
  <rowFields count="1">
    <field x="0"/>
  </rowFields>
  <rowItems count="4">
    <i>
      <x/>
    </i>
    <i>
      <x v="1"/>
    </i>
    <i>
      <x v="2"/>
    </i>
    <i t="grand">
      <x/>
    </i>
  </rowItems>
  <colFields count="1">
    <field x="-2"/>
  </colFields>
  <colItems count="2">
    <i>
      <x/>
    </i>
    <i i="1">
      <x v="1"/>
    </i>
  </colItems>
  <dataFields count="2">
    <dataField name="Sum of Engagement_Rate" fld="1" baseField="0" baseItem="0" numFmtId="1"/>
    <dataField name="Sum of Ad_Spend" fld="2" baseField="0" baseItem="0" numFmtId="1"/>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652DBB9-8CEF-4C49-A9BE-9C33E2F9C693}" name="Table2" displayName="Table2" ref="A4:C204" totalsRowShown="0">
  <autoFilter ref="A4:C204" xr:uid="{A652DBB9-8CEF-4C49-A9BE-9C33E2F9C693}"/>
  <tableColumns count="3">
    <tableColumn id="1" xr3:uid="{2E526262-1041-454F-A18E-21B92A7B7AFC}" name="Platform" dataDxfId="13"/>
    <tableColumn id="2" xr3:uid="{CD2ADF09-3559-405A-8A7B-EB22BC204165}" name="Engagement_Rate" dataDxfId="12"/>
    <tableColumn id="3" xr3:uid="{1410EC4D-1ABB-424C-8277-2DDEB4C563F3}" name="Ad_Spend" dataDxfId="11"/>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AF49D66-4EAF-4FCD-91F5-E0BD5DA9E20B}" name="Table5" displayName="Table5" ref="A1:I201" totalsRowShown="0" headerRowDxfId="10" dataDxfId="9">
  <autoFilter ref="A1:I201" xr:uid="{8AF49D66-4EAF-4FCD-91F5-E0BD5DA9E20B}"/>
  <tableColumns count="9">
    <tableColumn id="1" xr3:uid="{E04509D7-A086-428B-86A7-25F35E70FAF9}" name="Week_Start_Date" dataDxfId="8"/>
    <tableColumn id="2" xr3:uid="{A9E801DA-5627-4F9A-8C8B-0B838FF31EAB}" name="Platform" dataDxfId="7"/>
    <tableColumn id="3" xr3:uid="{3E2678E2-D67B-47BD-8502-F3A20C4E7B0B}" name="New_Followers" dataDxfId="6"/>
    <tableColumn id="4" xr3:uid="{F9097734-B4AC-49D7-BB18-3D2ED83334D1}" name="Unfollows" dataDxfId="5"/>
    <tableColumn id="5" xr3:uid="{5DAE9F8E-F439-424A-A045-0E6C7060B847}" name="Total_Followers" dataDxfId="4"/>
    <tableColumn id="6" xr3:uid="{946B58A6-55A2-4785-95E4-35AE63BBDE09}" name="Engagement_Rate" dataDxfId="3"/>
    <tableColumn id="7" xr3:uid="{16F7A97F-1C85-4F87-AF75-132AA7FE1530}" name="Ad_Spend" dataDxfId="2"/>
    <tableColumn id="9" xr3:uid="{F9C2D4CE-060C-4A64-9A35-72D32DD6610B}" name="Net_Followers" dataDxfId="1">
      <calculatedColumnFormula>Table5[[#This Row],[New_Followers]]-Table5[[#This Row],[Unfollows]]</calculatedColumnFormula>
    </tableColumn>
    <tableColumn id="8" xr3:uid="{7F705B61-97C9-4B5B-9D15-9ADE1DA90F70}" name="follower growth rate " dataDxfId="0">
      <calculatedColumnFormula>(C2-D2)/E2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B7F4F-C45C-4533-9BC4-27F8CD5CBE5B}">
  <sheetPr codeName="Sheet1"/>
  <dimension ref="B2:C7"/>
  <sheetViews>
    <sheetView tabSelected="1" workbookViewId="0">
      <selection activeCell="E6" sqref="E6"/>
    </sheetView>
  </sheetViews>
  <sheetFormatPr defaultRowHeight="15" x14ac:dyDescent="0.25"/>
  <cols>
    <col min="2" max="2" width="13.140625" bestFit="1" customWidth="1"/>
    <col min="3" max="3" width="27.5703125" bestFit="1" customWidth="1"/>
    <col min="4" max="4" width="16.28515625" bestFit="1" customWidth="1"/>
    <col min="5" max="5" width="11.28515625" bestFit="1" customWidth="1"/>
  </cols>
  <sheetData>
    <row r="2" spans="2:3" ht="15.75" x14ac:dyDescent="0.25">
      <c r="B2" s="28" t="s">
        <v>14</v>
      </c>
      <c r="C2" s="25"/>
    </row>
    <row r="3" spans="2:3" x14ac:dyDescent="0.25">
      <c r="B3" s="9" t="s">
        <v>12</v>
      </c>
      <c r="C3" t="s">
        <v>13</v>
      </c>
    </row>
    <row r="4" spans="2:3" x14ac:dyDescent="0.25">
      <c r="B4" s="6" t="s">
        <v>7</v>
      </c>
      <c r="C4" s="7">
        <v>6.4582089552238831</v>
      </c>
    </row>
    <row r="5" spans="2:3" x14ac:dyDescent="0.25">
      <c r="B5" s="6" t="s">
        <v>8</v>
      </c>
      <c r="C5" s="7">
        <v>6.8856716417910446</v>
      </c>
    </row>
    <row r="6" spans="2:3" x14ac:dyDescent="0.25">
      <c r="B6" s="6" t="s">
        <v>9</v>
      </c>
      <c r="C6" s="7">
        <v>6.7189393939393929</v>
      </c>
    </row>
    <row r="7" spans="2:3" x14ac:dyDescent="0.25">
      <c r="B7" s="6" t="s">
        <v>11</v>
      </c>
      <c r="C7" s="7">
        <v>6.6874499999999975</v>
      </c>
    </row>
  </sheetData>
  <mergeCells count="1">
    <mergeCell ref="B2:C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0B5EB-0FAF-46EC-AC01-71F9F1AA88EA}">
  <sheetPr codeName="Sheet2"/>
  <dimension ref="A2:M72"/>
  <sheetViews>
    <sheetView topLeftCell="A3" zoomScale="60" zoomScaleNormal="60" workbookViewId="0">
      <selection activeCell="W4" sqref="W4"/>
    </sheetView>
  </sheetViews>
  <sheetFormatPr defaultRowHeight="15" x14ac:dyDescent="0.25"/>
  <cols>
    <col min="1" max="1" width="21.28515625" bestFit="1" customWidth="1"/>
    <col min="2" max="2" width="16.7109375" bestFit="1" customWidth="1"/>
    <col min="3" max="3" width="7.7109375" bestFit="1" customWidth="1"/>
    <col min="4" max="4" width="8.5703125" bestFit="1" customWidth="1"/>
    <col min="5" max="5" width="11.5703125" bestFit="1" customWidth="1"/>
  </cols>
  <sheetData>
    <row r="2" spans="1:5" ht="36" customHeight="1" x14ac:dyDescent="0.3">
      <c r="A2" s="24" t="s">
        <v>15</v>
      </c>
      <c r="B2" s="25"/>
      <c r="C2" s="25"/>
      <c r="D2" s="25"/>
      <c r="E2" s="25"/>
    </row>
    <row r="3" spans="1:5" x14ac:dyDescent="0.25">
      <c r="A3" s="9" t="s">
        <v>24</v>
      </c>
      <c r="B3" s="9" t="s">
        <v>10</v>
      </c>
    </row>
    <row r="4" spans="1:5" x14ac:dyDescent="0.25">
      <c r="A4" s="9" t="s">
        <v>12</v>
      </c>
      <c r="B4" t="s">
        <v>7</v>
      </c>
      <c r="C4" t="s">
        <v>8</v>
      </c>
      <c r="D4" t="s">
        <v>9</v>
      </c>
      <c r="E4" t="s">
        <v>11</v>
      </c>
    </row>
    <row r="5" spans="1:5" x14ac:dyDescent="0.25">
      <c r="A5" s="5">
        <v>45446</v>
      </c>
      <c r="B5" s="16">
        <v>1.0709526179733787E-2</v>
      </c>
      <c r="C5" s="16">
        <v>3.9875766588582107E-3</v>
      </c>
      <c r="D5" s="16">
        <v>3.176300905893983E-3</v>
      </c>
      <c r="E5" s="16">
        <v>1.7873403744485983E-2</v>
      </c>
    </row>
    <row r="6" spans="1:5" x14ac:dyDescent="0.25">
      <c r="A6" s="5">
        <v>45453</v>
      </c>
      <c r="B6" s="16">
        <v>1.0035253152237385E-2</v>
      </c>
      <c r="C6" s="16">
        <v>4.247465810484582E-3</v>
      </c>
      <c r="D6" s="16">
        <v>1.1541771253329111E-3</v>
      </c>
      <c r="E6" s="16">
        <v>1.543689608805488E-2</v>
      </c>
    </row>
    <row r="7" spans="1:5" x14ac:dyDescent="0.25">
      <c r="A7" s="5">
        <v>45460</v>
      </c>
      <c r="B7" s="16">
        <v>6.1532043593888509E-3</v>
      </c>
      <c r="C7" s="16">
        <v>5.2165710498603361E-3</v>
      </c>
      <c r="D7" s="16">
        <v>5.1990991422684362E-3</v>
      </c>
      <c r="E7" s="16">
        <v>1.6568874551517624E-2</v>
      </c>
    </row>
    <row r="8" spans="1:5" x14ac:dyDescent="0.25">
      <c r="A8" s="5">
        <v>45467</v>
      </c>
      <c r="B8" s="16">
        <v>7.0194756038813571E-3</v>
      </c>
      <c r="C8" s="16">
        <v>8.7155963302752298E-3</v>
      </c>
      <c r="D8" s="16">
        <v>5.5548942586200059E-3</v>
      </c>
      <c r="E8" s="16">
        <v>2.1289966192776594E-2</v>
      </c>
    </row>
    <row r="9" spans="1:5" x14ac:dyDescent="0.25">
      <c r="A9" s="5">
        <v>45474</v>
      </c>
      <c r="B9" s="16">
        <v>3.9974246283906723E-3</v>
      </c>
      <c r="C9" s="16">
        <v>2.7265062228494967E-3</v>
      </c>
      <c r="D9" s="16">
        <v>3.7184126339477423E-3</v>
      </c>
      <c r="E9" s="16">
        <v>1.044234348518791E-2</v>
      </c>
    </row>
    <row r="10" spans="1:5" x14ac:dyDescent="0.25">
      <c r="A10" s="5">
        <v>45481</v>
      </c>
      <c r="B10" s="16">
        <v>1.9610667968164271E-3</v>
      </c>
      <c r="C10" s="16">
        <v>1.7836234485988603E-2</v>
      </c>
      <c r="D10" s="16">
        <v>5.7836390843520723E-3</v>
      </c>
      <c r="E10" s="16">
        <v>2.55809403671571E-2</v>
      </c>
    </row>
    <row r="11" spans="1:5" x14ac:dyDescent="0.25">
      <c r="A11" s="5">
        <v>45488</v>
      </c>
      <c r="B11" s="16">
        <v>2.1159343412017798E-3</v>
      </c>
      <c r="C11" s="16">
        <v>4.1633646660018432E-3</v>
      </c>
      <c r="D11" s="16">
        <v>4.4074791828765565E-3</v>
      </c>
      <c r="E11" s="16">
        <v>1.068677819008018E-2</v>
      </c>
    </row>
    <row r="12" spans="1:5" x14ac:dyDescent="0.25">
      <c r="A12" s="5">
        <v>45495</v>
      </c>
      <c r="B12" s="16">
        <v>3.8800515380583087E-3</v>
      </c>
      <c r="C12" s="16">
        <v>1.3666228646517741E-3</v>
      </c>
      <c r="D12" s="16">
        <v>2.9558125725816196E-3</v>
      </c>
      <c r="E12" s="16">
        <v>8.2024869752917035E-3</v>
      </c>
    </row>
    <row r="13" spans="1:5" x14ac:dyDescent="0.25">
      <c r="A13" s="5">
        <v>45502</v>
      </c>
      <c r="B13" s="16">
        <v>2.3089717768720206E-3</v>
      </c>
      <c r="C13" s="16">
        <v>5.2125958475504573E-3</v>
      </c>
      <c r="D13" s="16">
        <v>2.4107127645679174E-3</v>
      </c>
      <c r="E13" s="16">
        <v>9.9322803889903954E-3</v>
      </c>
    </row>
    <row r="14" spans="1:5" x14ac:dyDescent="0.25">
      <c r="A14" s="5">
        <v>45509</v>
      </c>
      <c r="B14" s="16">
        <v>6.7435554935305723E-3</v>
      </c>
      <c r="C14" s="16">
        <v>4.3839826448522105E-3</v>
      </c>
      <c r="D14" s="16">
        <v>2.3829134417695176E-3</v>
      </c>
      <c r="E14" s="16">
        <v>1.3510451580152301E-2</v>
      </c>
    </row>
    <row r="15" spans="1:5" x14ac:dyDescent="0.25">
      <c r="A15" s="5">
        <v>45516</v>
      </c>
      <c r="B15" s="16">
        <v>1.4216285431581398E-2</v>
      </c>
      <c r="C15" s="16">
        <v>1.031124193757846E-2</v>
      </c>
      <c r="D15" s="16">
        <v>3.2668165162148292E-3</v>
      </c>
      <c r="E15" s="16">
        <v>2.7794343885374686E-2</v>
      </c>
    </row>
    <row r="16" spans="1:5" x14ac:dyDescent="0.25">
      <c r="A16" s="5">
        <v>45523</v>
      </c>
      <c r="B16" s="16">
        <v>2.5711521816608116E-3</v>
      </c>
      <c r="C16" s="16">
        <v>6.2169419806330862E-3</v>
      </c>
      <c r="D16" s="16">
        <v>6.1138546368952043E-3</v>
      </c>
      <c r="E16" s="16">
        <v>1.4901948799189102E-2</v>
      </c>
    </row>
    <row r="17" spans="1:13" x14ac:dyDescent="0.25">
      <c r="A17" s="5">
        <v>45530</v>
      </c>
      <c r="B17" s="16">
        <v>5.2519335029163131E-3</v>
      </c>
      <c r="C17" s="16">
        <v>1.1090510417460359E-3</v>
      </c>
      <c r="D17" s="16">
        <v>4.3018845648676966E-3</v>
      </c>
      <c r="E17" s="16">
        <v>1.0662869109530047E-2</v>
      </c>
    </row>
    <row r="18" spans="1:13" x14ac:dyDescent="0.25">
      <c r="A18" s="5">
        <v>45537</v>
      </c>
      <c r="B18" s="16">
        <v>1.5378321642822803E-3</v>
      </c>
      <c r="C18" s="16">
        <v>2.6618404566337186E-3</v>
      </c>
      <c r="D18" s="16">
        <v>2.8775171297394605E-3</v>
      </c>
      <c r="E18" s="16">
        <v>7.077189750655459E-3</v>
      </c>
    </row>
    <row r="19" spans="1:13" x14ac:dyDescent="0.25">
      <c r="A19" s="5">
        <v>45544</v>
      </c>
      <c r="B19" s="16">
        <v>1.7288453918263881E-3</v>
      </c>
      <c r="C19" s="16">
        <v>4.7123181781018424E-3</v>
      </c>
      <c r="D19" s="16">
        <v>2.3319170287838973E-3</v>
      </c>
      <c r="E19" s="16">
        <v>8.7730805987121276E-3</v>
      </c>
    </row>
    <row r="20" spans="1:13" x14ac:dyDescent="0.25">
      <c r="A20" s="5">
        <v>45551</v>
      </c>
      <c r="B20" s="16">
        <v>1.8947546272643525E-3</v>
      </c>
      <c r="C20" s="16">
        <v>3.4796436801746559E-3</v>
      </c>
      <c r="D20" s="16">
        <v>2.2541306944976669E-3</v>
      </c>
      <c r="E20" s="16">
        <v>7.628529001936675E-3</v>
      </c>
    </row>
    <row r="21" spans="1:13" x14ac:dyDescent="0.25">
      <c r="A21" s="5">
        <v>45558</v>
      </c>
      <c r="B21" s="16">
        <v>1.3784135240572171E-2</v>
      </c>
      <c r="C21" s="16">
        <v>3.305365562946797E-3</v>
      </c>
      <c r="D21" s="16">
        <v>1.3748256088824177E-3</v>
      </c>
      <c r="E21" s="16">
        <v>1.8464326412401384E-2</v>
      </c>
    </row>
    <row r="22" spans="1:13" x14ac:dyDescent="0.25">
      <c r="A22" s="5">
        <v>45565</v>
      </c>
      <c r="B22" s="16">
        <v>3.0190531054641659E-3</v>
      </c>
      <c r="C22" s="16">
        <v>4.6946006530167259E-3</v>
      </c>
      <c r="D22" s="16">
        <v>3.2768049617799048E-3</v>
      </c>
      <c r="E22" s="16">
        <v>1.0990458720260797E-2</v>
      </c>
    </row>
    <row r="23" spans="1:13" x14ac:dyDescent="0.25">
      <c r="A23" s="5">
        <v>45572</v>
      </c>
      <c r="B23" s="16">
        <v>1.7507375647522346E-3</v>
      </c>
      <c r="C23" s="16">
        <v>2.8850860838862216E-3</v>
      </c>
      <c r="D23" s="16">
        <v>8.0878372132944243E-3</v>
      </c>
      <c r="E23" s="16">
        <v>1.272366086193288E-2</v>
      </c>
    </row>
    <row r="24" spans="1:13" x14ac:dyDescent="0.25">
      <c r="A24" s="5">
        <v>45579</v>
      </c>
      <c r="B24" s="16">
        <v>4.7398149771776844E-3</v>
      </c>
      <c r="C24" s="16">
        <v>1.8353650184906177E-3</v>
      </c>
      <c r="D24" s="16">
        <v>3.8177207407976638E-3</v>
      </c>
      <c r="E24" s="16">
        <v>1.0392900736465965E-2</v>
      </c>
    </row>
    <row r="25" spans="1:13" x14ac:dyDescent="0.25">
      <c r="A25" s="5">
        <v>45586</v>
      </c>
      <c r="B25" s="16">
        <v>1.0915497012055407E-2</v>
      </c>
      <c r="C25" s="16">
        <v>5.3980915408646862E-3</v>
      </c>
      <c r="D25" s="16">
        <v>7.2173750633688196E-3</v>
      </c>
      <c r="E25" s="16">
        <v>2.3530963616288911E-2</v>
      </c>
    </row>
    <row r="26" spans="1:13" x14ac:dyDescent="0.25">
      <c r="A26" s="5">
        <v>45593</v>
      </c>
      <c r="B26" s="16">
        <v>3.8051035059458792E-3</v>
      </c>
      <c r="C26" s="16">
        <v>1.5788005199153436E-3</v>
      </c>
      <c r="D26" s="16">
        <v>3.6774665438586984E-3</v>
      </c>
      <c r="E26" s="16">
        <v>9.0613705697199214E-3</v>
      </c>
    </row>
    <row r="27" spans="1:13" x14ac:dyDescent="0.25">
      <c r="A27" s="5">
        <v>45600</v>
      </c>
      <c r="B27" s="16">
        <v>3.6781918718691762E-3</v>
      </c>
      <c r="C27" s="16">
        <v>3.9842122008616216E-3</v>
      </c>
      <c r="D27" s="16">
        <v>8.0175996088975802E-3</v>
      </c>
      <c r="E27" s="16">
        <v>1.5680003681628377E-2</v>
      </c>
    </row>
    <row r="28" spans="1:13" x14ac:dyDescent="0.25">
      <c r="A28" s="5">
        <v>45607</v>
      </c>
      <c r="B28" s="16">
        <v>3.9281193313061976E-3</v>
      </c>
      <c r="C28" s="16">
        <v>2.6275238057607967E-3</v>
      </c>
      <c r="D28" s="16">
        <v>4.6556860536239985E-3</v>
      </c>
      <c r="E28" s="16">
        <v>1.1211329190690993E-2</v>
      </c>
    </row>
    <row r="29" spans="1:13" x14ac:dyDescent="0.25">
      <c r="A29" s="5">
        <v>45614</v>
      </c>
      <c r="B29" s="16">
        <v>2.741648314656868E-3</v>
      </c>
      <c r="C29" s="16">
        <v>5.0288483327232481E-3</v>
      </c>
      <c r="D29" s="16">
        <v>2.0449775112443779E-3</v>
      </c>
      <c r="E29" s="16">
        <v>9.8154741586244949E-3</v>
      </c>
    </row>
    <row r="30" spans="1:13" ht="15" customHeight="1" x14ac:dyDescent="0.35">
      <c r="A30" s="5">
        <v>45621</v>
      </c>
      <c r="B30" s="16">
        <v>1.2759550523566889E-3</v>
      </c>
      <c r="C30" s="16">
        <v>4.2439230501565839E-3</v>
      </c>
      <c r="D30" s="16">
        <v>5.8524314976443207E-3</v>
      </c>
      <c r="E30" s="16">
        <v>1.1372309600157594E-2</v>
      </c>
      <c r="G30" s="10"/>
      <c r="H30" s="10"/>
      <c r="I30" s="10"/>
      <c r="J30" s="10"/>
      <c r="K30" s="10"/>
      <c r="L30" s="10"/>
      <c r="M30" s="10"/>
    </row>
    <row r="31" spans="1:13" ht="15" customHeight="1" x14ac:dyDescent="0.35">
      <c r="A31" s="5">
        <v>45628</v>
      </c>
      <c r="B31" s="16">
        <v>4.7176696580273365E-3</v>
      </c>
      <c r="C31" s="16">
        <v>7.8261885293774095E-3</v>
      </c>
      <c r="D31" s="16">
        <v>2.0028848369668811E-3</v>
      </c>
      <c r="E31" s="16">
        <v>1.4546743024371627E-2</v>
      </c>
      <c r="G31" s="26" t="s">
        <v>16</v>
      </c>
      <c r="H31" s="27"/>
      <c r="I31" s="27"/>
      <c r="J31" s="27"/>
      <c r="K31" s="10"/>
      <c r="L31" s="10"/>
      <c r="M31" s="10"/>
    </row>
    <row r="32" spans="1:13" ht="15" customHeight="1" x14ac:dyDescent="0.35">
      <c r="A32" s="5">
        <v>45635</v>
      </c>
      <c r="B32" s="16">
        <v>1.7677812464738406E-3</v>
      </c>
      <c r="C32" s="16">
        <v>3.8344284334702996E-3</v>
      </c>
      <c r="D32" s="16">
        <v>3.2086280175382597E-3</v>
      </c>
      <c r="E32" s="16">
        <v>8.8108376974824001E-3</v>
      </c>
      <c r="G32" s="27"/>
      <c r="H32" s="27"/>
      <c r="I32" s="27"/>
      <c r="J32" s="27"/>
      <c r="K32" s="10"/>
      <c r="L32" s="10"/>
      <c r="M32" s="10"/>
    </row>
    <row r="33" spans="1:5" x14ac:dyDescent="0.25">
      <c r="A33" s="5">
        <v>45642</v>
      </c>
      <c r="B33" s="16">
        <v>6.506669773402458E-3</v>
      </c>
      <c r="C33" s="16">
        <v>2.7987701840030041E-3</v>
      </c>
      <c r="D33" s="16">
        <v>7.8332145402708487E-3</v>
      </c>
      <c r="E33" s="16">
        <v>1.7138654497676313E-2</v>
      </c>
    </row>
    <row r="34" spans="1:5" x14ac:dyDescent="0.25">
      <c r="A34" s="5">
        <v>45649</v>
      </c>
      <c r="B34" s="16">
        <v>4.8653658034289241E-3</v>
      </c>
      <c r="C34" s="16">
        <v>6.4046760353189906E-3</v>
      </c>
      <c r="D34" s="16">
        <v>2.60081206532016E-3</v>
      </c>
      <c r="E34" s="16">
        <v>1.3870853904068075E-2</v>
      </c>
    </row>
    <row r="35" spans="1:5" x14ac:dyDescent="0.25">
      <c r="A35" s="5">
        <v>45656</v>
      </c>
      <c r="B35" s="16">
        <v>1.7165562473503519E-3</v>
      </c>
      <c r="C35" s="16">
        <v>3.7157691133055076E-3</v>
      </c>
      <c r="D35" s="16">
        <v>4.3562203906807708E-3</v>
      </c>
      <c r="E35" s="16">
        <v>9.788545751336631E-3</v>
      </c>
    </row>
    <row r="36" spans="1:5" x14ac:dyDescent="0.25">
      <c r="A36" s="5">
        <v>45663</v>
      </c>
      <c r="B36" s="16">
        <v>3.1809630491290049E-3</v>
      </c>
      <c r="C36" s="16">
        <v>8.2282093543773697E-3</v>
      </c>
      <c r="D36" s="16">
        <v>2.8057492705051896E-3</v>
      </c>
      <c r="E36" s="16">
        <v>1.4214921674011564E-2</v>
      </c>
    </row>
    <row r="37" spans="1:5" x14ac:dyDescent="0.25">
      <c r="A37" s="5">
        <v>45670</v>
      </c>
      <c r="B37" s="16">
        <v>1.3793673813581599E-3</v>
      </c>
      <c r="C37" s="16">
        <v>3.960732004118693E-3</v>
      </c>
      <c r="D37" s="16">
        <v>2.9568975321278288E-3</v>
      </c>
      <c r="E37" s="16">
        <v>8.2969969176046807E-3</v>
      </c>
    </row>
    <row r="38" spans="1:5" x14ac:dyDescent="0.25">
      <c r="A38" s="5">
        <v>45677</v>
      </c>
      <c r="B38" s="16">
        <v>1.3487040845594743E-3</v>
      </c>
      <c r="C38" s="16">
        <v>2.0100280520398473E-3</v>
      </c>
      <c r="D38" s="16">
        <v>2.5280739012313877E-3</v>
      </c>
      <c r="E38" s="16">
        <v>5.8868060378307096E-3</v>
      </c>
    </row>
    <row r="39" spans="1:5" x14ac:dyDescent="0.25">
      <c r="A39" s="5">
        <v>45684</v>
      </c>
      <c r="B39" s="16">
        <v>9.2415931314094918E-4</v>
      </c>
      <c r="C39" s="16">
        <v>5.1939513477975013E-3</v>
      </c>
      <c r="D39" s="16">
        <v>3.685623501752981E-3</v>
      </c>
      <c r="E39" s="16">
        <v>9.8037341626914312E-3</v>
      </c>
    </row>
    <row r="40" spans="1:5" x14ac:dyDescent="0.25">
      <c r="A40" s="5">
        <v>45691</v>
      </c>
      <c r="B40" s="16">
        <v>2.3334666742861497E-3</v>
      </c>
      <c r="C40" s="16">
        <v>6.8852027382833069E-3</v>
      </c>
      <c r="D40" s="16">
        <v>1.1697559866836308E-3</v>
      </c>
      <c r="E40" s="16">
        <v>1.0388425399253087E-2</v>
      </c>
    </row>
    <row r="41" spans="1:5" x14ac:dyDescent="0.25">
      <c r="A41" s="5">
        <v>45698</v>
      </c>
      <c r="B41" s="16">
        <v>3.0798747854185599E-3</v>
      </c>
      <c r="C41" s="16">
        <v>1.2038244241634072E-2</v>
      </c>
      <c r="D41" s="16">
        <v>1.9357425118836263E-3</v>
      </c>
      <c r="E41" s="16">
        <v>1.7053861538936257E-2</v>
      </c>
    </row>
    <row r="42" spans="1:5" x14ac:dyDescent="0.25">
      <c r="A42" s="5">
        <v>45705</v>
      </c>
      <c r="B42" s="16">
        <v>4.0817246978170664E-3</v>
      </c>
      <c r="C42" s="16">
        <v>2.3280135960016494E-3</v>
      </c>
      <c r="D42" s="16">
        <v>1.0583174536168594E-3</v>
      </c>
      <c r="E42" s="16">
        <v>7.4680557474355747E-3</v>
      </c>
    </row>
    <row r="43" spans="1:5" x14ac:dyDescent="0.25">
      <c r="A43" s="5">
        <v>45712</v>
      </c>
      <c r="B43" s="16">
        <v>1.0896826083196401E-3</v>
      </c>
      <c r="C43" s="16">
        <v>3.7818873758696555E-3</v>
      </c>
      <c r="D43" s="16">
        <v>1.8949662755644234E-3</v>
      </c>
      <c r="E43" s="16">
        <v>6.7665362597537186E-3</v>
      </c>
    </row>
    <row r="44" spans="1:5" x14ac:dyDescent="0.25">
      <c r="A44" s="5">
        <v>45719</v>
      </c>
      <c r="B44" s="16">
        <v>1.0984575217286749E-2</v>
      </c>
      <c r="C44" s="16">
        <v>7.8900723125911749E-3</v>
      </c>
      <c r="D44" s="16">
        <v>1.7409229805475531E-3</v>
      </c>
      <c r="E44" s="16">
        <v>2.0615570510425476E-2</v>
      </c>
    </row>
    <row r="45" spans="1:5" x14ac:dyDescent="0.25">
      <c r="A45" s="5">
        <v>45726</v>
      </c>
      <c r="B45" s="16">
        <v>1.8468941678809856E-3</v>
      </c>
      <c r="C45" s="16">
        <v>5.1540047386073422E-3</v>
      </c>
      <c r="D45" s="16">
        <v>2.2450476889214967E-3</v>
      </c>
      <c r="E45" s="16">
        <v>9.2459465954098236E-3</v>
      </c>
    </row>
    <row r="46" spans="1:5" x14ac:dyDescent="0.25">
      <c r="A46" s="5">
        <v>45733</v>
      </c>
      <c r="B46" s="16">
        <v>1.9052058737091724E-3</v>
      </c>
      <c r="C46" s="16">
        <v>1.4348198375413667E-3</v>
      </c>
      <c r="D46" s="16">
        <v>4.2810298761233904E-3</v>
      </c>
      <c r="E46" s="16">
        <v>7.6210555873739297E-3</v>
      </c>
    </row>
    <row r="47" spans="1:5" x14ac:dyDescent="0.25">
      <c r="A47" s="5">
        <v>45740</v>
      </c>
      <c r="B47" s="16">
        <v>3.0555240088474996E-3</v>
      </c>
      <c r="C47" s="16">
        <v>6.5302778380201933E-3</v>
      </c>
      <c r="D47" s="16">
        <v>3.2720751898231166E-3</v>
      </c>
      <c r="E47" s="16">
        <v>1.2857877036690809E-2</v>
      </c>
    </row>
    <row r="48" spans="1:5" x14ac:dyDescent="0.25">
      <c r="A48" s="5">
        <v>45747</v>
      </c>
      <c r="B48" s="16">
        <v>3.1475371965261584E-3</v>
      </c>
      <c r="C48" s="16">
        <v>9.0792625187990864E-3</v>
      </c>
      <c r="D48" s="16">
        <v>6.7594964249334932E-3</v>
      </c>
      <c r="E48" s="16">
        <v>1.8986296140258738E-2</v>
      </c>
    </row>
    <row r="49" spans="1:5" x14ac:dyDescent="0.25">
      <c r="A49" s="5">
        <v>45754</v>
      </c>
      <c r="B49" s="16">
        <v>3.9209705941868752E-3</v>
      </c>
      <c r="C49" s="16">
        <v>2.9814935695005556E-3</v>
      </c>
      <c r="D49" s="16">
        <v>3.6902252215116576E-3</v>
      </c>
      <c r="E49" s="16">
        <v>1.0592689385199089E-2</v>
      </c>
    </row>
    <row r="50" spans="1:5" x14ac:dyDescent="0.25">
      <c r="A50" s="5">
        <v>45761</v>
      </c>
      <c r="B50" s="16">
        <v>1.9961869935398759E-3</v>
      </c>
      <c r="C50" s="16">
        <v>6.2397756485160086E-3</v>
      </c>
      <c r="D50" s="16">
        <v>4.6142223427541986E-3</v>
      </c>
      <c r="E50" s="16">
        <v>1.2850184984810081E-2</v>
      </c>
    </row>
    <row r="51" spans="1:5" x14ac:dyDescent="0.25">
      <c r="A51" s="5">
        <v>45768</v>
      </c>
      <c r="B51" s="16">
        <v>1.0988053215795403E-3</v>
      </c>
      <c r="C51" s="16">
        <v>1.4351099955706482E-3</v>
      </c>
      <c r="D51" s="16">
        <v>3.2565414723670183E-3</v>
      </c>
      <c r="E51" s="16">
        <v>5.7904567895172062E-3</v>
      </c>
    </row>
    <row r="52" spans="1:5" x14ac:dyDescent="0.25">
      <c r="A52" s="5">
        <v>45775</v>
      </c>
      <c r="B52" s="16">
        <v>3.7778051067623862E-3</v>
      </c>
      <c r="C52" s="16">
        <v>2.0509887813384732E-3</v>
      </c>
      <c r="D52" s="16">
        <v>2.9339148299662998E-3</v>
      </c>
      <c r="E52" s="16">
        <v>8.7627087180671588E-3</v>
      </c>
    </row>
    <row r="53" spans="1:5" x14ac:dyDescent="0.25">
      <c r="A53" s="5">
        <v>45782</v>
      </c>
      <c r="B53" s="16">
        <v>2.5976522198761379E-3</v>
      </c>
      <c r="C53" s="16">
        <v>2.5507605115104954E-3</v>
      </c>
      <c r="D53" s="16">
        <v>1.9790880672631238E-3</v>
      </c>
      <c r="E53" s="16">
        <v>7.1275007986497576E-3</v>
      </c>
    </row>
    <row r="54" spans="1:5" x14ac:dyDescent="0.25">
      <c r="A54" s="5">
        <v>45789</v>
      </c>
      <c r="B54" s="16">
        <v>1.5731300645365684E-3</v>
      </c>
      <c r="C54" s="16">
        <v>2.6547884187082403E-3</v>
      </c>
      <c r="D54" s="16">
        <v>1.4915157677349929E-3</v>
      </c>
      <c r="E54" s="16">
        <v>5.7194342509798018E-3</v>
      </c>
    </row>
    <row r="55" spans="1:5" x14ac:dyDescent="0.25">
      <c r="A55" s="5">
        <v>45796</v>
      </c>
      <c r="B55" s="16">
        <v>7.872087032172511E-3</v>
      </c>
      <c r="C55" s="16">
        <v>4.1466368206671319E-3</v>
      </c>
      <c r="D55" s="16">
        <v>7.5491490264485411E-3</v>
      </c>
      <c r="E55" s="16">
        <v>1.9567872879288184E-2</v>
      </c>
    </row>
    <row r="56" spans="1:5" x14ac:dyDescent="0.25">
      <c r="A56" s="5">
        <v>45803</v>
      </c>
      <c r="B56" s="16">
        <v>3.8281206906062111E-3</v>
      </c>
      <c r="C56" s="16">
        <v>3.7470607409939207E-3</v>
      </c>
      <c r="D56" s="16">
        <v>2.005770990217468E-3</v>
      </c>
      <c r="E56" s="16">
        <v>9.5809524218176002E-3</v>
      </c>
    </row>
    <row r="57" spans="1:5" x14ac:dyDescent="0.25">
      <c r="A57" s="5">
        <v>45810</v>
      </c>
      <c r="B57" s="16">
        <v>1.2413909189098204E-3</v>
      </c>
      <c r="C57" s="16">
        <v>9.6542972769051369E-3</v>
      </c>
      <c r="D57" s="16">
        <v>4.9181461441388493E-3</v>
      </c>
      <c r="E57" s="16">
        <v>1.5813834339953807E-2</v>
      </c>
    </row>
    <row r="58" spans="1:5" x14ac:dyDescent="0.25">
      <c r="A58" s="5">
        <v>45817</v>
      </c>
      <c r="B58" s="16">
        <v>1.1327664328719508E-2</v>
      </c>
      <c r="C58" s="16">
        <v>1.5942232850377457E-3</v>
      </c>
      <c r="D58" s="16">
        <v>4.1211031333606603E-3</v>
      </c>
      <c r="E58" s="16">
        <v>1.7042990747117914E-2</v>
      </c>
    </row>
    <row r="59" spans="1:5" x14ac:dyDescent="0.25">
      <c r="A59" s="5">
        <v>45824</v>
      </c>
      <c r="B59" s="16">
        <v>2.4617598408673293E-3</v>
      </c>
      <c r="C59" s="16">
        <v>5.1721119722456512E-3</v>
      </c>
      <c r="D59" s="16">
        <v>5.4388566363352828E-3</v>
      </c>
      <c r="E59" s="16">
        <v>1.3072728449448262E-2</v>
      </c>
    </row>
    <row r="60" spans="1:5" x14ac:dyDescent="0.25">
      <c r="A60" s="5">
        <v>45831</v>
      </c>
      <c r="B60" s="16">
        <v>1.1452908859898713E-3</v>
      </c>
      <c r="C60" s="16">
        <v>2.1127444317144686E-3</v>
      </c>
      <c r="D60" s="16">
        <v>3.3553365983339462E-3</v>
      </c>
      <c r="E60" s="16">
        <v>6.6133719160382859E-3</v>
      </c>
    </row>
    <row r="61" spans="1:5" x14ac:dyDescent="0.25">
      <c r="A61" s="5">
        <v>45838</v>
      </c>
      <c r="B61" s="16">
        <v>2.2401847575057735E-3</v>
      </c>
      <c r="C61" s="16">
        <v>1.208595326242385E-2</v>
      </c>
      <c r="D61" s="16">
        <v>6.4765009508285796E-3</v>
      </c>
      <c r="E61" s="16">
        <v>2.0802638970758201E-2</v>
      </c>
    </row>
    <row r="62" spans="1:5" x14ac:dyDescent="0.25">
      <c r="A62" s="5">
        <v>45845</v>
      </c>
      <c r="B62" s="16">
        <v>3.3512794144334888E-3</v>
      </c>
      <c r="C62" s="16">
        <v>2.6668250067122413E-3</v>
      </c>
      <c r="D62" s="16">
        <v>3.1694785125105812E-3</v>
      </c>
      <c r="E62" s="16">
        <v>9.1875829336563117E-3</v>
      </c>
    </row>
    <row r="63" spans="1:5" x14ac:dyDescent="0.25">
      <c r="A63" s="5">
        <v>45852</v>
      </c>
      <c r="B63" s="16">
        <v>9.827213822894169E-3</v>
      </c>
      <c r="C63" s="16">
        <v>1.5181988769584942E-3</v>
      </c>
      <c r="D63" s="16">
        <v>2.6388003437092886E-3</v>
      </c>
      <c r="E63" s="16">
        <v>1.3984213043561951E-2</v>
      </c>
    </row>
    <row r="64" spans="1:5" x14ac:dyDescent="0.25">
      <c r="A64" s="5">
        <v>45859</v>
      </c>
      <c r="B64" s="16">
        <v>7.4721268454424738E-3</v>
      </c>
      <c r="C64" s="16">
        <v>3.1852844079273504E-3</v>
      </c>
      <c r="D64" s="16">
        <v>3.2454858113287115E-3</v>
      </c>
      <c r="E64" s="16">
        <v>1.3902897064698536E-2</v>
      </c>
    </row>
    <row r="65" spans="1:5" x14ac:dyDescent="0.25">
      <c r="A65" s="5">
        <v>45866</v>
      </c>
      <c r="B65" s="16">
        <v>4.669318378338316E-3</v>
      </c>
      <c r="C65" s="16">
        <v>1.0981480529715098E-2</v>
      </c>
      <c r="D65" s="16">
        <v>1.7084647221127316E-2</v>
      </c>
      <c r="E65" s="16">
        <v>3.273544612918073E-2</v>
      </c>
    </row>
    <row r="66" spans="1:5" x14ac:dyDescent="0.25">
      <c r="A66" s="5">
        <v>45873</v>
      </c>
      <c r="B66" s="16">
        <v>7.6555792759910937E-3</v>
      </c>
      <c r="C66" s="16">
        <v>1.8650998332996943E-3</v>
      </c>
      <c r="D66" s="16">
        <v>3.9299078763469142E-3</v>
      </c>
      <c r="E66" s="16">
        <v>1.3450586985637704E-2</v>
      </c>
    </row>
    <row r="67" spans="1:5" x14ac:dyDescent="0.25">
      <c r="A67" s="5">
        <v>45880</v>
      </c>
      <c r="B67" s="16">
        <v>2.6309839468870114E-3</v>
      </c>
      <c r="C67" s="16">
        <v>6.0271996703070265E-3</v>
      </c>
      <c r="D67" s="16">
        <v>6.6042394102916796E-3</v>
      </c>
      <c r="E67" s="16">
        <v>1.5262423027485719E-2</v>
      </c>
    </row>
    <row r="68" spans="1:5" x14ac:dyDescent="0.25">
      <c r="A68" s="5">
        <v>45887</v>
      </c>
      <c r="B68" s="16">
        <v>2.1136549728017671E-3</v>
      </c>
      <c r="C68" s="16">
        <v>1.823480339105339E-3</v>
      </c>
      <c r="D68" s="16">
        <v>5.5270456327116777E-3</v>
      </c>
      <c r="E68" s="16">
        <v>9.4641809446187834E-3</v>
      </c>
    </row>
    <row r="69" spans="1:5" x14ac:dyDescent="0.25">
      <c r="A69" s="5">
        <v>45894</v>
      </c>
      <c r="B69" s="16">
        <v>6.6754281661347186E-3</v>
      </c>
      <c r="C69" s="16">
        <v>3.9399561477483558E-3</v>
      </c>
      <c r="D69" s="16">
        <v>3.5959985838152297E-3</v>
      </c>
      <c r="E69" s="16">
        <v>1.4211382897698304E-2</v>
      </c>
    </row>
    <row r="70" spans="1:5" x14ac:dyDescent="0.25">
      <c r="A70" s="5">
        <v>45901</v>
      </c>
      <c r="B70" s="16">
        <v>3.1996007837554212E-3</v>
      </c>
      <c r="C70" s="16">
        <v>3.6710630280192063E-3</v>
      </c>
      <c r="D70" s="16">
        <v>7.9729048800556194E-4</v>
      </c>
      <c r="E70" s="16">
        <v>7.6679542997801897E-3</v>
      </c>
    </row>
    <row r="71" spans="1:5" x14ac:dyDescent="0.25">
      <c r="A71" s="5">
        <v>45908</v>
      </c>
      <c r="B71" s="16">
        <v>9.1194199159233963E-3</v>
      </c>
      <c r="C71" s="16">
        <v>1.7666324429429343E-3</v>
      </c>
      <c r="D71" s="16"/>
      <c r="E71" s="16">
        <v>1.0886052358866331E-2</v>
      </c>
    </row>
    <row r="72" spans="1:5" x14ac:dyDescent="0.25">
      <c r="A72" s="5" t="s">
        <v>11</v>
      </c>
      <c r="B72" s="16">
        <v>0.29149089921061594</v>
      </c>
      <c r="C72" s="16">
        <v>0.31489507387388765</v>
      </c>
      <c r="D72" s="16">
        <v>0.26067100999220127</v>
      </c>
      <c r="E72" s="16">
        <v>0.86705698307670453</v>
      </c>
    </row>
  </sheetData>
  <mergeCells count="2">
    <mergeCell ref="A2:E2"/>
    <mergeCell ref="G31:J32"/>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EE307-5D1A-4C72-A453-DCA3E7F497A9}">
  <sheetPr codeName="Sheet4"/>
  <dimension ref="A1:Q204"/>
  <sheetViews>
    <sheetView zoomScale="70" zoomScaleNormal="70" workbookViewId="0">
      <selection activeCell="E32" sqref="E32:G33"/>
    </sheetView>
  </sheetViews>
  <sheetFormatPr defaultRowHeight="15" x14ac:dyDescent="0.25"/>
  <cols>
    <col min="1" max="1" width="11.5703125" customWidth="1"/>
    <col min="2" max="2" width="21.7109375" customWidth="1"/>
    <col min="3" max="3" width="13.42578125" customWidth="1"/>
    <col min="6" max="6" width="14.140625" bestFit="1" customWidth="1"/>
    <col min="7" max="7" width="24.85546875" bestFit="1" customWidth="1"/>
    <col min="8" max="8" width="17" bestFit="1" customWidth="1"/>
    <col min="9" max="9" width="9.140625" customWidth="1"/>
  </cols>
  <sheetData>
    <row r="1" spans="1:17" ht="15" customHeight="1" x14ac:dyDescent="0.25">
      <c r="C1" s="30" t="s">
        <v>19</v>
      </c>
      <c r="D1" s="30"/>
      <c r="E1" s="30"/>
      <c r="F1" s="30"/>
      <c r="G1" s="30"/>
      <c r="H1" s="30"/>
      <c r="I1" s="30"/>
      <c r="J1" s="30"/>
      <c r="K1" s="30"/>
    </row>
    <row r="2" spans="1:17" x14ac:dyDescent="0.25">
      <c r="C2" s="30"/>
      <c r="D2" s="30"/>
      <c r="E2" s="30"/>
      <c r="F2" s="30"/>
      <c r="G2" s="30"/>
      <c r="H2" s="30"/>
      <c r="I2" s="30"/>
      <c r="J2" s="30"/>
      <c r="K2" s="30"/>
    </row>
    <row r="3" spans="1:17" ht="15.75" x14ac:dyDescent="0.25">
      <c r="A3" s="28" t="s">
        <v>18</v>
      </c>
      <c r="B3" s="25"/>
      <c r="C3" s="25"/>
      <c r="D3" s="15"/>
      <c r="E3" s="15"/>
      <c r="F3" s="15"/>
      <c r="G3" s="15"/>
      <c r="H3" s="15"/>
      <c r="I3" s="15"/>
      <c r="J3" s="29" t="s">
        <v>21</v>
      </c>
      <c r="K3" s="25"/>
      <c r="L3" s="25"/>
      <c r="M3" s="25"/>
      <c r="N3" s="25"/>
      <c r="O3" s="25"/>
      <c r="P3" s="25"/>
      <c r="Q3" s="25"/>
    </row>
    <row r="4" spans="1:17" x14ac:dyDescent="0.25">
      <c r="A4" s="11" t="s">
        <v>1</v>
      </c>
      <c r="B4" s="12" t="s">
        <v>5</v>
      </c>
      <c r="C4" s="13" t="s">
        <v>6</v>
      </c>
      <c r="F4" s="15"/>
      <c r="G4" s="15"/>
      <c r="H4" s="15"/>
    </row>
    <row r="5" spans="1:17" x14ac:dyDescent="0.25">
      <c r="A5" s="2" t="s">
        <v>7</v>
      </c>
      <c r="B5" s="4">
        <v>9.92</v>
      </c>
      <c r="C5" s="3">
        <v>23125</v>
      </c>
      <c r="F5" s="15"/>
      <c r="G5" s="15"/>
      <c r="H5" s="15"/>
    </row>
    <row r="6" spans="1:17" x14ac:dyDescent="0.25">
      <c r="A6" s="2" t="s">
        <v>8</v>
      </c>
      <c r="B6" s="4">
        <v>8.0500000000000007</v>
      </c>
      <c r="C6" s="3">
        <v>22788</v>
      </c>
      <c r="F6" s="29" t="s">
        <v>20</v>
      </c>
      <c r="G6" s="25"/>
      <c r="H6" s="25"/>
    </row>
    <row r="7" spans="1:17" x14ac:dyDescent="0.25">
      <c r="A7" s="2" t="s">
        <v>9</v>
      </c>
      <c r="B7" s="4">
        <v>7.72</v>
      </c>
      <c r="C7" s="3">
        <v>7810</v>
      </c>
      <c r="F7" s="9" t="s">
        <v>12</v>
      </c>
      <c r="G7" t="s">
        <v>26</v>
      </c>
      <c r="H7" t="s">
        <v>25</v>
      </c>
    </row>
    <row r="8" spans="1:17" x14ac:dyDescent="0.25">
      <c r="A8" s="2" t="s">
        <v>7</v>
      </c>
      <c r="B8" s="4">
        <v>9.4</v>
      </c>
      <c r="C8" s="3">
        <v>11966</v>
      </c>
      <c r="F8" s="6" t="s">
        <v>7</v>
      </c>
      <c r="G8" s="7">
        <v>432.70000000000016</v>
      </c>
      <c r="H8" s="7">
        <v>1035942</v>
      </c>
    </row>
    <row r="9" spans="1:17" x14ac:dyDescent="0.25">
      <c r="A9" s="2" t="s">
        <v>8</v>
      </c>
      <c r="B9" s="4">
        <v>9.02</v>
      </c>
      <c r="C9" s="3">
        <v>26298</v>
      </c>
      <c r="F9" s="6" t="s">
        <v>8</v>
      </c>
      <c r="G9" s="7">
        <v>461.34</v>
      </c>
      <c r="H9" s="7">
        <v>1114204</v>
      </c>
    </row>
    <row r="10" spans="1:17" x14ac:dyDescent="0.25">
      <c r="A10" s="2" t="s">
        <v>9</v>
      </c>
      <c r="B10" s="4">
        <v>9.9600000000000009</v>
      </c>
      <c r="C10" s="3">
        <v>22029</v>
      </c>
      <c r="F10" s="6" t="s">
        <v>9</v>
      </c>
      <c r="G10" s="7">
        <v>443.44999999999993</v>
      </c>
      <c r="H10" s="7">
        <v>1065782</v>
      </c>
    </row>
    <row r="11" spans="1:17" x14ac:dyDescent="0.25">
      <c r="A11" s="2" t="s">
        <v>7</v>
      </c>
      <c r="B11" s="4">
        <v>5.29</v>
      </c>
      <c r="C11" s="3">
        <v>12391</v>
      </c>
      <c r="F11" s="6" t="s">
        <v>11</v>
      </c>
      <c r="G11" s="7">
        <v>1337.4900000000002</v>
      </c>
      <c r="H11" s="7">
        <v>3215928</v>
      </c>
    </row>
    <row r="12" spans="1:17" x14ac:dyDescent="0.25">
      <c r="A12" s="2" t="s">
        <v>8</v>
      </c>
      <c r="B12" s="4">
        <v>8.3000000000000007</v>
      </c>
      <c r="C12" s="3">
        <v>14477</v>
      </c>
    </row>
    <row r="13" spans="1:17" x14ac:dyDescent="0.25">
      <c r="A13" s="2" t="s">
        <v>9</v>
      </c>
      <c r="B13" s="4">
        <v>4.66</v>
      </c>
      <c r="C13" s="3">
        <v>25040</v>
      </c>
    </row>
    <row r="14" spans="1:17" x14ac:dyDescent="0.25">
      <c r="A14" s="2" t="s">
        <v>7</v>
      </c>
      <c r="B14" s="4">
        <v>9.48</v>
      </c>
      <c r="C14" s="3">
        <v>22619</v>
      </c>
    </row>
    <row r="15" spans="1:17" x14ac:dyDescent="0.25">
      <c r="A15" s="2" t="s">
        <v>8</v>
      </c>
      <c r="B15" s="4">
        <v>7.11</v>
      </c>
      <c r="C15" s="3">
        <v>12399</v>
      </c>
    </row>
    <row r="16" spans="1:17" x14ac:dyDescent="0.25">
      <c r="A16" s="2" t="s">
        <v>9</v>
      </c>
      <c r="B16" s="4">
        <v>9.65</v>
      </c>
      <c r="C16" s="3">
        <v>22456</v>
      </c>
    </row>
    <row r="17" spans="1:7" x14ac:dyDescent="0.25">
      <c r="A17" s="2" t="s">
        <v>7</v>
      </c>
      <c r="B17" s="4">
        <v>5.43</v>
      </c>
      <c r="C17" s="3">
        <v>19328</v>
      </c>
    </row>
    <row r="18" spans="1:7" x14ac:dyDescent="0.25">
      <c r="A18" s="2" t="s">
        <v>8</v>
      </c>
      <c r="B18" s="4">
        <v>4.5199999999999996</v>
      </c>
      <c r="C18" s="3">
        <v>21107</v>
      </c>
    </row>
    <row r="19" spans="1:7" x14ac:dyDescent="0.25">
      <c r="A19" s="2" t="s">
        <v>9</v>
      </c>
      <c r="B19" s="4">
        <v>4.33</v>
      </c>
      <c r="C19" s="3">
        <v>12277</v>
      </c>
    </row>
    <row r="20" spans="1:7" x14ac:dyDescent="0.25">
      <c r="A20" s="2" t="s">
        <v>7</v>
      </c>
      <c r="B20" s="4">
        <v>8.52</v>
      </c>
      <c r="C20" s="3">
        <v>11684</v>
      </c>
    </row>
    <row r="21" spans="1:7" x14ac:dyDescent="0.25">
      <c r="A21" s="2" t="s">
        <v>8</v>
      </c>
      <c r="B21" s="4">
        <v>8.5500000000000007</v>
      </c>
      <c r="C21" s="3">
        <v>14412</v>
      </c>
    </row>
    <row r="22" spans="1:7" x14ac:dyDescent="0.25">
      <c r="A22" s="2" t="s">
        <v>9</v>
      </c>
      <c r="B22" s="4">
        <v>7.99</v>
      </c>
      <c r="C22" s="3">
        <v>15924</v>
      </c>
    </row>
    <row r="23" spans="1:7" x14ac:dyDescent="0.25">
      <c r="A23" s="2" t="s">
        <v>7</v>
      </c>
      <c r="B23" s="4">
        <v>6.31</v>
      </c>
      <c r="C23" s="3">
        <v>12390</v>
      </c>
    </row>
    <row r="24" spans="1:7" ht="15" customHeight="1" x14ac:dyDescent="0.25">
      <c r="A24" s="2" t="s">
        <v>8</v>
      </c>
      <c r="B24" s="4">
        <v>8.5299999999999994</v>
      </c>
      <c r="C24" s="3">
        <v>25742</v>
      </c>
      <c r="E24" s="31" t="s">
        <v>17</v>
      </c>
      <c r="F24" s="31"/>
      <c r="G24" s="31"/>
    </row>
    <row r="25" spans="1:7" ht="15" customHeight="1" x14ac:dyDescent="0.25">
      <c r="A25" s="2" t="s">
        <v>9</v>
      </c>
      <c r="B25" s="4">
        <v>8.42</v>
      </c>
      <c r="C25" s="3">
        <v>10495</v>
      </c>
      <c r="E25" s="31"/>
      <c r="F25" s="31"/>
      <c r="G25" s="31"/>
    </row>
    <row r="26" spans="1:7" ht="21" x14ac:dyDescent="0.35">
      <c r="A26" s="2" t="s">
        <v>7</v>
      </c>
      <c r="B26" s="4">
        <v>9.34</v>
      </c>
      <c r="C26" s="3">
        <v>7797</v>
      </c>
      <c r="F26" s="23"/>
      <c r="G26" s="23"/>
    </row>
    <row r="27" spans="1:7" ht="21" x14ac:dyDescent="0.35">
      <c r="A27" s="2" t="s">
        <v>8</v>
      </c>
      <c r="B27" s="4">
        <v>5.65</v>
      </c>
      <c r="C27" s="3">
        <v>15595</v>
      </c>
      <c r="F27" s="23"/>
      <c r="G27" s="23"/>
    </row>
    <row r="28" spans="1:7" x14ac:dyDescent="0.25">
      <c r="A28" s="2" t="s">
        <v>9</v>
      </c>
      <c r="B28" s="4">
        <v>4.2</v>
      </c>
      <c r="C28" s="3">
        <v>24617</v>
      </c>
    </row>
    <row r="29" spans="1:7" x14ac:dyDescent="0.25">
      <c r="A29" s="2" t="s">
        <v>7</v>
      </c>
      <c r="B29" s="4">
        <v>3.87</v>
      </c>
      <c r="C29" s="3">
        <v>9847</v>
      </c>
    </row>
    <row r="30" spans="1:7" x14ac:dyDescent="0.25">
      <c r="A30" s="2" t="s">
        <v>8</v>
      </c>
      <c r="B30" s="4">
        <v>5.82</v>
      </c>
      <c r="C30" s="3">
        <v>13644</v>
      </c>
    </row>
    <row r="31" spans="1:7" x14ac:dyDescent="0.25">
      <c r="A31" s="2" t="s">
        <v>9</v>
      </c>
      <c r="B31" s="4">
        <v>3.55</v>
      </c>
      <c r="C31" s="3">
        <v>11421</v>
      </c>
    </row>
    <row r="32" spans="1:7" ht="15" customHeight="1" x14ac:dyDescent="0.25">
      <c r="A32" s="2" t="s">
        <v>7</v>
      </c>
      <c r="B32" s="4">
        <v>9.92</v>
      </c>
      <c r="C32" s="3">
        <v>15613</v>
      </c>
      <c r="E32" s="32" t="s">
        <v>16</v>
      </c>
      <c r="F32" s="32"/>
      <c r="G32" s="32"/>
    </row>
    <row r="33" spans="1:7" ht="15" customHeight="1" x14ac:dyDescent="0.25">
      <c r="A33" s="2" t="s">
        <v>8</v>
      </c>
      <c r="B33" s="4">
        <v>8.17</v>
      </c>
      <c r="C33" s="3">
        <v>23900</v>
      </c>
      <c r="E33" s="32"/>
      <c r="F33" s="32"/>
      <c r="G33" s="32"/>
    </row>
    <row r="34" spans="1:7" ht="21" x14ac:dyDescent="0.35">
      <c r="A34" s="2" t="s">
        <v>9</v>
      </c>
      <c r="B34" s="4">
        <v>5.3</v>
      </c>
      <c r="C34" s="3">
        <v>5836</v>
      </c>
      <c r="F34" s="14"/>
      <c r="G34" s="14"/>
    </row>
    <row r="35" spans="1:7" ht="21" x14ac:dyDescent="0.35">
      <c r="A35" s="2" t="s">
        <v>7</v>
      </c>
      <c r="B35" s="4">
        <v>5.98</v>
      </c>
      <c r="C35" s="3">
        <v>5624</v>
      </c>
      <c r="F35" s="14"/>
      <c r="G35" s="14"/>
    </row>
    <row r="36" spans="1:7" x14ac:dyDescent="0.25">
      <c r="A36" s="2" t="s">
        <v>8</v>
      </c>
      <c r="B36" s="4">
        <v>7.49</v>
      </c>
      <c r="C36" s="3">
        <v>10311</v>
      </c>
    </row>
    <row r="37" spans="1:7" x14ac:dyDescent="0.25">
      <c r="A37" s="2" t="s">
        <v>9</v>
      </c>
      <c r="B37" s="4">
        <v>9.3800000000000008</v>
      </c>
      <c r="C37" s="3">
        <v>8274</v>
      </c>
    </row>
    <row r="38" spans="1:7" x14ac:dyDescent="0.25">
      <c r="A38" s="2" t="s">
        <v>7</v>
      </c>
      <c r="B38" s="4">
        <v>5.84</v>
      </c>
      <c r="C38" s="3">
        <v>6031</v>
      </c>
    </row>
    <row r="39" spans="1:7" x14ac:dyDescent="0.25">
      <c r="A39" s="2" t="s">
        <v>8</v>
      </c>
      <c r="B39" s="4">
        <v>5.41</v>
      </c>
      <c r="C39" s="3">
        <v>27829</v>
      </c>
    </row>
    <row r="40" spans="1:7" x14ac:dyDescent="0.25">
      <c r="A40" s="2" t="s">
        <v>9</v>
      </c>
      <c r="B40" s="4">
        <v>6.05</v>
      </c>
      <c r="C40" s="3">
        <v>18267</v>
      </c>
    </row>
    <row r="41" spans="1:7" x14ac:dyDescent="0.25">
      <c r="A41" s="2" t="s">
        <v>7</v>
      </c>
      <c r="B41" s="4">
        <v>7.54</v>
      </c>
      <c r="C41" s="3">
        <v>26624</v>
      </c>
    </row>
    <row r="42" spans="1:7" x14ac:dyDescent="0.25">
      <c r="A42" s="2" t="s">
        <v>8</v>
      </c>
      <c r="B42" s="4">
        <v>5.87</v>
      </c>
      <c r="C42" s="3">
        <v>26644</v>
      </c>
    </row>
    <row r="43" spans="1:7" x14ac:dyDescent="0.25">
      <c r="A43" s="2" t="s">
        <v>9</v>
      </c>
      <c r="B43" s="4">
        <v>7.17</v>
      </c>
      <c r="C43" s="3">
        <v>13051</v>
      </c>
    </row>
    <row r="44" spans="1:7" x14ac:dyDescent="0.25">
      <c r="A44" s="2" t="s">
        <v>7</v>
      </c>
      <c r="B44" s="4">
        <v>6.05</v>
      </c>
      <c r="C44" s="3">
        <v>14217</v>
      </c>
    </row>
    <row r="45" spans="1:7" x14ac:dyDescent="0.25">
      <c r="A45" s="2" t="s">
        <v>8</v>
      </c>
      <c r="B45" s="4">
        <v>7.51</v>
      </c>
      <c r="C45" s="3">
        <v>16385</v>
      </c>
    </row>
    <row r="46" spans="1:7" x14ac:dyDescent="0.25">
      <c r="A46" s="2" t="s">
        <v>9</v>
      </c>
      <c r="B46" s="4">
        <v>7.66</v>
      </c>
      <c r="C46" s="3">
        <v>24548</v>
      </c>
    </row>
    <row r="47" spans="1:7" x14ac:dyDescent="0.25">
      <c r="A47" s="2" t="s">
        <v>7</v>
      </c>
      <c r="B47" s="4">
        <v>6.03</v>
      </c>
      <c r="C47" s="3">
        <v>9195</v>
      </c>
    </row>
    <row r="48" spans="1:7" x14ac:dyDescent="0.25">
      <c r="A48" s="2" t="s">
        <v>8</v>
      </c>
      <c r="B48" s="4">
        <v>3.4</v>
      </c>
      <c r="C48" s="3">
        <v>18071</v>
      </c>
    </row>
    <row r="49" spans="1:3" x14ac:dyDescent="0.25">
      <c r="A49" s="2" t="s">
        <v>9</v>
      </c>
      <c r="B49" s="4">
        <v>7.83</v>
      </c>
      <c r="C49" s="3">
        <v>16875</v>
      </c>
    </row>
    <row r="50" spans="1:3" x14ac:dyDescent="0.25">
      <c r="A50" s="2" t="s">
        <v>7</v>
      </c>
      <c r="B50" s="4">
        <v>8.76</v>
      </c>
      <c r="C50" s="3">
        <v>9567</v>
      </c>
    </row>
    <row r="51" spans="1:3" x14ac:dyDescent="0.25">
      <c r="A51" s="2" t="s">
        <v>8</v>
      </c>
      <c r="B51" s="4">
        <v>9.52</v>
      </c>
      <c r="C51" s="3">
        <v>20306</v>
      </c>
    </row>
    <row r="52" spans="1:3" x14ac:dyDescent="0.25">
      <c r="A52" s="2" t="s">
        <v>9</v>
      </c>
      <c r="B52" s="4">
        <v>3.36</v>
      </c>
      <c r="C52" s="3">
        <v>21134</v>
      </c>
    </row>
    <row r="53" spans="1:3" x14ac:dyDescent="0.25">
      <c r="A53" s="2" t="s">
        <v>7</v>
      </c>
      <c r="B53" s="4">
        <v>9.2200000000000006</v>
      </c>
      <c r="C53" s="3">
        <v>26872</v>
      </c>
    </row>
    <row r="54" spans="1:3" x14ac:dyDescent="0.25">
      <c r="A54" s="2" t="s">
        <v>8</v>
      </c>
      <c r="B54" s="4">
        <v>5.57</v>
      </c>
      <c r="C54" s="3">
        <v>10253</v>
      </c>
    </row>
    <row r="55" spans="1:3" x14ac:dyDescent="0.25">
      <c r="A55" s="2" t="s">
        <v>9</v>
      </c>
      <c r="B55" s="4">
        <v>8.06</v>
      </c>
      <c r="C55" s="3">
        <v>23963</v>
      </c>
    </row>
    <row r="56" spans="1:3" x14ac:dyDescent="0.25">
      <c r="A56" s="2" t="s">
        <v>7</v>
      </c>
      <c r="B56" s="4">
        <v>3.45</v>
      </c>
      <c r="C56" s="3">
        <v>11335</v>
      </c>
    </row>
    <row r="57" spans="1:3" x14ac:dyDescent="0.25">
      <c r="A57" s="2" t="s">
        <v>8</v>
      </c>
      <c r="B57" s="4">
        <v>9.58</v>
      </c>
      <c r="C57" s="3">
        <v>12115</v>
      </c>
    </row>
    <row r="58" spans="1:3" x14ac:dyDescent="0.25">
      <c r="A58" s="2" t="s">
        <v>9</v>
      </c>
      <c r="B58" s="4">
        <v>8.8800000000000008</v>
      </c>
      <c r="C58" s="3">
        <v>24358</v>
      </c>
    </row>
    <row r="59" spans="1:3" x14ac:dyDescent="0.25">
      <c r="A59" s="2" t="s">
        <v>7</v>
      </c>
      <c r="B59" s="4">
        <v>6.23</v>
      </c>
      <c r="C59" s="3">
        <v>12181</v>
      </c>
    </row>
    <row r="60" spans="1:3" x14ac:dyDescent="0.25">
      <c r="A60" s="2" t="s">
        <v>8</v>
      </c>
      <c r="B60" s="4">
        <v>8.4499999999999993</v>
      </c>
      <c r="C60" s="3">
        <v>17729</v>
      </c>
    </row>
    <row r="61" spans="1:3" x14ac:dyDescent="0.25">
      <c r="A61" s="2" t="s">
        <v>9</v>
      </c>
      <c r="B61" s="4">
        <v>8.4</v>
      </c>
      <c r="C61" s="3">
        <v>10881</v>
      </c>
    </row>
    <row r="62" spans="1:3" x14ac:dyDescent="0.25">
      <c r="A62" s="2" t="s">
        <v>7</v>
      </c>
      <c r="B62" s="4">
        <v>7.34</v>
      </c>
      <c r="C62" s="3">
        <v>18576</v>
      </c>
    </row>
    <row r="63" spans="1:3" x14ac:dyDescent="0.25">
      <c r="A63" s="2" t="s">
        <v>8</v>
      </c>
      <c r="B63" s="4">
        <v>8.14</v>
      </c>
      <c r="C63" s="3">
        <v>9383</v>
      </c>
    </row>
    <row r="64" spans="1:3" x14ac:dyDescent="0.25">
      <c r="A64" s="2" t="s">
        <v>9</v>
      </c>
      <c r="B64" s="4">
        <v>9.58</v>
      </c>
      <c r="C64" s="3">
        <v>14178</v>
      </c>
    </row>
    <row r="65" spans="1:3" x14ac:dyDescent="0.25">
      <c r="A65" s="2" t="s">
        <v>7</v>
      </c>
      <c r="B65" s="4">
        <v>8.06</v>
      </c>
      <c r="C65" s="3">
        <v>21254</v>
      </c>
    </row>
    <row r="66" spans="1:3" x14ac:dyDescent="0.25">
      <c r="A66" s="2" t="s">
        <v>8</v>
      </c>
      <c r="B66" s="4">
        <v>8.19</v>
      </c>
      <c r="C66" s="3">
        <v>14215</v>
      </c>
    </row>
    <row r="67" spans="1:3" x14ac:dyDescent="0.25">
      <c r="A67" s="2" t="s">
        <v>9</v>
      </c>
      <c r="B67" s="4">
        <v>4.4800000000000004</v>
      </c>
      <c r="C67" s="3">
        <v>16921</v>
      </c>
    </row>
    <row r="68" spans="1:3" x14ac:dyDescent="0.25">
      <c r="A68" s="2" t="s">
        <v>7</v>
      </c>
      <c r="B68" s="4">
        <v>4.5199999999999996</v>
      </c>
      <c r="C68" s="3">
        <v>25130</v>
      </c>
    </row>
    <row r="69" spans="1:3" x14ac:dyDescent="0.25">
      <c r="A69" s="2" t="s">
        <v>8</v>
      </c>
      <c r="B69" s="4">
        <v>5.42</v>
      </c>
      <c r="C69" s="3">
        <v>25537</v>
      </c>
    </row>
    <row r="70" spans="1:3" x14ac:dyDescent="0.25">
      <c r="A70" s="2" t="s">
        <v>9</v>
      </c>
      <c r="B70" s="4">
        <v>4.08</v>
      </c>
      <c r="C70" s="3">
        <v>24943</v>
      </c>
    </row>
    <row r="71" spans="1:3" x14ac:dyDescent="0.25">
      <c r="A71" s="2" t="s">
        <v>7</v>
      </c>
      <c r="B71" s="4">
        <v>4.0599999999999996</v>
      </c>
      <c r="C71" s="3">
        <v>14563</v>
      </c>
    </row>
    <row r="72" spans="1:3" x14ac:dyDescent="0.25">
      <c r="A72" s="2" t="s">
        <v>8</v>
      </c>
      <c r="B72" s="4">
        <v>9.91</v>
      </c>
      <c r="C72" s="3">
        <v>26273</v>
      </c>
    </row>
    <row r="73" spans="1:3" x14ac:dyDescent="0.25">
      <c r="A73" s="2" t="s">
        <v>9</v>
      </c>
      <c r="B73" s="4">
        <v>8.7200000000000006</v>
      </c>
      <c r="C73" s="3">
        <v>10858</v>
      </c>
    </row>
    <row r="74" spans="1:3" x14ac:dyDescent="0.25">
      <c r="A74" s="2" t="s">
        <v>7</v>
      </c>
      <c r="B74" s="4">
        <v>8.3800000000000008</v>
      </c>
      <c r="C74" s="3">
        <v>25038</v>
      </c>
    </row>
    <row r="75" spans="1:3" x14ac:dyDescent="0.25">
      <c r="A75" s="2" t="s">
        <v>8</v>
      </c>
      <c r="B75" s="4">
        <v>7.56</v>
      </c>
      <c r="C75" s="3">
        <v>9092</v>
      </c>
    </row>
    <row r="76" spans="1:3" x14ac:dyDescent="0.25">
      <c r="A76" s="2" t="s">
        <v>9</v>
      </c>
      <c r="B76" s="4">
        <v>7.24</v>
      </c>
      <c r="C76" s="3">
        <v>17662</v>
      </c>
    </row>
    <row r="77" spans="1:3" x14ac:dyDescent="0.25">
      <c r="A77" s="2" t="s">
        <v>7</v>
      </c>
      <c r="B77" s="4">
        <v>4.53</v>
      </c>
      <c r="C77" s="3">
        <v>5924</v>
      </c>
    </row>
    <row r="78" spans="1:3" x14ac:dyDescent="0.25">
      <c r="A78" s="2" t="s">
        <v>8</v>
      </c>
      <c r="B78" s="4">
        <v>6.62</v>
      </c>
      <c r="C78" s="3">
        <v>25347</v>
      </c>
    </row>
    <row r="79" spans="1:3" x14ac:dyDescent="0.25">
      <c r="A79" s="2" t="s">
        <v>9</v>
      </c>
      <c r="B79" s="4">
        <v>6.36</v>
      </c>
      <c r="C79" s="3">
        <v>8910</v>
      </c>
    </row>
    <row r="80" spans="1:3" x14ac:dyDescent="0.25">
      <c r="A80" s="2" t="s">
        <v>7</v>
      </c>
      <c r="B80" s="4">
        <v>9</v>
      </c>
      <c r="C80" s="3">
        <v>20438</v>
      </c>
    </row>
    <row r="81" spans="1:3" x14ac:dyDescent="0.25">
      <c r="A81" s="2" t="s">
        <v>8</v>
      </c>
      <c r="B81" s="4">
        <v>8.83</v>
      </c>
      <c r="C81" s="3">
        <v>8760</v>
      </c>
    </row>
    <row r="82" spans="1:3" x14ac:dyDescent="0.25">
      <c r="A82" s="2" t="s">
        <v>9</v>
      </c>
      <c r="B82" s="4">
        <v>9.7100000000000009</v>
      </c>
      <c r="C82" s="3">
        <v>6625</v>
      </c>
    </row>
    <row r="83" spans="1:3" x14ac:dyDescent="0.25">
      <c r="A83" s="2" t="s">
        <v>7</v>
      </c>
      <c r="B83" s="4">
        <v>6.68</v>
      </c>
      <c r="C83" s="3">
        <v>23329</v>
      </c>
    </row>
    <row r="84" spans="1:3" x14ac:dyDescent="0.25">
      <c r="A84" s="2" t="s">
        <v>8</v>
      </c>
      <c r="B84" s="4">
        <v>5.51</v>
      </c>
      <c r="C84" s="3">
        <v>7299</v>
      </c>
    </row>
    <row r="85" spans="1:3" x14ac:dyDescent="0.25">
      <c r="A85" s="2" t="s">
        <v>9</v>
      </c>
      <c r="B85" s="4">
        <v>7.97</v>
      </c>
      <c r="C85" s="3">
        <v>14496</v>
      </c>
    </row>
    <row r="86" spans="1:3" x14ac:dyDescent="0.25">
      <c r="A86" s="2" t="s">
        <v>7</v>
      </c>
      <c r="B86" s="4">
        <v>9.18</v>
      </c>
      <c r="C86" s="3">
        <v>25703</v>
      </c>
    </row>
    <row r="87" spans="1:3" x14ac:dyDescent="0.25">
      <c r="A87" s="2" t="s">
        <v>8</v>
      </c>
      <c r="B87" s="4">
        <v>6.44</v>
      </c>
      <c r="C87" s="3">
        <v>15108</v>
      </c>
    </row>
    <row r="88" spans="1:3" x14ac:dyDescent="0.25">
      <c r="A88" s="2" t="s">
        <v>9</v>
      </c>
      <c r="B88" s="4">
        <v>5.0199999999999996</v>
      </c>
      <c r="C88" s="3">
        <v>18867</v>
      </c>
    </row>
    <row r="89" spans="1:3" x14ac:dyDescent="0.25">
      <c r="A89" s="2" t="s">
        <v>7</v>
      </c>
      <c r="B89" s="4">
        <v>4.53</v>
      </c>
      <c r="C89" s="3">
        <v>17574</v>
      </c>
    </row>
    <row r="90" spans="1:3" x14ac:dyDescent="0.25">
      <c r="A90" s="2" t="s">
        <v>8</v>
      </c>
      <c r="B90" s="4">
        <v>9.17</v>
      </c>
      <c r="C90" s="3">
        <v>12840</v>
      </c>
    </row>
    <row r="91" spans="1:3" x14ac:dyDescent="0.25">
      <c r="A91" s="2" t="s">
        <v>9</v>
      </c>
      <c r="B91" s="4">
        <v>3.27</v>
      </c>
      <c r="C91" s="3">
        <v>21079</v>
      </c>
    </row>
    <row r="92" spans="1:3" x14ac:dyDescent="0.25">
      <c r="A92" s="2" t="s">
        <v>7</v>
      </c>
      <c r="B92" s="4">
        <v>5.31</v>
      </c>
      <c r="C92" s="3">
        <v>23486</v>
      </c>
    </row>
    <row r="93" spans="1:3" x14ac:dyDescent="0.25">
      <c r="A93" s="2" t="s">
        <v>8</v>
      </c>
      <c r="B93" s="4">
        <v>6.03</v>
      </c>
      <c r="C93" s="3">
        <v>5960</v>
      </c>
    </row>
    <row r="94" spans="1:3" x14ac:dyDescent="0.25">
      <c r="A94" s="2" t="s">
        <v>9</v>
      </c>
      <c r="B94" s="4">
        <v>8.89</v>
      </c>
      <c r="C94" s="3">
        <v>13301</v>
      </c>
    </row>
    <row r="95" spans="1:3" x14ac:dyDescent="0.25">
      <c r="A95" s="2" t="s">
        <v>7</v>
      </c>
      <c r="B95" s="4">
        <v>4.79</v>
      </c>
      <c r="C95" s="3">
        <v>10563</v>
      </c>
    </row>
    <row r="96" spans="1:3" x14ac:dyDescent="0.25">
      <c r="A96" s="2" t="s">
        <v>8</v>
      </c>
      <c r="B96" s="4">
        <v>4.8</v>
      </c>
      <c r="C96" s="3">
        <v>19949</v>
      </c>
    </row>
    <row r="97" spans="1:3" x14ac:dyDescent="0.25">
      <c r="A97" s="2" t="s">
        <v>9</v>
      </c>
      <c r="B97" s="4">
        <v>4.07</v>
      </c>
      <c r="C97" s="3">
        <v>14273</v>
      </c>
    </row>
    <row r="98" spans="1:3" x14ac:dyDescent="0.25">
      <c r="A98" s="2" t="s">
        <v>7</v>
      </c>
      <c r="B98" s="4">
        <v>6.06</v>
      </c>
      <c r="C98" s="3">
        <v>9247</v>
      </c>
    </row>
    <row r="99" spans="1:3" x14ac:dyDescent="0.25">
      <c r="A99" s="2" t="s">
        <v>8</v>
      </c>
      <c r="B99" s="4">
        <v>7.79</v>
      </c>
      <c r="C99" s="3">
        <v>11972</v>
      </c>
    </row>
    <row r="100" spans="1:3" x14ac:dyDescent="0.25">
      <c r="A100" s="2" t="s">
        <v>9</v>
      </c>
      <c r="B100" s="4">
        <v>9.0500000000000007</v>
      </c>
      <c r="C100" s="3">
        <v>13314</v>
      </c>
    </row>
    <row r="101" spans="1:3" x14ac:dyDescent="0.25">
      <c r="A101" s="2" t="s">
        <v>7</v>
      </c>
      <c r="B101" s="4">
        <v>3.5</v>
      </c>
      <c r="C101" s="3">
        <v>14749</v>
      </c>
    </row>
    <row r="102" spans="1:3" x14ac:dyDescent="0.25">
      <c r="A102" s="2" t="s">
        <v>8</v>
      </c>
      <c r="B102" s="4">
        <v>8.76</v>
      </c>
      <c r="C102" s="3">
        <v>6868</v>
      </c>
    </row>
    <row r="103" spans="1:3" x14ac:dyDescent="0.25">
      <c r="A103" s="2" t="s">
        <v>9</v>
      </c>
      <c r="B103" s="4">
        <v>6.26</v>
      </c>
      <c r="C103" s="3">
        <v>6027</v>
      </c>
    </row>
    <row r="104" spans="1:3" x14ac:dyDescent="0.25">
      <c r="A104" s="2" t="s">
        <v>7</v>
      </c>
      <c r="B104" s="4">
        <v>3.33</v>
      </c>
      <c r="C104" s="3">
        <v>25267</v>
      </c>
    </row>
    <row r="105" spans="1:3" x14ac:dyDescent="0.25">
      <c r="A105" s="2" t="s">
        <v>8</v>
      </c>
      <c r="B105" s="4">
        <v>9.15</v>
      </c>
      <c r="C105" s="3">
        <v>5900</v>
      </c>
    </row>
    <row r="106" spans="1:3" x14ac:dyDescent="0.25">
      <c r="A106" s="2" t="s">
        <v>9</v>
      </c>
      <c r="B106" s="4">
        <v>6.03</v>
      </c>
      <c r="C106" s="3">
        <v>11181</v>
      </c>
    </row>
    <row r="107" spans="1:3" x14ac:dyDescent="0.25">
      <c r="A107" s="2" t="s">
        <v>7</v>
      </c>
      <c r="B107" s="4">
        <v>9.82</v>
      </c>
      <c r="C107" s="3">
        <v>9592</v>
      </c>
    </row>
    <row r="108" spans="1:3" x14ac:dyDescent="0.25">
      <c r="A108" s="2" t="s">
        <v>8</v>
      </c>
      <c r="B108" s="4">
        <v>3.7</v>
      </c>
      <c r="C108" s="3">
        <v>5291</v>
      </c>
    </row>
    <row r="109" spans="1:3" x14ac:dyDescent="0.25">
      <c r="A109" s="2" t="s">
        <v>9</v>
      </c>
      <c r="B109" s="4">
        <v>3.35</v>
      </c>
      <c r="C109" s="3">
        <v>22244</v>
      </c>
    </row>
    <row r="110" spans="1:3" x14ac:dyDescent="0.25">
      <c r="A110" s="2" t="s">
        <v>7</v>
      </c>
      <c r="B110" s="4">
        <v>7.31</v>
      </c>
      <c r="C110" s="3">
        <v>6824</v>
      </c>
    </row>
    <row r="111" spans="1:3" x14ac:dyDescent="0.25">
      <c r="A111" s="2" t="s">
        <v>8</v>
      </c>
      <c r="B111" s="4">
        <v>3.13</v>
      </c>
      <c r="C111" s="3">
        <v>24112</v>
      </c>
    </row>
    <row r="112" spans="1:3" x14ac:dyDescent="0.25">
      <c r="A112" s="2" t="s">
        <v>9</v>
      </c>
      <c r="B112" s="4">
        <v>4.8899999999999997</v>
      </c>
      <c r="C112" s="3">
        <v>25478</v>
      </c>
    </row>
    <row r="113" spans="1:3" x14ac:dyDescent="0.25">
      <c r="A113" s="2" t="s">
        <v>7</v>
      </c>
      <c r="B113" s="4">
        <v>8.6300000000000008</v>
      </c>
      <c r="C113" s="3">
        <v>11235</v>
      </c>
    </row>
    <row r="114" spans="1:3" x14ac:dyDescent="0.25">
      <c r="A114" s="2" t="s">
        <v>8</v>
      </c>
      <c r="B114" s="4">
        <v>8.0299999999999994</v>
      </c>
      <c r="C114" s="3">
        <v>6120</v>
      </c>
    </row>
    <row r="115" spans="1:3" x14ac:dyDescent="0.25">
      <c r="A115" s="2" t="s">
        <v>9</v>
      </c>
      <c r="B115" s="4">
        <v>7.85</v>
      </c>
      <c r="C115" s="3">
        <v>20572</v>
      </c>
    </row>
    <row r="116" spans="1:3" x14ac:dyDescent="0.25">
      <c r="A116" s="2" t="s">
        <v>7</v>
      </c>
      <c r="B116" s="4">
        <v>6.12</v>
      </c>
      <c r="C116" s="3">
        <v>14975</v>
      </c>
    </row>
    <row r="117" spans="1:3" x14ac:dyDescent="0.25">
      <c r="A117" s="2" t="s">
        <v>8</v>
      </c>
      <c r="B117" s="4">
        <v>7.16</v>
      </c>
      <c r="C117" s="3">
        <v>22234</v>
      </c>
    </row>
    <row r="118" spans="1:3" x14ac:dyDescent="0.25">
      <c r="A118" s="2" t="s">
        <v>9</v>
      </c>
      <c r="B118" s="4">
        <v>7.04</v>
      </c>
      <c r="C118" s="3">
        <v>6532</v>
      </c>
    </row>
    <row r="119" spans="1:3" x14ac:dyDescent="0.25">
      <c r="A119" s="2" t="s">
        <v>7</v>
      </c>
      <c r="B119" s="4">
        <v>3.71</v>
      </c>
      <c r="C119" s="3">
        <v>24858</v>
      </c>
    </row>
    <row r="120" spans="1:3" x14ac:dyDescent="0.25">
      <c r="A120" s="2" t="s">
        <v>8</v>
      </c>
      <c r="B120" s="4">
        <v>4.12</v>
      </c>
      <c r="C120" s="3">
        <v>13883</v>
      </c>
    </row>
    <row r="121" spans="1:3" x14ac:dyDescent="0.25">
      <c r="A121" s="2" t="s">
        <v>9</v>
      </c>
      <c r="B121" s="4">
        <v>6.82</v>
      </c>
      <c r="C121" s="3">
        <v>18654</v>
      </c>
    </row>
    <row r="122" spans="1:3" x14ac:dyDescent="0.25">
      <c r="A122" s="2" t="s">
        <v>7</v>
      </c>
      <c r="B122" s="4">
        <v>8.2200000000000006</v>
      </c>
      <c r="C122" s="3">
        <v>25234</v>
      </c>
    </row>
    <row r="123" spans="1:3" x14ac:dyDescent="0.25">
      <c r="A123" s="2" t="s">
        <v>8</v>
      </c>
      <c r="B123" s="4">
        <v>7.71</v>
      </c>
      <c r="C123" s="3">
        <v>6772</v>
      </c>
    </row>
    <row r="124" spans="1:3" x14ac:dyDescent="0.25">
      <c r="A124" s="2" t="s">
        <v>9</v>
      </c>
      <c r="B124" s="4">
        <v>7.39</v>
      </c>
      <c r="C124" s="3">
        <v>22428</v>
      </c>
    </row>
    <row r="125" spans="1:3" x14ac:dyDescent="0.25">
      <c r="A125" s="2" t="s">
        <v>7</v>
      </c>
      <c r="B125" s="4">
        <v>7.89</v>
      </c>
      <c r="C125" s="3">
        <v>11911</v>
      </c>
    </row>
    <row r="126" spans="1:3" x14ac:dyDescent="0.25">
      <c r="A126" s="2" t="s">
        <v>8</v>
      </c>
      <c r="B126" s="4">
        <v>6.39</v>
      </c>
      <c r="C126" s="3">
        <v>21900</v>
      </c>
    </row>
    <row r="127" spans="1:3" x14ac:dyDescent="0.25">
      <c r="A127" s="2" t="s">
        <v>9</v>
      </c>
      <c r="B127" s="4">
        <v>6.77</v>
      </c>
      <c r="C127" s="3">
        <v>25542</v>
      </c>
    </row>
    <row r="128" spans="1:3" x14ac:dyDescent="0.25">
      <c r="A128" s="2" t="s">
        <v>7</v>
      </c>
      <c r="B128" s="4">
        <v>3.41</v>
      </c>
      <c r="C128" s="3">
        <v>7140</v>
      </c>
    </row>
    <row r="129" spans="1:3" x14ac:dyDescent="0.25">
      <c r="A129" s="2" t="s">
        <v>8</v>
      </c>
      <c r="B129" s="4">
        <v>4.1100000000000003</v>
      </c>
      <c r="C129" s="3">
        <v>20474</v>
      </c>
    </row>
    <row r="130" spans="1:3" x14ac:dyDescent="0.25">
      <c r="A130" s="2" t="s">
        <v>9</v>
      </c>
      <c r="B130" s="4">
        <v>9.58</v>
      </c>
      <c r="C130" s="3">
        <v>8698</v>
      </c>
    </row>
    <row r="131" spans="1:3" x14ac:dyDescent="0.25">
      <c r="A131" s="2" t="s">
        <v>7</v>
      </c>
      <c r="B131" s="4">
        <v>3.39</v>
      </c>
      <c r="C131" s="3">
        <v>10402</v>
      </c>
    </row>
    <row r="132" spans="1:3" x14ac:dyDescent="0.25">
      <c r="A132" s="2" t="s">
        <v>8</v>
      </c>
      <c r="B132" s="4">
        <v>9.58</v>
      </c>
      <c r="C132" s="3">
        <v>26618</v>
      </c>
    </row>
    <row r="133" spans="1:3" x14ac:dyDescent="0.25">
      <c r="A133" s="2" t="s">
        <v>9</v>
      </c>
      <c r="B133" s="4">
        <v>5.09</v>
      </c>
      <c r="C133" s="3">
        <v>7975</v>
      </c>
    </row>
    <row r="134" spans="1:3" x14ac:dyDescent="0.25">
      <c r="A134" s="2" t="s">
        <v>7</v>
      </c>
      <c r="B134" s="4">
        <v>7.85</v>
      </c>
      <c r="C134" s="3">
        <v>19054</v>
      </c>
    </row>
    <row r="135" spans="1:3" x14ac:dyDescent="0.25">
      <c r="A135" s="2" t="s">
        <v>8</v>
      </c>
      <c r="B135" s="4">
        <v>9.7100000000000009</v>
      </c>
      <c r="C135" s="3">
        <v>13740</v>
      </c>
    </row>
    <row r="136" spans="1:3" x14ac:dyDescent="0.25">
      <c r="A136" s="2" t="s">
        <v>9</v>
      </c>
      <c r="B136" s="4">
        <v>6.67</v>
      </c>
      <c r="C136" s="3">
        <v>18442</v>
      </c>
    </row>
    <row r="137" spans="1:3" x14ac:dyDescent="0.25">
      <c r="A137" s="2" t="s">
        <v>7</v>
      </c>
      <c r="B137" s="4">
        <v>6.13</v>
      </c>
      <c r="C137" s="3">
        <v>10104</v>
      </c>
    </row>
    <row r="138" spans="1:3" x14ac:dyDescent="0.25">
      <c r="A138" s="2" t="s">
        <v>8</v>
      </c>
      <c r="B138" s="4">
        <v>7.34</v>
      </c>
      <c r="C138" s="3">
        <v>21771</v>
      </c>
    </row>
    <row r="139" spans="1:3" x14ac:dyDescent="0.25">
      <c r="A139" s="2" t="s">
        <v>9</v>
      </c>
      <c r="B139" s="4">
        <v>6.87</v>
      </c>
      <c r="C139" s="3">
        <v>22191</v>
      </c>
    </row>
    <row r="140" spans="1:3" x14ac:dyDescent="0.25">
      <c r="A140" s="2" t="s">
        <v>7</v>
      </c>
      <c r="B140" s="4">
        <v>3.52</v>
      </c>
      <c r="C140" s="3">
        <v>27753</v>
      </c>
    </row>
    <row r="141" spans="1:3" x14ac:dyDescent="0.25">
      <c r="A141" s="2" t="s">
        <v>8</v>
      </c>
      <c r="B141" s="4">
        <v>6.96</v>
      </c>
      <c r="C141" s="3">
        <v>23736</v>
      </c>
    </row>
    <row r="142" spans="1:3" x14ac:dyDescent="0.25">
      <c r="A142" s="2" t="s">
        <v>9</v>
      </c>
      <c r="B142" s="4">
        <v>7.23</v>
      </c>
      <c r="C142" s="3">
        <v>27393</v>
      </c>
    </row>
    <row r="143" spans="1:3" x14ac:dyDescent="0.25">
      <c r="A143" s="2" t="s">
        <v>7</v>
      </c>
      <c r="B143" s="4">
        <v>7.42</v>
      </c>
      <c r="C143" s="3">
        <v>10343</v>
      </c>
    </row>
    <row r="144" spans="1:3" x14ac:dyDescent="0.25">
      <c r="A144" s="2" t="s">
        <v>8</v>
      </c>
      <c r="B144" s="4">
        <v>7.73</v>
      </c>
      <c r="C144" s="3">
        <v>25259</v>
      </c>
    </row>
    <row r="145" spans="1:3" x14ac:dyDescent="0.25">
      <c r="A145" s="2" t="s">
        <v>9</v>
      </c>
      <c r="B145" s="4">
        <v>5.13</v>
      </c>
      <c r="C145" s="3">
        <v>24827</v>
      </c>
    </row>
    <row r="146" spans="1:3" x14ac:dyDescent="0.25">
      <c r="A146" s="2" t="s">
        <v>7</v>
      </c>
      <c r="B146" s="4">
        <v>4.4000000000000004</v>
      </c>
      <c r="C146" s="3">
        <v>11908</v>
      </c>
    </row>
    <row r="147" spans="1:3" x14ac:dyDescent="0.25">
      <c r="A147" s="2" t="s">
        <v>8</v>
      </c>
      <c r="B147" s="4">
        <v>3.49</v>
      </c>
      <c r="C147" s="3">
        <v>11005</v>
      </c>
    </row>
    <row r="148" spans="1:3" x14ac:dyDescent="0.25">
      <c r="A148" s="2" t="s">
        <v>9</v>
      </c>
      <c r="B148" s="4">
        <v>3.57</v>
      </c>
      <c r="C148" s="3">
        <v>26333</v>
      </c>
    </row>
    <row r="149" spans="1:3" x14ac:dyDescent="0.25">
      <c r="A149" s="2" t="s">
        <v>7</v>
      </c>
      <c r="B149" s="4">
        <v>6.41</v>
      </c>
      <c r="C149" s="3">
        <v>5495</v>
      </c>
    </row>
    <row r="150" spans="1:3" x14ac:dyDescent="0.25">
      <c r="A150" s="2" t="s">
        <v>8</v>
      </c>
      <c r="B150" s="4">
        <v>6.04</v>
      </c>
      <c r="C150" s="3">
        <v>15655</v>
      </c>
    </row>
    <row r="151" spans="1:3" x14ac:dyDescent="0.25">
      <c r="A151" s="2" t="s">
        <v>9</v>
      </c>
      <c r="B151" s="4">
        <v>9.18</v>
      </c>
      <c r="C151" s="3">
        <v>13763</v>
      </c>
    </row>
    <row r="152" spans="1:3" x14ac:dyDescent="0.25">
      <c r="A152" s="2" t="s">
        <v>7</v>
      </c>
      <c r="B152" s="4">
        <v>6.54</v>
      </c>
      <c r="C152" s="3">
        <v>26073</v>
      </c>
    </row>
    <row r="153" spans="1:3" x14ac:dyDescent="0.25">
      <c r="A153" s="2" t="s">
        <v>8</v>
      </c>
      <c r="B153" s="4">
        <v>8.66</v>
      </c>
      <c r="C153" s="3">
        <v>12774</v>
      </c>
    </row>
    <row r="154" spans="1:3" x14ac:dyDescent="0.25">
      <c r="A154" s="2" t="s">
        <v>9</v>
      </c>
      <c r="B154" s="4">
        <v>3.89</v>
      </c>
      <c r="C154" s="3">
        <v>19000</v>
      </c>
    </row>
    <row r="155" spans="1:3" x14ac:dyDescent="0.25">
      <c r="A155" s="2" t="s">
        <v>7</v>
      </c>
      <c r="B155" s="4">
        <v>7.95</v>
      </c>
      <c r="C155" s="3">
        <v>14051</v>
      </c>
    </row>
    <row r="156" spans="1:3" x14ac:dyDescent="0.25">
      <c r="A156" s="2" t="s">
        <v>8</v>
      </c>
      <c r="B156" s="4">
        <v>6.66</v>
      </c>
      <c r="C156" s="3">
        <v>27782</v>
      </c>
    </row>
    <row r="157" spans="1:3" x14ac:dyDescent="0.25">
      <c r="A157" s="2" t="s">
        <v>9</v>
      </c>
      <c r="B157" s="4">
        <v>5.25</v>
      </c>
      <c r="C157" s="3">
        <v>7859</v>
      </c>
    </row>
    <row r="158" spans="1:3" x14ac:dyDescent="0.25">
      <c r="A158" s="2" t="s">
        <v>7</v>
      </c>
      <c r="B158" s="4">
        <v>5.07</v>
      </c>
      <c r="C158" s="3">
        <v>15773</v>
      </c>
    </row>
    <row r="159" spans="1:3" x14ac:dyDescent="0.25">
      <c r="A159" s="2" t="s">
        <v>8</v>
      </c>
      <c r="B159" s="4">
        <v>7.62</v>
      </c>
      <c r="C159" s="3">
        <v>20595</v>
      </c>
    </row>
    <row r="160" spans="1:3" x14ac:dyDescent="0.25">
      <c r="A160" s="2" t="s">
        <v>9</v>
      </c>
      <c r="B160" s="4">
        <v>7.44</v>
      </c>
      <c r="C160" s="3">
        <v>12031</v>
      </c>
    </row>
    <row r="161" spans="1:3" x14ac:dyDescent="0.25">
      <c r="A161" s="2" t="s">
        <v>7</v>
      </c>
      <c r="B161" s="4">
        <v>4.8600000000000003</v>
      </c>
      <c r="C161" s="3">
        <v>15128</v>
      </c>
    </row>
    <row r="162" spans="1:3" x14ac:dyDescent="0.25">
      <c r="A162" s="2" t="s">
        <v>8</v>
      </c>
      <c r="B162" s="4">
        <v>6.93</v>
      </c>
      <c r="C162" s="3">
        <v>11826</v>
      </c>
    </row>
    <row r="163" spans="1:3" x14ac:dyDescent="0.25">
      <c r="A163" s="2" t="s">
        <v>9</v>
      </c>
      <c r="B163" s="4">
        <v>9.99</v>
      </c>
      <c r="C163" s="3">
        <v>12562</v>
      </c>
    </row>
    <row r="164" spans="1:3" x14ac:dyDescent="0.25">
      <c r="A164" s="2" t="s">
        <v>7</v>
      </c>
      <c r="B164" s="4">
        <v>5.22</v>
      </c>
      <c r="C164" s="3">
        <v>13013</v>
      </c>
    </row>
    <row r="165" spans="1:3" x14ac:dyDescent="0.25">
      <c r="A165" s="2" t="s">
        <v>8</v>
      </c>
      <c r="B165" s="4">
        <v>5.17</v>
      </c>
      <c r="C165" s="3">
        <v>12937</v>
      </c>
    </row>
    <row r="166" spans="1:3" x14ac:dyDescent="0.25">
      <c r="A166" s="2" t="s">
        <v>9</v>
      </c>
      <c r="B166" s="4">
        <v>5.17</v>
      </c>
      <c r="C166" s="3">
        <v>14534</v>
      </c>
    </row>
    <row r="167" spans="1:3" x14ac:dyDescent="0.25">
      <c r="A167" s="2" t="s">
        <v>7</v>
      </c>
      <c r="B167" s="4">
        <v>6.18</v>
      </c>
      <c r="C167" s="3">
        <v>8182</v>
      </c>
    </row>
    <row r="168" spans="1:3" x14ac:dyDescent="0.25">
      <c r="A168" s="2" t="s">
        <v>8</v>
      </c>
      <c r="B168" s="4">
        <v>5.3</v>
      </c>
      <c r="C168" s="3">
        <v>10615</v>
      </c>
    </row>
    <row r="169" spans="1:3" x14ac:dyDescent="0.25">
      <c r="A169" s="2" t="s">
        <v>9</v>
      </c>
      <c r="B169" s="4">
        <v>5.99</v>
      </c>
      <c r="C169" s="3">
        <v>20109</v>
      </c>
    </row>
    <row r="170" spans="1:3" x14ac:dyDescent="0.25">
      <c r="A170" s="2" t="s">
        <v>7</v>
      </c>
      <c r="B170" s="4">
        <v>8.43</v>
      </c>
      <c r="C170" s="3">
        <v>26024</v>
      </c>
    </row>
    <row r="171" spans="1:3" x14ac:dyDescent="0.25">
      <c r="A171" s="2" t="s">
        <v>8</v>
      </c>
      <c r="B171" s="4">
        <v>7.55</v>
      </c>
      <c r="C171" s="3">
        <v>26730</v>
      </c>
    </row>
    <row r="172" spans="1:3" x14ac:dyDescent="0.25">
      <c r="A172" s="2" t="s">
        <v>9</v>
      </c>
      <c r="B172" s="4">
        <v>5.63</v>
      </c>
      <c r="C172" s="3">
        <v>10563</v>
      </c>
    </row>
    <row r="173" spans="1:3" x14ac:dyDescent="0.25">
      <c r="A173" s="2" t="s">
        <v>7</v>
      </c>
      <c r="B173" s="4">
        <v>4.71</v>
      </c>
      <c r="C173" s="3">
        <v>27575</v>
      </c>
    </row>
    <row r="174" spans="1:3" x14ac:dyDescent="0.25">
      <c r="A174" s="2" t="s">
        <v>8</v>
      </c>
      <c r="B174" s="4">
        <v>5.28</v>
      </c>
      <c r="C174" s="3">
        <v>14479</v>
      </c>
    </row>
    <row r="175" spans="1:3" x14ac:dyDescent="0.25">
      <c r="A175" s="2" t="s">
        <v>9</v>
      </c>
      <c r="B175" s="4">
        <v>5.95</v>
      </c>
      <c r="C175" s="3">
        <v>15915</v>
      </c>
    </row>
    <row r="176" spans="1:3" x14ac:dyDescent="0.25">
      <c r="A176" s="2" t="s">
        <v>7</v>
      </c>
      <c r="B176" s="4">
        <v>9.98</v>
      </c>
      <c r="C176" s="3">
        <v>12767</v>
      </c>
    </row>
    <row r="177" spans="1:3" x14ac:dyDescent="0.25">
      <c r="A177" s="2" t="s">
        <v>8</v>
      </c>
      <c r="B177" s="4">
        <v>9.93</v>
      </c>
      <c r="C177" s="3">
        <v>12170</v>
      </c>
    </row>
    <row r="178" spans="1:3" x14ac:dyDescent="0.25">
      <c r="A178" s="2" t="s">
        <v>9</v>
      </c>
      <c r="B178" s="4">
        <v>9.08</v>
      </c>
      <c r="C178" s="3">
        <v>7245</v>
      </c>
    </row>
    <row r="179" spans="1:3" x14ac:dyDescent="0.25">
      <c r="A179" s="2" t="s">
        <v>7</v>
      </c>
      <c r="B179" s="4">
        <v>7.98</v>
      </c>
      <c r="C179" s="3">
        <v>12985</v>
      </c>
    </row>
    <row r="180" spans="1:3" x14ac:dyDescent="0.25">
      <c r="A180" s="2" t="s">
        <v>8</v>
      </c>
      <c r="B180" s="4">
        <v>9.6199999999999992</v>
      </c>
      <c r="C180" s="3">
        <v>16377</v>
      </c>
    </row>
    <row r="181" spans="1:3" x14ac:dyDescent="0.25">
      <c r="A181" s="2" t="s">
        <v>9</v>
      </c>
      <c r="B181" s="4">
        <v>8.7100000000000009</v>
      </c>
      <c r="C181" s="3">
        <v>11453</v>
      </c>
    </row>
    <row r="182" spans="1:3" x14ac:dyDescent="0.25">
      <c r="A182" s="2" t="s">
        <v>7</v>
      </c>
      <c r="B182" s="4">
        <v>6.69</v>
      </c>
      <c r="C182" s="3">
        <v>12323</v>
      </c>
    </row>
    <row r="183" spans="1:3" x14ac:dyDescent="0.25">
      <c r="A183" s="2" t="s">
        <v>8</v>
      </c>
      <c r="B183" s="4">
        <v>4.25</v>
      </c>
      <c r="C183" s="3">
        <v>11911</v>
      </c>
    </row>
    <row r="184" spans="1:3" x14ac:dyDescent="0.25">
      <c r="A184" s="2" t="s">
        <v>9</v>
      </c>
      <c r="B184" s="4">
        <v>4.9800000000000004</v>
      </c>
      <c r="C184" s="3">
        <v>27809</v>
      </c>
    </row>
    <row r="185" spans="1:3" x14ac:dyDescent="0.25">
      <c r="A185" s="2" t="s">
        <v>7</v>
      </c>
      <c r="B185" s="4">
        <v>4.97</v>
      </c>
      <c r="C185" s="3">
        <v>21464</v>
      </c>
    </row>
    <row r="186" spans="1:3" x14ac:dyDescent="0.25">
      <c r="A186" s="2" t="s">
        <v>8</v>
      </c>
      <c r="B186" s="4">
        <v>3.71</v>
      </c>
      <c r="C186" s="3">
        <v>27126</v>
      </c>
    </row>
    <row r="187" spans="1:3" x14ac:dyDescent="0.25">
      <c r="A187" s="2" t="s">
        <v>9</v>
      </c>
      <c r="B187" s="4">
        <v>7.79</v>
      </c>
      <c r="C187" s="3">
        <v>10681</v>
      </c>
    </row>
    <row r="188" spans="1:3" x14ac:dyDescent="0.25">
      <c r="A188" s="2" t="s">
        <v>7</v>
      </c>
      <c r="B188" s="4">
        <v>4.96</v>
      </c>
      <c r="C188" s="3">
        <v>5413</v>
      </c>
    </row>
    <row r="189" spans="1:3" x14ac:dyDescent="0.25">
      <c r="A189" s="2" t="s">
        <v>8</v>
      </c>
      <c r="B189" s="4">
        <v>8.58</v>
      </c>
      <c r="C189" s="3">
        <v>25058</v>
      </c>
    </row>
    <row r="190" spans="1:3" x14ac:dyDescent="0.25">
      <c r="A190" s="2" t="s">
        <v>9</v>
      </c>
      <c r="B190" s="4">
        <v>8.51</v>
      </c>
      <c r="C190" s="3">
        <v>18303</v>
      </c>
    </row>
    <row r="191" spans="1:3" x14ac:dyDescent="0.25">
      <c r="A191" s="2" t="s">
        <v>7</v>
      </c>
      <c r="B191" s="4">
        <v>5.41</v>
      </c>
      <c r="C191" s="3">
        <v>5526</v>
      </c>
    </row>
    <row r="192" spans="1:3" x14ac:dyDescent="0.25">
      <c r="A192" s="2" t="s">
        <v>8</v>
      </c>
      <c r="B192" s="4">
        <v>8.7200000000000006</v>
      </c>
      <c r="C192" s="3">
        <v>17460</v>
      </c>
    </row>
    <row r="193" spans="1:3" x14ac:dyDescent="0.25">
      <c r="A193" s="2" t="s">
        <v>9</v>
      </c>
      <c r="B193" s="4">
        <v>7.71</v>
      </c>
      <c r="C193" s="3">
        <v>14475</v>
      </c>
    </row>
    <row r="194" spans="1:3" x14ac:dyDescent="0.25">
      <c r="A194" s="2" t="s">
        <v>7</v>
      </c>
      <c r="B194" s="4">
        <v>8.35</v>
      </c>
      <c r="C194" s="3">
        <v>20162</v>
      </c>
    </row>
    <row r="195" spans="1:3" x14ac:dyDescent="0.25">
      <c r="A195" s="2" t="s">
        <v>8</v>
      </c>
      <c r="B195" s="4">
        <v>4.03</v>
      </c>
      <c r="C195" s="3">
        <v>17103</v>
      </c>
    </row>
    <row r="196" spans="1:3" x14ac:dyDescent="0.25">
      <c r="A196" s="2" t="s">
        <v>9</v>
      </c>
      <c r="B196" s="4">
        <v>9.3699999999999992</v>
      </c>
      <c r="C196" s="3">
        <v>15461</v>
      </c>
    </row>
    <row r="197" spans="1:3" x14ac:dyDescent="0.25">
      <c r="A197" s="2" t="s">
        <v>7</v>
      </c>
      <c r="B197" s="4">
        <v>6.07</v>
      </c>
      <c r="C197" s="3">
        <v>22103</v>
      </c>
    </row>
    <row r="198" spans="1:3" x14ac:dyDescent="0.25">
      <c r="A198" s="2" t="s">
        <v>8</v>
      </c>
      <c r="B198" s="4">
        <v>6.52</v>
      </c>
      <c r="C198" s="3">
        <v>11625</v>
      </c>
    </row>
    <row r="199" spans="1:3" x14ac:dyDescent="0.25">
      <c r="A199" s="2" t="s">
        <v>9</v>
      </c>
      <c r="B199" s="4">
        <v>3.08</v>
      </c>
      <c r="C199" s="3">
        <v>5281</v>
      </c>
    </row>
    <row r="200" spans="1:3" x14ac:dyDescent="0.25">
      <c r="A200" s="2" t="s">
        <v>7</v>
      </c>
      <c r="B200" s="4">
        <v>5.34</v>
      </c>
      <c r="C200" s="3">
        <v>13424</v>
      </c>
    </row>
    <row r="201" spans="1:3" x14ac:dyDescent="0.25">
      <c r="A201" s="2" t="s">
        <v>8</v>
      </c>
      <c r="B201" s="4">
        <v>3.65</v>
      </c>
      <c r="C201" s="3">
        <v>13140</v>
      </c>
    </row>
    <row r="202" spans="1:3" x14ac:dyDescent="0.25">
      <c r="A202" s="2" t="s">
        <v>9</v>
      </c>
      <c r="B202" s="4">
        <v>4.18</v>
      </c>
      <c r="C202" s="3">
        <v>19538</v>
      </c>
    </row>
    <row r="203" spans="1:3" x14ac:dyDescent="0.25">
      <c r="A203" s="2" t="s">
        <v>7</v>
      </c>
      <c r="B203" s="4">
        <v>3.91</v>
      </c>
      <c r="C203" s="3">
        <v>7881</v>
      </c>
    </row>
    <row r="204" spans="1:3" x14ac:dyDescent="0.25">
      <c r="A204" s="2" t="s">
        <v>8</v>
      </c>
      <c r="B204" s="4">
        <v>5.12</v>
      </c>
      <c r="C204" s="3">
        <v>11418</v>
      </c>
    </row>
  </sheetData>
  <mergeCells count="6">
    <mergeCell ref="C1:K2"/>
    <mergeCell ref="E24:G25"/>
    <mergeCell ref="E32:G33"/>
    <mergeCell ref="A3:C3"/>
    <mergeCell ref="F6:H6"/>
    <mergeCell ref="J3:Q3"/>
  </mergeCells>
  <pageMargins left="0.7" right="0.7" top="0.75" bottom="0.75" header="0.3" footer="0.3"/>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6E193-95DB-4CE0-B19C-C7EE14ACCC05}">
  <sheetPr codeName="Sheet3"/>
  <dimension ref="A1:N1000"/>
  <sheetViews>
    <sheetView workbookViewId="0">
      <selection activeCell="B13" sqref="B13"/>
    </sheetView>
  </sheetViews>
  <sheetFormatPr defaultColWidth="14.42578125" defaultRowHeight="15" customHeight="1" x14ac:dyDescent="0.25"/>
  <cols>
    <col min="1" max="1" width="23.85546875" style="5" customWidth="1"/>
    <col min="2" max="2" width="23.85546875" style="6" customWidth="1"/>
    <col min="3" max="3" width="18.5703125" style="7" customWidth="1"/>
    <col min="4" max="4" width="13.140625" style="7" customWidth="1"/>
    <col min="5" max="5" width="19.28515625" style="7" customWidth="1"/>
    <col min="6" max="6" width="21.7109375" style="8" customWidth="1"/>
    <col min="7" max="8" width="14.85546875" style="7" customWidth="1"/>
    <col min="9" max="9" width="24.28515625" customWidth="1"/>
    <col min="10" max="27" width="8.7109375" customWidth="1"/>
  </cols>
  <sheetData>
    <row r="1" spans="1:14" s="21" customFormat="1" x14ac:dyDescent="0.25">
      <c r="A1" s="17" t="s">
        <v>0</v>
      </c>
      <c r="B1" s="18" t="s">
        <v>1</v>
      </c>
      <c r="C1" s="19" t="s">
        <v>2</v>
      </c>
      <c r="D1" s="19" t="s">
        <v>3</v>
      </c>
      <c r="E1" s="19" t="s">
        <v>4</v>
      </c>
      <c r="F1" s="20" t="s">
        <v>5</v>
      </c>
      <c r="G1" s="19" t="s">
        <v>6</v>
      </c>
      <c r="H1" s="22" t="s">
        <v>23</v>
      </c>
      <c r="I1" s="22" t="s">
        <v>22</v>
      </c>
    </row>
    <row r="2" spans="1:14" x14ac:dyDescent="0.25">
      <c r="A2" s="1">
        <v>45446</v>
      </c>
      <c r="B2" s="2" t="s">
        <v>7</v>
      </c>
      <c r="C2" s="3">
        <v>1402</v>
      </c>
      <c r="D2" s="3">
        <v>68</v>
      </c>
      <c r="E2" s="3">
        <v>124562</v>
      </c>
      <c r="F2" s="4">
        <v>9.92</v>
      </c>
      <c r="G2" s="3">
        <v>23125</v>
      </c>
      <c r="H2" s="3">
        <f>Table5[[#This Row],[New_Followers]]-Table5[[#This Row],[Unfollows]]</f>
        <v>1334</v>
      </c>
      <c r="I2" s="16">
        <f>(C2-D2)/E2</f>
        <v>1.0709526179733787E-2</v>
      </c>
    </row>
    <row r="3" spans="1:14" x14ac:dyDescent="0.25">
      <c r="A3" s="1">
        <v>45446</v>
      </c>
      <c r="B3" s="2" t="s">
        <v>8</v>
      </c>
      <c r="C3" s="3">
        <v>995</v>
      </c>
      <c r="D3" s="3">
        <v>86</v>
      </c>
      <c r="E3" s="3">
        <v>227958</v>
      </c>
      <c r="F3" s="4">
        <v>8.0500000000000007</v>
      </c>
      <c r="G3" s="3">
        <v>22788</v>
      </c>
      <c r="H3" s="3">
        <f>Table5[[#This Row],[New_Followers]]-Table5[[#This Row],[Unfollows]]</f>
        <v>909</v>
      </c>
      <c r="I3" s="16">
        <f t="shared" ref="I3:I66" si="0">(C3-D3)/E3</f>
        <v>3.9875766588582107E-3</v>
      </c>
      <c r="L3" s="15"/>
      <c r="M3" s="15"/>
      <c r="N3" s="15"/>
    </row>
    <row r="4" spans="1:14" x14ac:dyDescent="0.25">
      <c r="A4" s="1">
        <v>45446</v>
      </c>
      <c r="B4" s="2" t="s">
        <v>9</v>
      </c>
      <c r="C4" s="3">
        <v>1472</v>
      </c>
      <c r="D4" s="3">
        <v>296</v>
      </c>
      <c r="E4" s="3">
        <v>370242</v>
      </c>
      <c r="F4" s="4">
        <v>7.72</v>
      </c>
      <c r="G4" s="3">
        <v>7810</v>
      </c>
      <c r="H4" s="3">
        <f>Table5[[#This Row],[New_Followers]]-Table5[[#This Row],[Unfollows]]</f>
        <v>1176</v>
      </c>
      <c r="I4" s="16">
        <f t="shared" si="0"/>
        <v>3.176300905893983E-3</v>
      </c>
      <c r="L4" s="15"/>
      <c r="M4" s="15"/>
      <c r="N4" s="15"/>
    </row>
    <row r="5" spans="1:14" x14ac:dyDescent="0.25">
      <c r="A5" s="1">
        <v>45453</v>
      </c>
      <c r="B5" s="2" t="s">
        <v>7</v>
      </c>
      <c r="C5" s="3">
        <v>1018</v>
      </c>
      <c r="D5" s="3">
        <v>90</v>
      </c>
      <c r="E5" s="3">
        <v>92474</v>
      </c>
      <c r="F5" s="4">
        <v>9.4</v>
      </c>
      <c r="G5" s="3">
        <v>11966</v>
      </c>
      <c r="H5" s="3">
        <f>Table5[[#This Row],[New_Followers]]-Table5[[#This Row],[Unfollows]]</f>
        <v>928</v>
      </c>
      <c r="I5" s="16">
        <f t="shared" si="0"/>
        <v>1.0035253152237385E-2</v>
      </c>
      <c r="L5" s="15"/>
      <c r="M5" s="15"/>
      <c r="N5" s="15"/>
    </row>
    <row r="6" spans="1:14" x14ac:dyDescent="0.25">
      <c r="A6" s="1">
        <v>45453</v>
      </c>
      <c r="B6" s="2" t="s">
        <v>8</v>
      </c>
      <c r="C6" s="3">
        <v>1461</v>
      </c>
      <c r="D6" s="3">
        <v>64</v>
      </c>
      <c r="E6" s="3">
        <v>328902</v>
      </c>
      <c r="F6" s="4">
        <v>9.02</v>
      </c>
      <c r="G6" s="3">
        <v>26298</v>
      </c>
      <c r="H6" s="3">
        <f>Table5[[#This Row],[New_Followers]]-Table5[[#This Row],[Unfollows]]</f>
        <v>1397</v>
      </c>
      <c r="I6" s="16">
        <f t="shared" si="0"/>
        <v>4.247465810484582E-3</v>
      </c>
      <c r="L6" s="15"/>
      <c r="M6" s="15"/>
      <c r="N6" s="15"/>
    </row>
    <row r="7" spans="1:14" x14ac:dyDescent="0.25">
      <c r="A7" s="1">
        <v>45453</v>
      </c>
      <c r="B7" s="2" t="s">
        <v>9</v>
      </c>
      <c r="C7" s="3">
        <v>545</v>
      </c>
      <c r="D7" s="3">
        <v>93</v>
      </c>
      <c r="E7" s="3">
        <v>391621</v>
      </c>
      <c r="F7" s="4">
        <v>9.9600000000000009</v>
      </c>
      <c r="G7" s="3">
        <v>22029</v>
      </c>
      <c r="H7" s="3">
        <f>Table5[[#This Row],[New_Followers]]-Table5[[#This Row],[Unfollows]]</f>
        <v>452</v>
      </c>
      <c r="I7" s="16">
        <f t="shared" si="0"/>
        <v>1.1541771253329111E-3</v>
      </c>
      <c r="L7" s="15"/>
      <c r="M7" s="15"/>
      <c r="N7" s="15"/>
    </row>
    <row r="8" spans="1:14" x14ac:dyDescent="0.25">
      <c r="A8" s="1">
        <v>45460</v>
      </c>
      <c r="B8" s="2" t="s">
        <v>7</v>
      </c>
      <c r="C8" s="3">
        <v>881</v>
      </c>
      <c r="D8" s="3">
        <v>291</v>
      </c>
      <c r="E8" s="3">
        <v>95885</v>
      </c>
      <c r="F8" s="4">
        <v>5.29</v>
      </c>
      <c r="G8" s="3">
        <v>12391</v>
      </c>
      <c r="H8" s="3">
        <f>Table5[[#This Row],[New_Followers]]-Table5[[#This Row],[Unfollows]]</f>
        <v>590</v>
      </c>
      <c r="I8" s="16">
        <f t="shared" si="0"/>
        <v>6.1532043593888509E-3</v>
      </c>
      <c r="L8" s="15"/>
      <c r="M8" s="15"/>
      <c r="N8" s="15"/>
    </row>
    <row r="9" spans="1:14" x14ac:dyDescent="0.25">
      <c r="A9" s="1">
        <v>45460</v>
      </c>
      <c r="B9" s="2" t="s">
        <v>8</v>
      </c>
      <c r="C9" s="3">
        <v>1414</v>
      </c>
      <c r="D9" s="3">
        <v>131</v>
      </c>
      <c r="E9" s="3">
        <v>245947</v>
      </c>
      <c r="F9" s="4">
        <v>8.3000000000000007</v>
      </c>
      <c r="G9" s="3">
        <v>14477</v>
      </c>
      <c r="H9" s="3">
        <f>Table5[[#This Row],[New_Followers]]-Table5[[#This Row],[Unfollows]]</f>
        <v>1283</v>
      </c>
      <c r="I9" s="16">
        <f t="shared" si="0"/>
        <v>5.2165710498603361E-3</v>
      </c>
      <c r="L9" s="15"/>
      <c r="M9" s="15"/>
      <c r="N9" s="15"/>
    </row>
    <row r="10" spans="1:14" x14ac:dyDescent="0.25">
      <c r="A10" s="1">
        <v>45460</v>
      </c>
      <c r="B10" s="2" t="s">
        <v>9</v>
      </c>
      <c r="C10" s="3">
        <v>1472</v>
      </c>
      <c r="D10" s="3">
        <v>170</v>
      </c>
      <c r="E10" s="3">
        <v>250428</v>
      </c>
      <c r="F10" s="4">
        <v>4.66</v>
      </c>
      <c r="G10" s="3">
        <v>25040</v>
      </c>
      <c r="H10" s="3">
        <f>Table5[[#This Row],[New_Followers]]-Table5[[#This Row],[Unfollows]]</f>
        <v>1302</v>
      </c>
      <c r="I10" s="16">
        <f t="shared" si="0"/>
        <v>5.1990991422684362E-3</v>
      </c>
      <c r="L10" s="15"/>
      <c r="M10" s="15"/>
      <c r="N10" s="15"/>
    </row>
    <row r="11" spans="1:14" x14ac:dyDescent="0.25">
      <c r="A11" s="1">
        <v>45467</v>
      </c>
      <c r="B11" s="2" t="s">
        <v>7</v>
      </c>
      <c r="C11" s="3">
        <v>809</v>
      </c>
      <c r="D11" s="3">
        <v>197</v>
      </c>
      <c r="E11" s="3">
        <v>87186</v>
      </c>
      <c r="F11" s="4">
        <v>9.48</v>
      </c>
      <c r="G11" s="3">
        <v>22619</v>
      </c>
      <c r="H11" s="3">
        <f>Table5[[#This Row],[New_Followers]]-Table5[[#This Row],[Unfollows]]</f>
        <v>612</v>
      </c>
      <c r="I11" s="16">
        <f t="shared" si="0"/>
        <v>7.0194756038813571E-3</v>
      </c>
    </row>
    <row r="12" spans="1:14" x14ac:dyDescent="0.25">
      <c r="A12" s="1">
        <v>45467</v>
      </c>
      <c r="B12" s="2" t="s">
        <v>8</v>
      </c>
      <c r="C12" s="3">
        <v>1371</v>
      </c>
      <c r="D12" s="3">
        <v>250</v>
      </c>
      <c r="E12" s="3">
        <v>128620</v>
      </c>
      <c r="F12" s="4">
        <v>7.11</v>
      </c>
      <c r="G12" s="3">
        <v>12399</v>
      </c>
      <c r="H12" s="3">
        <f>Table5[[#This Row],[New_Followers]]-Table5[[#This Row],[Unfollows]]</f>
        <v>1121</v>
      </c>
      <c r="I12" s="16">
        <f t="shared" si="0"/>
        <v>8.7155963302752298E-3</v>
      </c>
    </row>
    <row r="13" spans="1:14" x14ac:dyDescent="0.25">
      <c r="A13" s="1">
        <v>45467</v>
      </c>
      <c r="B13" s="2" t="s">
        <v>9</v>
      </c>
      <c r="C13" s="3">
        <v>844</v>
      </c>
      <c r="D13" s="3">
        <v>144</v>
      </c>
      <c r="E13" s="3">
        <v>126015</v>
      </c>
      <c r="F13" s="4">
        <v>9.65</v>
      </c>
      <c r="G13" s="3">
        <v>22456</v>
      </c>
      <c r="H13" s="3">
        <f>Table5[[#This Row],[New_Followers]]-Table5[[#This Row],[Unfollows]]</f>
        <v>700</v>
      </c>
      <c r="I13" s="16">
        <f t="shared" si="0"/>
        <v>5.5548942586200059E-3</v>
      </c>
    </row>
    <row r="14" spans="1:14" x14ac:dyDescent="0.25">
      <c r="A14" s="1">
        <v>45474</v>
      </c>
      <c r="B14" s="2" t="s">
        <v>7</v>
      </c>
      <c r="C14" s="3">
        <v>786</v>
      </c>
      <c r="D14" s="3">
        <v>72</v>
      </c>
      <c r="E14" s="3">
        <v>178615</v>
      </c>
      <c r="F14" s="4">
        <v>5.43</v>
      </c>
      <c r="G14" s="3">
        <v>19328</v>
      </c>
      <c r="H14" s="3">
        <f>Table5[[#This Row],[New_Followers]]-Table5[[#This Row],[Unfollows]]</f>
        <v>714</v>
      </c>
      <c r="I14" s="16">
        <f t="shared" si="0"/>
        <v>3.9974246283906723E-3</v>
      </c>
    </row>
    <row r="15" spans="1:14" x14ac:dyDescent="0.25">
      <c r="A15" s="1">
        <v>45474</v>
      </c>
      <c r="B15" s="2" t="s">
        <v>8</v>
      </c>
      <c r="C15" s="3">
        <v>845</v>
      </c>
      <c r="D15" s="3">
        <v>250</v>
      </c>
      <c r="E15" s="3">
        <v>218228</v>
      </c>
      <c r="F15" s="4">
        <v>4.5199999999999996</v>
      </c>
      <c r="G15" s="3">
        <v>21107</v>
      </c>
      <c r="H15" s="3">
        <f>Table5[[#This Row],[New_Followers]]-Table5[[#This Row],[Unfollows]]</f>
        <v>595</v>
      </c>
      <c r="I15" s="16">
        <f t="shared" si="0"/>
        <v>2.7265062228494967E-3</v>
      </c>
    </row>
    <row r="16" spans="1:14" x14ac:dyDescent="0.25">
      <c r="A16" s="1">
        <v>45474</v>
      </c>
      <c r="B16" s="2" t="s">
        <v>9</v>
      </c>
      <c r="C16" s="3">
        <v>1218</v>
      </c>
      <c r="D16" s="3">
        <v>101</v>
      </c>
      <c r="E16" s="3">
        <v>300397</v>
      </c>
      <c r="F16" s="4">
        <v>4.33</v>
      </c>
      <c r="G16" s="3">
        <v>12277</v>
      </c>
      <c r="H16" s="3">
        <f>Table5[[#This Row],[New_Followers]]-Table5[[#This Row],[Unfollows]]</f>
        <v>1117</v>
      </c>
      <c r="I16" s="16">
        <f t="shared" si="0"/>
        <v>3.7184126339477423E-3</v>
      </c>
    </row>
    <row r="17" spans="1:9" x14ac:dyDescent="0.25">
      <c r="A17" s="1">
        <v>45481</v>
      </c>
      <c r="B17" s="2" t="s">
        <v>7</v>
      </c>
      <c r="C17" s="3">
        <v>797</v>
      </c>
      <c r="D17" s="3">
        <v>130</v>
      </c>
      <c r="E17" s="3">
        <v>340121</v>
      </c>
      <c r="F17" s="4">
        <v>8.52</v>
      </c>
      <c r="G17" s="3">
        <v>11684</v>
      </c>
      <c r="H17" s="3">
        <f>Table5[[#This Row],[New_Followers]]-Table5[[#This Row],[Unfollows]]</f>
        <v>667</v>
      </c>
      <c r="I17" s="16">
        <f t="shared" si="0"/>
        <v>1.9610667968164271E-3</v>
      </c>
    </row>
    <row r="18" spans="1:9" x14ac:dyDescent="0.25">
      <c r="A18" s="1">
        <v>45481</v>
      </c>
      <c r="B18" s="2" t="s">
        <v>8</v>
      </c>
      <c r="C18" s="3">
        <v>1471</v>
      </c>
      <c r="D18" s="3">
        <v>100</v>
      </c>
      <c r="E18" s="3">
        <v>76866</v>
      </c>
      <c r="F18" s="4">
        <v>8.5500000000000007</v>
      </c>
      <c r="G18" s="3">
        <v>14412</v>
      </c>
      <c r="H18" s="3">
        <f>Table5[[#This Row],[New_Followers]]-Table5[[#This Row],[Unfollows]]</f>
        <v>1371</v>
      </c>
      <c r="I18" s="16">
        <f t="shared" si="0"/>
        <v>1.7836234485988603E-2</v>
      </c>
    </row>
    <row r="19" spans="1:9" x14ac:dyDescent="0.25">
      <c r="A19" s="1">
        <v>45481</v>
      </c>
      <c r="B19" s="2" t="s">
        <v>9</v>
      </c>
      <c r="C19" s="3">
        <v>1253</v>
      </c>
      <c r="D19" s="3">
        <v>136</v>
      </c>
      <c r="E19" s="3">
        <v>193131</v>
      </c>
      <c r="F19" s="4">
        <v>7.99</v>
      </c>
      <c r="G19" s="3">
        <v>15924</v>
      </c>
      <c r="H19" s="3">
        <f>Table5[[#This Row],[New_Followers]]-Table5[[#This Row],[Unfollows]]</f>
        <v>1117</v>
      </c>
      <c r="I19" s="16">
        <f t="shared" si="0"/>
        <v>5.7836390843520723E-3</v>
      </c>
    </row>
    <row r="20" spans="1:9" x14ac:dyDescent="0.25">
      <c r="A20" s="1">
        <v>45488</v>
      </c>
      <c r="B20" s="2" t="s">
        <v>7</v>
      </c>
      <c r="C20" s="3">
        <v>616</v>
      </c>
      <c r="D20" s="3">
        <v>257</v>
      </c>
      <c r="E20" s="3">
        <v>169665</v>
      </c>
      <c r="F20" s="4">
        <v>6.31</v>
      </c>
      <c r="G20" s="3">
        <v>12390</v>
      </c>
      <c r="H20" s="3">
        <f>Table5[[#This Row],[New_Followers]]-Table5[[#This Row],[Unfollows]]</f>
        <v>359</v>
      </c>
      <c r="I20" s="16">
        <f t="shared" si="0"/>
        <v>2.1159343412017798E-3</v>
      </c>
    </row>
    <row r="21" spans="1:9" ht="15.75" customHeight="1" x14ac:dyDescent="0.25">
      <c r="A21" s="1">
        <v>45488</v>
      </c>
      <c r="B21" s="2" t="s">
        <v>8</v>
      </c>
      <c r="C21" s="3">
        <v>1308</v>
      </c>
      <c r="D21" s="3">
        <v>210</v>
      </c>
      <c r="E21" s="3">
        <v>263729</v>
      </c>
      <c r="F21" s="4">
        <v>8.5299999999999994</v>
      </c>
      <c r="G21" s="3">
        <v>25742</v>
      </c>
      <c r="H21" s="3">
        <f>Table5[[#This Row],[New_Followers]]-Table5[[#This Row],[Unfollows]]</f>
        <v>1098</v>
      </c>
      <c r="I21" s="16">
        <f t="shared" si="0"/>
        <v>4.1633646660018432E-3</v>
      </c>
    </row>
    <row r="22" spans="1:9" ht="15.75" customHeight="1" x14ac:dyDescent="0.25">
      <c r="A22" s="1">
        <v>45488</v>
      </c>
      <c r="B22" s="2" t="s">
        <v>9</v>
      </c>
      <c r="C22" s="3">
        <v>981</v>
      </c>
      <c r="D22" s="3">
        <v>69</v>
      </c>
      <c r="E22" s="3">
        <v>206921</v>
      </c>
      <c r="F22" s="4">
        <v>8.42</v>
      </c>
      <c r="G22" s="3">
        <v>10495</v>
      </c>
      <c r="H22" s="3">
        <f>Table5[[#This Row],[New_Followers]]-Table5[[#This Row],[Unfollows]]</f>
        <v>912</v>
      </c>
      <c r="I22" s="16">
        <f t="shared" si="0"/>
        <v>4.4074791828765565E-3</v>
      </c>
    </row>
    <row r="23" spans="1:9" ht="15.75" customHeight="1" x14ac:dyDescent="0.25">
      <c r="A23" s="1">
        <v>45495</v>
      </c>
      <c r="B23" s="2" t="s">
        <v>7</v>
      </c>
      <c r="C23" s="3">
        <v>866</v>
      </c>
      <c r="D23" s="3">
        <v>74</v>
      </c>
      <c r="E23" s="3">
        <v>204121</v>
      </c>
      <c r="F23" s="4">
        <v>9.34</v>
      </c>
      <c r="G23" s="3">
        <v>7797</v>
      </c>
      <c r="H23" s="3">
        <f>Table5[[#This Row],[New_Followers]]-Table5[[#This Row],[Unfollows]]</f>
        <v>792</v>
      </c>
      <c r="I23" s="16">
        <f t="shared" si="0"/>
        <v>3.8800515380583087E-3</v>
      </c>
    </row>
    <row r="24" spans="1:9" ht="15.75" customHeight="1" x14ac:dyDescent="0.25">
      <c r="A24" s="1">
        <v>45495</v>
      </c>
      <c r="B24" s="2" t="s">
        <v>8</v>
      </c>
      <c r="C24" s="3">
        <v>547</v>
      </c>
      <c r="D24" s="3">
        <v>183</v>
      </c>
      <c r="E24" s="3">
        <v>266350</v>
      </c>
      <c r="F24" s="4">
        <v>5.65</v>
      </c>
      <c r="G24" s="3">
        <v>15595</v>
      </c>
      <c r="H24" s="3">
        <f>Table5[[#This Row],[New_Followers]]-Table5[[#This Row],[Unfollows]]</f>
        <v>364</v>
      </c>
      <c r="I24" s="16">
        <f t="shared" si="0"/>
        <v>1.3666228646517741E-3</v>
      </c>
    </row>
    <row r="25" spans="1:9" ht="15.75" customHeight="1" x14ac:dyDescent="0.25">
      <c r="A25" s="1">
        <v>45495</v>
      </c>
      <c r="B25" s="2" t="s">
        <v>9</v>
      </c>
      <c r="C25" s="3">
        <v>1241</v>
      </c>
      <c r="D25" s="3">
        <v>116</v>
      </c>
      <c r="E25" s="3">
        <v>380606</v>
      </c>
      <c r="F25" s="4">
        <v>4.2</v>
      </c>
      <c r="G25" s="3">
        <v>24617</v>
      </c>
      <c r="H25" s="3">
        <f>Table5[[#This Row],[New_Followers]]-Table5[[#This Row],[Unfollows]]</f>
        <v>1125</v>
      </c>
      <c r="I25" s="16">
        <f t="shared" si="0"/>
        <v>2.9558125725816196E-3</v>
      </c>
    </row>
    <row r="26" spans="1:9" ht="15.75" customHeight="1" x14ac:dyDescent="0.25">
      <c r="A26" s="1">
        <v>45502</v>
      </c>
      <c r="B26" s="2" t="s">
        <v>7</v>
      </c>
      <c r="C26" s="3">
        <v>973</v>
      </c>
      <c r="D26" s="3">
        <v>104</v>
      </c>
      <c r="E26" s="3">
        <v>376358</v>
      </c>
      <c r="F26" s="4">
        <v>3.87</v>
      </c>
      <c r="G26" s="3">
        <v>9847</v>
      </c>
      <c r="H26" s="3">
        <f>Table5[[#This Row],[New_Followers]]-Table5[[#This Row],[Unfollows]]</f>
        <v>869</v>
      </c>
      <c r="I26" s="16">
        <f t="shared" si="0"/>
        <v>2.3089717768720206E-3</v>
      </c>
    </row>
    <row r="27" spans="1:9" ht="15.75" customHeight="1" x14ac:dyDescent="0.25">
      <c r="A27" s="1">
        <v>45502</v>
      </c>
      <c r="B27" s="2" t="s">
        <v>8</v>
      </c>
      <c r="C27" s="3">
        <v>611</v>
      </c>
      <c r="D27" s="3">
        <v>197</v>
      </c>
      <c r="E27" s="3">
        <v>79423</v>
      </c>
      <c r="F27" s="4">
        <v>5.82</v>
      </c>
      <c r="G27" s="3">
        <v>13644</v>
      </c>
      <c r="H27" s="3">
        <f>Table5[[#This Row],[New_Followers]]-Table5[[#This Row],[Unfollows]]</f>
        <v>414</v>
      </c>
      <c r="I27" s="16">
        <f t="shared" si="0"/>
        <v>5.2125958475504573E-3</v>
      </c>
    </row>
    <row r="28" spans="1:9" ht="15.75" customHeight="1" x14ac:dyDescent="0.25">
      <c r="A28" s="1">
        <v>45502</v>
      </c>
      <c r="B28" s="2" t="s">
        <v>9</v>
      </c>
      <c r="C28" s="3">
        <v>983</v>
      </c>
      <c r="D28" s="3">
        <v>134</v>
      </c>
      <c r="E28" s="3">
        <v>352178</v>
      </c>
      <c r="F28" s="4">
        <v>3.55</v>
      </c>
      <c r="G28" s="3">
        <v>11421</v>
      </c>
      <c r="H28" s="3">
        <f>Table5[[#This Row],[New_Followers]]-Table5[[#This Row],[Unfollows]]</f>
        <v>849</v>
      </c>
      <c r="I28" s="16">
        <f t="shared" si="0"/>
        <v>2.4107127645679174E-3</v>
      </c>
    </row>
    <row r="29" spans="1:9" ht="15.75" customHeight="1" x14ac:dyDescent="0.25">
      <c r="A29" s="1">
        <v>45509</v>
      </c>
      <c r="B29" s="2" t="s">
        <v>7</v>
      </c>
      <c r="C29" s="3">
        <v>1449</v>
      </c>
      <c r="D29" s="3">
        <v>96</v>
      </c>
      <c r="E29" s="3">
        <v>200636</v>
      </c>
      <c r="F29" s="4">
        <v>9.92</v>
      </c>
      <c r="G29" s="3">
        <v>15613</v>
      </c>
      <c r="H29" s="3">
        <f>Table5[[#This Row],[New_Followers]]-Table5[[#This Row],[Unfollows]]</f>
        <v>1353</v>
      </c>
      <c r="I29" s="16">
        <f t="shared" si="0"/>
        <v>6.7435554935305723E-3</v>
      </c>
    </row>
    <row r="30" spans="1:9" ht="15.75" customHeight="1" x14ac:dyDescent="0.25">
      <c r="A30" s="1">
        <v>45509</v>
      </c>
      <c r="B30" s="2" t="s">
        <v>8</v>
      </c>
      <c r="C30" s="3">
        <v>752</v>
      </c>
      <c r="D30" s="3">
        <v>170</v>
      </c>
      <c r="E30" s="3">
        <v>132756</v>
      </c>
      <c r="F30" s="4">
        <v>8.17</v>
      </c>
      <c r="G30" s="3">
        <v>23900</v>
      </c>
      <c r="H30" s="3">
        <f>Table5[[#This Row],[New_Followers]]-Table5[[#This Row],[Unfollows]]</f>
        <v>582</v>
      </c>
      <c r="I30" s="16">
        <f t="shared" si="0"/>
        <v>4.3839826448522105E-3</v>
      </c>
    </row>
    <row r="31" spans="1:9" ht="15.75" customHeight="1" x14ac:dyDescent="0.25">
      <c r="A31" s="1">
        <v>45509</v>
      </c>
      <c r="B31" s="2" t="s">
        <v>9</v>
      </c>
      <c r="C31" s="3">
        <v>937</v>
      </c>
      <c r="D31" s="3">
        <v>179</v>
      </c>
      <c r="E31" s="3">
        <v>318098</v>
      </c>
      <c r="F31" s="4">
        <v>5.3</v>
      </c>
      <c r="G31" s="3">
        <v>5836</v>
      </c>
      <c r="H31" s="3">
        <f>Table5[[#This Row],[New_Followers]]-Table5[[#This Row],[Unfollows]]</f>
        <v>758</v>
      </c>
      <c r="I31" s="16">
        <f t="shared" si="0"/>
        <v>2.3829134417695176E-3</v>
      </c>
    </row>
    <row r="32" spans="1:9" ht="15.75" customHeight="1" x14ac:dyDescent="0.25">
      <c r="A32" s="1">
        <v>45516</v>
      </c>
      <c r="B32" s="2" t="s">
        <v>7</v>
      </c>
      <c r="C32" s="3">
        <v>1060</v>
      </c>
      <c r="D32" s="3">
        <v>83</v>
      </c>
      <c r="E32" s="3">
        <v>68724</v>
      </c>
      <c r="F32" s="4">
        <v>5.98</v>
      </c>
      <c r="G32" s="3">
        <v>5624</v>
      </c>
      <c r="H32" s="3">
        <f>Table5[[#This Row],[New_Followers]]-Table5[[#This Row],[Unfollows]]</f>
        <v>977</v>
      </c>
      <c r="I32" s="16">
        <f t="shared" si="0"/>
        <v>1.4216285431581398E-2</v>
      </c>
    </row>
    <row r="33" spans="1:9" ht="15.75" customHeight="1" x14ac:dyDescent="0.25">
      <c r="A33" s="1">
        <v>45516</v>
      </c>
      <c r="B33" s="2" t="s">
        <v>8</v>
      </c>
      <c r="C33" s="3">
        <v>1456</v>
      </c>
      <c r="D33" s="3">
        <v>265</v>
      </c>
      <c r="E33" s="3">
        <v>115505</v>
      </c>
      <c r="F33" s="4">
        <v>7.49</v>
      </c>
      <c r="G33" s="3">
        <v>10311</v>
      </c>
      <c r="H33" s="3">
        <f>Table5[[#This Row],[New_Followers]]-Table5[[#This Row],[Unfollows]]</f>
        <v>1191</v>
      </c>
      <c r="I33" s="16">
        <f t="shared" si="0"/>
        <v>1.031124193757846E-2</v>
      </c>
    </row>
    <row r="34" spans="1:9" ht="15.75" customHeight="1" x14ac:dyDescent="0.25">
      <c r="A34" s="1">
        <v>45516</v>
      </c>
      <c r="B34" s="2" t="s">
        <v>9</v>
      </c>
      <c r="C34" s="3">
        <v>1109</v>
      </c>
      <c r="D34" s="3">
        <v>205</v>
      </c>
      <c r="E34" s="3">
        <v>276722</v>
      </c>
      <c r="F34" s="4">
        <v>9.3800000000000008</v>
      </c>
      <c r="G34" s="3">
        <v>8274</v>
      </c>
      <c r="H34" s="3">
        <f>Table5[[#This Row],[New_Followers]]-Table5[[#This Row],[Unfollows]]</f>
        <v>904</v>
      </c>
      <c r="I34" s="16">
        <f t="shared" si="0"/>
        <v>3.2668165162148292E-3</v>
      </c>
    </row>
    <row r="35" spans="1:9" ht="15.75" customHeight="1" x14ac:dyDescent="0.25">
      <c r="A35" s="1">
        <v>45523</v>
      </c>
      <c r="B35" s="2" t="s">
        <v>7</v>
      </c>
      <c r="C35" s="3">
        <v>1002</v>
      </c>
      <c r="D35" s="3">
        <v>93</v>
      </c>
      <c r="E35" s="3">
        <v>353538</v>
      </c>
      <c r="F35" s="4">
        <v>5.84</v>
      </c>
      <c r="G35" s="3">
        <v>6031</v>
      </c>
      <c r="H35" s="3">
        <f>Table5[[#This Row],[New_Followers]]-Table5[[#This Row],[Unfollows]]</f>
        <v>909</v>
      </c>
      <c r="I35" s="16">
        <f t="shared" si="0"/>
        <v>2.5711521816608116E-3</v>
      </c>
    </row>
    <row r="36" spans="1:9" ht="15.75" customHeight="1" x14ac:dyDescent="0.25">
      <c r="A36" s="1">
        <v>45523</v>
      </c>
      <c r="B36" s="2" t="s">
        <v>8</v>
      </c>
      <c r="C36" s="3">
        <v>571</v>
      </c>
      <c r="D36" s="3">
        <v>189</v>
      </c>
      <c r="E36" s="3">
        <v>61445</v>
      </c>
      <c r="F36" s="4">
        <v>5.41</v>
      </c>
      <c r="G36" s="3">
        <v>27829</v>
      </c>
      <c r="H36" s="3">
        <f>Table5[[#This Row],[New_Followers]]-Table5[[#This Row],[Unfollows]]</f>
        <v>382</v>
      </c>
      <c r="I36" s="16">
        <f t="shared" si="0"/>
        <v>6.2169419806330862E-3</v>
      </c>
    </row>
    <row r="37" spans="1:9" ht="15.75" customHeight="1" x14ac:dyDescent="0.25">
      <c r="A37" s="1">
        <v>45523</v>
      </c>
      <c r="B37" s="2" t="s">
        <v>9</v>
      </c>
      <c r="C37" s="3">
        <v>1240</v>
      </c>
      <c r="D37" s="3">
        <v>231</v>
      </c>
      <c r="E37" s="3">
        <v>165035</v>
      </c>
      <c r="F37" s="4">
        <v>6.05</v>
      </c>
      <c r="G37" s="3">
        <v>18267</v>
      </c>
      <c r="H37" s="3">
        <f>Table5[[#This Row],[New_Followers]]-Table5[[#This Row],[Unfollows]]</f>
        <v>1009</v>
      </c>
      <c r="I37" s="16">
        <f t="shared" si="0"/>
        <v>6.1138546368952043E-3</v>
      </c>
    </row>
    <row r="38" spans="1:9" ht="15.75" customHeight="1" x14ac:dyDescent="0.25">
      <c r="A38" s="1">
        <v>45530</v>
      </c>
      <c r="B38" s="2" t="s">
        <v>7</v>
      </c>
      <c r="C38" s="3">
        <v>1154</v>
      </c>
      <c r="D38" s="3">
        <v>132</v>
      </c>
      <c r="E38" s="3">
        <v>194595</v>
      </c>
      <c r="F38" s="4">
        <v>7.54</v>
      </c>
      <c r="G38" s="3">
        <v>26624</v>
      </c>
      <c r="H38" s="3">
        <f>Table5[[#This Row],[New_Followers]]-Table5[[#This Row],[Unfollows]]</f>
        <v>1022</v>
      </c>
      <c r="I38" s="16">
        <f t="shared" si="0"/>
        <v>5.2519335029163131E-3</v>
      </c>
    </row>
    <row r="39" spans="1:9" ht="15.75" customHeight="1" x14ac:dyDescent="0.25">
      <c r="A39" s="1">
        <v>45530</v>
      </c>
      <c r="B39" s="2" t="s">
        <v>8</v>
      </c>
      <c r="C39" s="3">
        <v>537</v>
      </c>
      <c r="D39" s="3">
        <v>275</v>
      </c>
      <c r="E39" s="3">
        <v>236238</v>
      </c>
      <c r="F39" s="4">
        <v>5.87</v>
      </c>
      <c r="G39" s="3">
        <v>26644</v>
      </c>
      <c r="H39" s="3">
        <f>Table5[[#This Row],[New_Followers]]-Table5[[#This Row],[Unfollows]]</f>
        <v>262</v>
      </c>
      <c r="I39" s="16">
        <f t="shared" si="0"/>
        <v>1.1090510417460359E-3</v>
      </c>
    </row>
    <row r="40" spans="1:9" ht="15.75" customHeight="1" x14ac:dyDescent="0.25">
      <c r="A40" s="1">
        <v>45530</v>
      </c>
      <c r="B40" s="2" t="s">
        <v>9</v>
      </c>
      <c r="C40" s="3">
        <v>1456</v>
      </c>
      <c r="D40" s="3">
        <v>290</v>
      </c>
      <c r="E40" s="3">
        <v>271044</v>
      </c>
      <c r="F40" s="4">
        <v>7.17</v>
      </c>
      <c r="G40" s="3">
        <v>13051</v>
      </c>
      <c r="H40" s="3">
        <f>Table5[[#This Row],[New_Followers]]-Table5[[#This Row],[Unfollows]]</f>
        <v>1166</v>
      </c>
      <c r="I40" s="16">
        <f t="shared" si="0"/>
        <v>4.3018845648676966E-3</v>
      </c>
    </row>
    <row r="41" spans="1:9" ht="15.75" customHeight="1" x14ac:dyDescent="0.25">
      <c r="A41" s="1">
        <v>45537</v>
      </c>
      <c r="B41" s="2" t="s">
        <v>7</v>
      </c>
      <c r="C41" s="3">
        <v>721</v>
      </c>
      <c r="D41" s="3">
        <v>206</v>
      </c>
      <c r="E41" s="3">
        <v>334887</v>
      </c>
      <c r="F41" s="4">
        <v>6.05</v>
      </c>
      <c r="G41" s="3">
        <v>14217</v>
      </c>
      <c r="H41" s="3">
        <f>Table5[[#This Row],[New_Followers]]-Table5[[#This Row],[Unfollows]]</f>
        <v>515</v>
      </c>
      <c r="I41" s="16">
        <f t="shared" si="0"/>
        <v>1.5378321642822803E-3</v>
      </c>
    </row>
    <row r="42" spans="1:9" ht="15.75" customHeight="1" x14ac:dyDescent="0.25">
      <c r="A42" s="1">
        <v>45537</v>
      </c>
      <c r="B42" s="2" t="s">
        <v>8</v>
      </c>
      <c r="C42" s="3">
        <v>1098</v>
      </c>
      <c r="D42" s="3">
        <v>142</v>
      </c>
      <c r="E42" s="3">
        <v>359150</v>
      </c>
      <c r="F42" s="4">
        <v>7.51</v>
      </c>
      <c r="G42" s="3">
        <v>16385</v>
      </c>
      <c r="H42" s="3">
        <f>Table5[[#This Row],[New_Followers]]-Table5[[#This Row],[Unfollows]]</f>
        <v>956</v>
      </c>
      <c r="I42" s="16">
        <f t="shared" si="0"/>
        <v>2.6618404566337186E-3</v>
      </c>
    </row>
    <row r="43" spans="1:9" ht="15.75" customHeight="1" x14ac:dyDescent="0.25">
      <c r="A43" s="1">
        <v>45537</v>
      </c>
      <c r="B43" s="2" t="s">
        <v>9</v>
      </c>
      <c r="C43" s="3">
        <v>1096</v>
      </c>
      <c r="D43" s="3">
        <v>65</v>
      </c>
      <c r="E43" s="3">
        <v>358295</v>
      </c>
      <c r="F43" s="4">
        <v>7.66</v>
      </c>
      <c r="G43" s="3">
        <v>24548</v>
      </c>
      <c r="H43" s="3">
        <f>Table5[[#This Row],[New_Followers]]-Table5[[#This Row],[Unfollows]]</f>
        <v>1031</v>
      </c>
      <c r="I43" s="16">
        <f t="shared" si="0"/>
        <v>2.8775171297394605E-3</v>
      </c>
    </row>
    <row r="44" spans="1:9" ht="15.75" customHeight="1" x14ac:dyDescent="0.25">
      <c r="A44" s="1">
        <v>45544</v>
      </c>
      <c r="B44" s="2" t="s">
        <v>7</v>
      </c>
      <c r="C44" s="3">
        <v>912</v>
      </c>
      <c r="D44" s="3">
        <v>275</v>
      </c>
      <c r="E44" s="3">
        <v>368454</v>
      </c>
      <c r="F44" s="4">
        <v>6.03</v>
      </c>
      <c r="G44" s="3">
        <v>9195</v>
      </c>
      <c r="H44" s="3">
        <f>Table5[[#This Row],[New_Followers]]-Table5[[#This Row],[Unfollows]]</f>
        <v>637</v>
      </c>
      <c r="I44" s="16">
        <f t="shared" si="0"/>
        <v>1.7288453918263881E-3</v>
      </c>
    </row>
    <row r="45" spans="1:9" ht="15.75" customHeight="1" x14ac:dyDescent="0.25">
      <c r="A45" s="1">
        <v>45544</v>
      </c>
      <c r="B45" s="2" t="s">
        <v>8</v>
      </c>
      <c r="C45" s="3">
        <v>1430</v>
      </c>
      <c r="D45" s="3">
        <v>162</v>
      </c>
      <c r="E45" s="3">
        <v>269082</v>
      </c>
      <c r="F45" s="4">
        <v>3.4</v>
      </c>
      <c r="G45" s="3">
        <v>18071</v>
      </c>
      <c r="H45" s="3">
        <f>Table5[[#This Row],[New_Followers]]-Table5[[#This Row],[Unfollows]]</f>
        <v>1268</v>
      </c>
      <c r="I45" s="16">
        <f t="shared" si="0"/>
        <v>4.7123181781018424E-3</v>
      </c>
    </row>
    <row r="46" spans="1:9" ht="15.75" customHeight="1" x14ac:dyDescent="0.25">
      <c r="A46" s="1">
        <v>45544</v>
      </c>
      <c r="B46" s="2" t="s">
        <v>9</v>
      </c>
      <c r="C46" s="3">
        <v>854</v>
      </c>
      <c r="D46" s="3">
        <v>129</v>
      </c>
      <c r="E46" s="3">
        <v>310903</v>
      </c>
      <c r="F46" s="4">
        <v>7.83</v>
      </c>
      <c r="G46" s="3">
        <v>16875</v>
      </c>
      <c r="H46" s="3">
        <f>Table5[[#This Row],[New_Followers]]-Table5[[#This Row],[Unfollows]]</f>
        <v>725</v>
      </c>
      <c r="I46" s="16">
        <f t="shared" si="0"/>
        <v>2.3319170287838973E-3</v>
      </c>
    </row>
    <row r="47" spans="1:9" ht="15.75" customHeight="1" x14ac:dyDescent="0.25">
      <c r="A47" s="1">
        <v>45551</v>
      </c>
      <c r="B47" s="2" t="s">
        <v>7</v>
      </c>
      <c r="C47" s="3">
        <v>681</v>
      </c>
      <c r="D47" s="3">
        <v>210</v>
      </c>
      <c r="E47" s="3">
        <v>248581</v>
      </c>
      <c r="F47" s="4">
        <v>8.76</v>
      </c>
      <c r="G47" s="3">
        <v>9567</v>
      </c>
      <c r="H47" s="3">
        <f>Table5[[#This Row],[New_Followers]]-Table5[[#This Row],[Unfollows]]</f>
        <v>471</v>
      </c>
      <c r="I47" s="16">
        <f t="shared" si="0"/>
        <v>1.8947546272643525E-3</v>
      </c>
    </row>
    <row r="48" spans="1:9" ht="15.75" customHeight="1" x14ac:dyDescent="0.25">
      <c r="A48" s="1">
        <v>45551</v>
      </c>
      <c r="B48" s="2" t="s">
        <v>8</v>
      </c>
      <c r="C48" s="3">
        <v>1373</v>
      </c>
      <c r="D48" s="3">
        <v>82</v>
      </c>
      <c r="E48" s="3">
        <v>371015</v>
      </c>
      <c r="F48" s="4">
        <v>9.52</v>
      </c>
      <c r="G48" s="3">
        <v>20306</v>
      </c>
      <c r="H48" s="3">
        <f>Table5[[#This Row],[New_Followers]]-Table5[[#This Row],[Unfollows]]</f>
        <v>1291</v>
      </c>
      <c r="I48" s="16">
        <f t="shared" si="0"/>
        <v>3.4796436801746559E-3</v>
      </c>
    </row>
    <row r="49" spans="1:9" ht="15.75" customHeight="1" x14ac:dyDescent="0.25">
      <c r="A49" s="1">
        <v>45551</v>
      </c>
      <c r="B49" s="2" t="s">
        <v>9</v>
      </c>
      <c r="C49" s="3">
        <v>685</v>
      </c>
      <c r="D49" s="3">
        <v>285</v>
      </c>
      <c r="E49" s="3">
        <v>177452</v>
      </c>
      <c r="F49" s="4">
        <v>3.36</v>
      </c>
      <c r="G49" s="3">
        <v>21134</v>
      </c>
      <c r="H49" s="3">
        <f>Table5[[#This Row],[New_Followers]]-Table5[[#This Row],[Unfollows]]</f>
        <v>400</v>
      </c>
      <c r="I49" s="16">
        <f t="shared" si="0"/>
        <v>2.2541306944976669E-3</v>
      </c>
    </row>
    <row r="50" spans="1:9" ht="15.75" customHeight="1" x14ac:dyDescent="0.25">
      <c r="A50" s="1">
        <v>45558</v>
      </c>
      <c r="B50" s="2" t="s">
        <v>7</v>
      </c>
      <c r="C50" s="3">
        <v>1290</v>
      </c>
      <c r="D50" s="3">
        <v>177</v>
      </c>
      <c r="E50" s="3">
        <v>80745</v>
      </c>
      <c r="F50" s="4">
        <v>9.2200000000000006</v>
      </c>
      <c r="G50" s="3">
        <v>26872</v>
      </c>
      <c r="H50" s="3">
        <f>Table5[[#This Row],[New_Followers]]-Table5[[#This Row],[Unfollows]]</f>
        <v>1113</v>
      </c>
      <c r="I50" s="16">
        <f t="shared" si="0"/>
        <v>1.3784135240572171E-2</v>
      </c>
    </row>
    <row r="51" spans="1:9" ht="15.75" customHeight="1" x14ac:dyDescent="0.25">
      <c r="A51" s="1">
        <v>45558</v>
      </c>
      <c r="B51" s="2" t="s">
        <v>8</v>
      </c>
      <c r="C51" s="3">
        <v>1437</v>
      </c>
      <c r="D51" s="3">
        <v>239</v>
      </c>
      <c r="E51" s="3">
        <v>362441</v>
      </c>
      <c r="F51" s="4">
        <v>5.57</v>
      </c>
      <c r="G51" s="3">
        <v>10253</v>
      </c>
      <c r="H51" s="3">
        <f>Table5[[#This Row],[New_Followers]]-Table5[[#This Row],[Unfollows]]</f>
        <v>1198</v>
      </c>
      <c r="I51" s="16">
        <f t="shared" si="0"/>
        <v>3.305365562946797E-3</v>
      </c>
    </row>
    <row r="52" spans="1:9" ht="15.75" customHeight="1" x14ac:dyDescent="0.25">
      <c r="A52" s="1">
        <v>45558</v>
      </c>
      <c r="B52" s="2" t="s">
        <v>9</v>
      </c>
      <c r="C52" s="3">
        <v>769</v>
      </c>
      <c r="D52" s="3">
        <v>295</v>
      </c>
      <c r="E52" s="3">
        <v>344771</v>
      </c>
      <c r="F52" s="4">
        <v>8.06</v>
      </c>
      <c r="G52" s="3">
        <v>23963</v>
      </c>
      <c r="H52" s="3">
        <f>Table5[[#This Row],[New_Followers]]-Table5[[#This Row],[Unfollows]]</f>
        <v>474</v>
      </c>
      <c r="I52" s="16">
        <f t="shared" si="0"/>
        <v>1.3748256088824177E-3</v>
      </c>
    </row>
    <row r="53" spans="1:9" ht="15.75" customHeight="1" x14ac:dyDescent="0.25">
      <c r="A53" s="1">
        <v>45565</v>
      </c>
      <c r="B53" s="2" t="s">
        <v>7</v>
      </c>
      <c r="C53" s="3">
        <v>1416</v>
      </c>
      <c r="D53" s="3">
        <v>284</v>
      </c>
      <c r="E53" s="3">
        <v>374952</v>
      </c>
      <c r="F53" s="4">
        <v>3.45</v>
      </c>
      <c r="G53" s="3">
        <v>11335</v>
      </c>
      <c r="H53" s="3">
        <f>Table5[[#This Row],[New_Followers]]-Table5[[#This Row],[Unfollows]]</f>
        <v>1132</v>
      </c>
      <c r="I53" s="16">
        <f t="shared" si="0"/>
        <v>3.0190531054641659E-3</v>
      </c>
    </row>
    <row r="54" spans="1:9" ht="15.75" customHeight="1" x14ac:dyDescent="0.25">
      <c r="A54" s="1">
        <v>45565</v>
      </c>
      <c r="B54" s="2" t="s">
        <v>8</v>
      </c>
      <c r="C54" s="3">
        <v>998</v>
      </c>
      <c r="D54" s="3">
        <v>154</v>
      </c>
      <c r="E54" s="3">
        <v>179781</v>
      </c>
      <c r="F54" s="4">
        <v>9.58</v>
      </c>
      <c r="G54" s="3">
        <v>12115</v>
      </c>
      <c r="H54" s="3">
        <f>Table5[[#This Row],[New_Followers]]-Table5[[#This Row],[Unfollows]]</f>
        <v>844</v>
      </c>
      <c r="I54" s="16">
        <f t="shared" si="0"/>
        <v>4.6946006530167259E-3</v>
      </c>
    </row>
    <row r="55" spans="1:9" ht="15.75" customHeight="1" x14ac:dyDescent="0.25">
      <c r="A55" s="1">
        <v>45565</v>
      </c>
      <c r="B55" s="2" t="s">
        <v>9</v>
      </c>
      <c r="C55" s="3">
        <v>1421</v>
      </c>
      <c r="D55" s="3">
        <v>246</v>
      </c>
      <c r="E55" s="3">
        <v>358581</v>
      </c>
      <c r="F55" s="4">
        <v>8.8800000000000008</v>
      </c>
      <c r="G55" s="3">
        <v>24358</v>
      </c>
      <c r="H55" s="3">
        <f>Table5[[#This Row],[New_Followers]]-Table5[[#This Row],[Unfollows]]</f>
        <v>1175</v>
      </c>
      <c r="I55" s="16">
        <f t="shared" si="0"/>
        <v>3.2768049617799048E-3</v>
      </c>
    </row>
    <row r="56" spans="1:9" ht="15.75" customHeight="1" x14ac:dyDescent="0.25">
      <c r="A56" s="1">
        <v>45572</v>
      </c>
      <c r="B56" s="2" t="s">
        <v>7</v>
      </c>
      <c r="C56" s="3">
        <v>764</v>
      </c>
      <c r="D56" s="3">
        <v>205</v>
      </c>
      <c r="E56" s="3">
        <v>319294</v>
      </c>
      <c r="F56" s="4">
        <v>6.23</v>
      </c>
      <c r="G56" s="3">
        <v>12181</v>
      </c>
      <c r="H56" s="3">
        <f>Table5[[#This Row],[New_Followers]]-Table5[[#This Row],[Unfollows]]</f>
        <v>559</v>
      </c>
      <c r="I56" s="16">
        <f t="shared" si="0"/>
        <v>1.7507375647522346E-3</v>
      </c>
    </row>
    <row r="57" spans="1:9" ht="15.75" customHeight="1" x14ac:dyDescent="0.25">
      <c r="A57" s="1">
        <v>45572</v>
      </c>
      <c r="B57" s="2" t="s">
        <v>8</v>
      </c>
      <c r="C57" s="3">
        <v>678</v>
      </c>
      <c r="D57" s="3">
        <v>124</v>
      </c>
      <c r="E57" s="3">
        <v>192022</v>
      </c>
      <c r="F57" s="4">
        <v>8.4499999999999993</v>
      </c>
      <c r="G57" s="3">
        <v>17729</v>
      </c>
      <c r="H57" s="3">
        <f>Table5[[#This Row],[New_Followers]]-Table5[[#This Row],[Unfollows]]</f>
        <v>554</v>
      </c>
      <c r="I57" s="16">
        <f t="shared" si="0"/>
        <v>2.8850860838862216E-3</v>
      </c>
    </row>
    <row r="58" spans="1:9" ht="15.75" customHeight="1" x14ac:dyDescent="0.25">
      <c r="A58" s="1">
        <v>45572</v>
      </c>
      <c r="B58" s="2" t="s">
        <v>9</v>
      </c>
      <c r="C58" s="3">
        <v>1328</v>
      </c>
      <c r="D58" s="3">
        <v>103</v>
      </c>
      <c r="E58" s="3">
        <v>151462</v>
      </c>
      <c r="F58" s="4">
        <v>8.4</v>
      </c>
      <c r="G58" s="3">
        <v>10881</v>
      </c>
      <c r="H58" s="3">
        <f>Table5[[#This Row],[New_Followers]]-Table5[[#This Row],[Unfollows]]</f>
        <v>1225</v>
      </c>
      <c r="I58" s="16">
        <f t="shared" si="0"/>
        <v>8.0878372132944243E-3</v>
      </c>
    </row>
    <row r="59" spans="1:9" ht="15.75" customHeight="1" x14ac:dyDescent="0.25">
      <c r="A59" s="1">
        <v>45579</v>
      </c>
      <c r="B59" s="2" t="s">
        <v>7</v>
      </c>
      <c r="C59" s="3">
        <v>1161</v>
      </c>
      <c r="D59" s="3">
        <v>269</v>
      </c>
      <c r="E59" s="3">
        <v>188193</v>
      </c>
      <c r="F59" s="4">
        <v>7.34</v>
      </c>
      <c r="G59" s="3">
        <v>18576</v>
      </c>
      <c r="H59" s="3">
        <f>Table5[[#This Row],[New_Followers]]-Table5[[#This Row],[Unfollows]]</f>
        <v>892</v>
      </c>
      <c r="I59" s="16">
        <f t="shared" si="0"/>
        <v>4.7398149771776844E-3</v>
      </c>
    </row>
    <row r="60" spans="1:9" ht="15.75" customHeight="1" x14ac:dyDescent="0.25">
      <c r="A60" s="1">
        <v>45579</v>
      </c>
      <c r="B60" s="2" t="s">
        <v>8</v>
      </c>
      <c r="C60" s="3">
        <v>588</v>
      </c>
      <c r="D60" s="3">
        <v>52</v>
      </c>
      <c r="E60" s="3">
        <v>292040</v>
      </c>
      <c r="F60" s="4">
        <v>8.14</v>
      </c>
      <c r="G60" s="3">
        <v>9383</v>
      </c>
      <c r="H60" s="3">
        <f>Table5[[#This Row],[New_Followers]]-Table5[[#This Row],[Unfollows]]</f>
        <v>536</v>
      </c>
      <c r="I60" s="16">
        <f t="shared" si="0"/>
        <v>1.8353650184906177E-3</v>
      </c>
    </row>
    <row r="61" spans="1:9" ht="15.75" customHeight="1" x14ac:dyDescent="0.25">
      <c r="A61" s="1">
        <v>45579</v>
      </c>
      <c r="B61" s="2" t="s">
        <v>9</v>
      </c>
      <c r="C61" s="3">
        <v>1457</v>
      </c>
      <c r="D61" s="3">
        <v>215</v>
      </c>
      <c r="E61" s="3">
        <v>325325</v>
      </c>
      <c r="F61" s="4">
        <v>9.58</v>
      </c>
      <c r="G61" s="3">
        <v>14178</v>
      </c>
      <c r="H61" s="3">
        <f>Table5[[#This Row],[New_Followers]]-Table5[[#This Row],[Unfollows]]</f>
        <v>1242</v>
      </c>
      <c r="I61" s="16">
        <f t="shared" si="0"/>
        <v>3.8177207407976638E-3</v>
      </c>
    </row>
    <row r="62" spans="1:9" ht="15.75" customHeight="1" x14ac:dyDescent="0.25">
      <c r="A62" s="1">
        <v>45586</v>
      </c>
      <c r="B62" s="2" t="s">
        <v>7</v>
      </c>
      <c r="C62" s="3">
        <v>1190</v>
      </c>
      <c r="D62" s="3">
        <v>242</v>
      </c>
      <c r="E62" s="3">
        <v>86849</v>
      </c>
      <c r="F62" s="4">
        <v>8.06</v>
      </c>
      <c r="G62" s="3">
        <v>21254</v>
      </c>
      <c r="H62" s="3">
        <f>Table5[[#This Row],[New_Followers]]-Table5[[#This Row],[Unfollows]]</f>
        <v>948</v>
      </c>
      <c r="I62" s="16">
        <f t="shared" si="0"/>
        <v>1.0915497012055407E-2</v>
      </c>
    </row>
    <row r="63" spans="1:9" ht="15.75" customHeight="1" x14ac:dyDescent="0.25">
      <c r="A63" s="1">
        <v>45586</v>
      </c>
      <c r="B63" s="2" t="s">
        <v>8</v>
      </c>
      <c r="C63" s="3">
        <v>886</v>
      </c>
      <c r="D63" s="3">
        <v>124</v>
      </c>
      <c r="E63" s="3">
        <v>141161</v>
      </c>
      <c r="F63" s="4">
        <v>8.19</v>
      </c>
      <c r="G63" s="3">
        <v>14215</v>
      </c>
      <c r="H63" s="3">
        <f>Table5[[#This Row],[New_Followers]]-Table5[[#This Row],[Unfollows]]</f>
        <v>762</v>
      </c>
      <c r="I63" s="16">
        <f t="shared" si="0"/>
        <v>5.3980915408646862E-3</v>
      </c>
    </row>
    <row r="64" spans="1:9" ht="15.75" customHeight="1" x14ac:dyDescent="0.25">
      <c r="A64" s="1">
        <v>45586</v>
      </c>
      <c r="B64" s="2" t="s">
        <v>9</v>
      </c>
      <c r="C64" s="3">
        <v>1237</v>
      </c>
      <c r="D64" s="3">
        <v>155</v>
      </c>
      <c r="E64" s="3">
        <v>149916</v>
      </c>
      <c r="F64" s="4">
        <v>4.4800000000000004</v>
      </c>
      <c r="G64" s="3">
        <v>16921</v>
      </c>
      <c r="H64" s="3">
        <f>Table5[[#This Row],[New_Followers]]-Table5[[#This Row],[Unfollows]]</f>
        <v>1082</v>
      </c>
      <c r="I64" s="16">
        <f t="shared" si="0"/>
        <v>7.2173750633688196E-3</v>
      </c>
    </row>
    <row r="65" spans="1:9" ht="15.75" customHeight="1" x14ac:dyDescent="0.25">
      <c r="A65" s="1">
        <v>45593</v>
      </c>
      <c r="B65" s="2" t="s">
        <v>7</v>
      </c>
      <c r="C65" s="3">
        <v>1435</v>
      </c>
      <c r="D65" s="3">
        <v>261</v>
      </c>
      <c r="E65" s="3">
        <v>308533</v>
      </c>
      <c r="F65" s="4">
        <v>4.5199999999999996</v>
      </c>
      <c r="G65" s="3">
        <v>25130</v>
      </c>
      <c r="H65" s="3">
        <f>Table5[[#This Row],[New_Followers]]-Table5[[#This Row],[Unfollows]]</f>
        <v>1174</v>
      </c>
      <c r="I65" s="16">
        <f t="shared" si="0"/>
        <v>3.8051035059458792E-3</v>
      </c>
    </row>
    <row r="66" spans="1:9" ht="15.75" customHeight="1" x14ac:dyDescent="0.25">
      <c r="A66" s="1">
        <v>45593</v>
      </c>
      <c r="B66" s="2" t="s">
        <v>8</v>
      </c>
      <c r="C66" s="3">
        <v>746</v>
      </c>
      <c r="D66" s="3">
        <v>282</v>
      </c>
      <c r="E66" s="3">
        <v>293894</v>
      </c>
      <c r="F66" s="4">
        <v>5.42</v>
      </c>
      <c r="G66" s="3">
        <v>25537</v>
      </c>
      <c r="H66" s="3">
        <f>Table5[[#This Row],[New_Followers]]-Table5[[#This Row],[Unfollows]]</f>
        <v>464</v>
      </c>
      <c r="I66" s="16">
        <f t="shared" si="0"/>
        <v>1.5788005199153436E-3</v>
      </c>
    </row>
    <row r="67" spans="1:9" ht="15.75" customHeight="1" x14ac:dyDescent="0.25">
      <c r="A67" s="1">
        <v>45593</v>
      </c>
      <c r="B67" s="2" t="s">
        <v>9</v>
      </c>
      <c r="C67" s="3">
        <v>759</v>
      </c>
      <c r="D67" s="3">
        <v>216</v>
      </c>
      <c r="E67" s="3">
        <v>147656</v>
      </c>
      <c r="F67" s="4">
        <v>4.08</v>
      </c>
      <c r="G67" s="3">
        <v>24943</v>
      </c>
      <c r="H67" s="3">
        <f>Table5[[#This Row],[New_Followers]]-Table5[[#This Row],[Unfollows]]</f>
        <v>543</v>
      </c>
      <c r="I67" s="16">
        <f t="shared" ref="I67:I130" si="1">(C67-D67)/E67</f>
        <v>3.6774665438586984E-3</v>
      </c>
    </row>
    <row r="68" spans="1:9" ht="15.75" customHeight="1" x14ac:dyDescent="0.25">
      <c r="A68" s="1">
        <v>45600</v>
      </c>
      <c r="B68" s="2" t="s">
        <v>7</v>
      </c>
      <c r="C68" s="3">
        <v>1437</v>
      </c>
      <c r="D68" s="3">
        <v>235</v>
      </c>
      <c r="E68" s="3">
        <v>326791</v>
      </c>
      <c r="F68" s="4">
        <v>4.0599999999999996</v>
      </c>
      <c r="G68" s="3">
        <v>14563</v>
      </c>
      <c r="H68" s="3">
        <f>Table5[[#This Row],[New_Followers]]-Table5[[#This Row],[Unfollows]]</f>
        <v>1202</v>
      </c>
      <c r="I68" s="16">
        <f t="shared" si="1"/>
        <v>3.6781918718691762E-3</v>
      </c>
    </row>
    <row r="69" spans="1:9" ht="15.75" customHeight="1" x14ac:dyDescent="0.25">
      <c r="A69" s="1">
        <v>45600</v>
      </c>
      <c r="B69" s="2" t="s">
        <v>8</v>
      </c>
      <c r="C69" s="3">
        <v>1463</v>
      </c>
      <c r="D69" s="3">
        <v>73</v>
      </c>
      <c r="E69" s="3">
        <v>348877</v>
      </c>
      <c r="F69" s="4">
        <v>9.91</v>
      </c>
      <c r="G69" s="3">
        <v>26273</v>
      </c>
      <c r="H69" s="3">
        <f>Table5[[#This Row],[New_Followers]]-Table5[[#This Row],[Unfollows]]</f>
        <v>1390</v>
      </c>
      <c r="I69" s="16">
        <f t="shared" si="1"/>
        <v>3.9842122008616216E-3</v>
      </c>
    </row>
    <row r="70" spans="1:9" ht="15.75" customHeight="1" x14ac:dyDescent="0.25">
      <c r="A70" s="1">
        <v>45600</v>
      </c>
      <c r="B70" s="2" t="s">
        <v>9</v>
      </c>
      <c r="C70" s="3">
        <v>1208</v>
      </c>
      <c r="D70" s="3">
        <v>224</v>
      </c>
      <c r="E70" s="3">
        <v>122730</v>
      </c>
      <c r="F70" s="4">
        <v>8.7200000000000006</v>
      </c>
      <c r="G70" s="3">
        <v>10858</v>
      </c>
      <c r="H70" s="3">
        <f>Table5[[#This Row],[New_Followers]]-Table5[[#This Row],[Unfollows]]</f>
        <v>984</v>
      </c>
      <c r="I70" s="16">
        <f t="shared" si="1"/>
        <v>8.0175996088975802E-3</v>
      </c>
    </row>
    <row r="71" spans="1:9" ht="15.75" customHeight="1" x14ac:dyDescent="0.25">
      <c r="A71" s="1">
        <v>45607</v>
      </c>
      <c r="B71" s="2" t="s">
        <v>7</v>
      </c>
      <c r="C71" s="3">
        <v>1391</v>
      </c>
      <c r="D71" s="3">
        <v>187</v>
      </c>
      <c r="E71" s="3">
        <v>306508</v>
      </c>
      <c r="F71" s="4">
        <v>8.3800000000000008</v>
      </c>
      <c r="G71" s="3">
        <v>25038</v>
      </c>
      <c r="H71" s="3">
        <f>Table5[[#This Row],[New_Followers]]-Table5[[#This Row],[Unfollows]]</f>
        <v>1204</v>
      </c>
      <c r="I71" s="16">
        <f t="shared" si="1"/>
        <v>3.9281193313061976E-3</v>
      </c>
    </row>
    <row r="72" spans="1:9" ht="15.75" customHeight="1" x14ac:dyDescent="0.25">
      <c r="A72" s="1">
        <v>45607</v>
      </c>
      <c r="B72" s="2" t="s">
        <v>8</v>
      </c>
      <c r="C72" s="3">
        <v>655</v>
      </c>
      <c r="D72" s="3">
        <v>123</v>
      </c>
      <c r="E72" s="3">
        <v>202472</v>
      </c>
      <c r="F72" s="4">
        <v>7.56</v>
      </c>
      <c r="G72" s="3">
        <v>9092</v>
      </c>
      <c r="H72" s="3">
        <f>Table5[[#This Row],[New_Followers]]-Table5[[#This Row],[Unfollows]]</f>
        <v>532</v>
      </c>
      <c r="I72" s="16">
        <f t="shared" si="1"/>
        <v>2.6275238057607967E-3</v>
      </c>
    </row>
    <row r="73" spans="1:9" ht="15.75" customHeight="1" x14ac:dyDescent="0.25">
      <c r="A73" s="1">
        <v>45607</v>
      </c>
      <c r="B73" s="2" t="s">
        <v>9</v>
      </c>
      <c r="C73" s="3">
        <v>1148</v>
      </c>
      <c r="D73" s="3">
        <v>90</v>
      </c>
      <c r="E73" s="3">
        <v>227249</v>
      </c>
      <c r="F73" s="4">
        <v>7.24</v>
      </c>
      <c r="G73" s="3">
        <v>17662</v>
      </c>
      <c r="H73" s="3">
        <f>Table5[[#This Row],[New_Followers]]-Table5[[#This Row],[Unfollows]]</f>
        <v>1058</v>
      </c>
      <c r="I73" s="16">
        <f t="shared" si="1"/>
        <v>4.6556860536239985E-3</v>
      </c>
    </row>
    <row r="74" spans="1:9" ht="15.75" customHeight="1" x14ac:dyDescent="0.25">
      <c r="A74" s="1">
        <v>45614</v>
      </c>
      <c r="B74" s="2" t="s">
        <v>7</v>
      </c>
      <c r="C74" s="3">
        <v>946</v>
      </c>
      <c r="D74" s="3">
        <v>270</v>
      </c>
      <c r="E74" s="3">
        <v>246567</v>
      </c>
      <c r="F74" s="4">
        <v>4.53</v>
      </c>
      <c r="G74" s="3">
        <v>5924</v>
      </c>
      <c r="H74" s="3">
        <f>Table5[[#This Row],[New_Followers]]-Table5[[#This Row],[Unfollows]]</f>
        <v>676</v>
      </c>
      <c r="I74" s="16">
        <f t="shared" si="1"/>
        <v>2.741648314656868E-3</v>
      </c>
    </row>
    <row r="75" spans="1:9" ht="15.75" customHeight="1" x14ac:dyDescent="0.25">
      <c r="A75" s="1">
        <v>45614</v>
      </c>
      <c r="B75" s="2" t="s">
        <v>8</v>
      </c>
      <c r="C75" s="3">
        <v>791</v>
      </c>
      <c r="D75" s="3">
        <v>214</v>
      </c>
      <c r="E75" s="3">
        <v>114738</v>
      </c>
      <c r="F75" s="4">
        <v>6.62</v>
      </c>
      <c r="G75" s="3">
        <v>25347</v>
      </c>
      <c r="H75" s="3">
        <f>Table5[[#This Row],[New_Followers]]-Table5[[#This Row],[Unfollows]]</f>
        <v>577</v>
      </c>
      <c r="I75" s="16">
        <f t="shared" si="1"/>
        <v>5.0288483327232481E-3</v>
      </c>
    </row>
    <row r="76" spans="1:9" ht="15.75" customHeight="1" x14ac:dyDescent="0.25">
      <c r="A76" s="1">
        <v>45614</v>
      </c>
      <c r="B76" s="2" t="s">
        <v>9</v>
      </c>
      <c r="C76" s="3">
        <v>793</v>
      </c>
      <c r="D76" s="3">
        <v>111</v>
      </c>
      <c r="E76" s="3">
        <v>333500</v>
      </c>
      <c r="F76" s="4">
        <v>6.36</v>
      </c>
      <c r="G76" s="3">
        <v>8910</v>
      </c>
      <c r="H76" s="3">
        <f>Table5[[#This Row],[New_Followers]]-Table5[[#This Row],[Unfollows]]</f>
        <v>682</v>
      </c>
      <c r="I76" s="16">
        <f t="shared" si="1"/>
        <v>2.0449775112443779E-3</v>
      </c>
    </row>
    <row r="77" spans="1:9" ht="15.75" customHeight="1" x14ac:dyDescent="0.25">
      <c r="A77" s="1">
        <v>45621</v>
      </c>
      <c r="B77" s="2" t="s">
        <v>7</v>
      </c>
      <c r="C77" s="3">
        <v>663</v>
      </c>
      <c r="D77" s="3">
        <v>213</v>
      </c>
      <c r="E77" s="3">
        <v>352677</v>
      </c>
      <c r="F77" s="4">
        <v>9</v>
      </c>
      <c r="G77" s="3">
        <v>20438</v>
      </c>
      <c r="H77" s="3">
        <f>Table5[[#This Row],[New_Followers]]-Table5[[#This Row],[Unfollows]]</f>
        <v>450</v>
      </c>
      <c r="I77" s="16">
        <f t="shared" si="1"/>
        <v>1.2759550523566889E-3</v>
      </c>
    </row>
    <row r="78" spans="1:9" ht="15.75" customHeight="1" x14ac:dyDescent="0.25">
      <c r="A78" s="1">
        <v>45621</v>
      </c>
      <c r="B78" s="2" t="s">
        <v>8</v>
      </c>
      <c r="C78" s="3">
        <v>954</v>
      </c>
      <c r="D78" s="3">
        <v>271</v>
      </c>
      <c r="E78" s="3">
        <v>160936</v>
      </c>
      <c r="F78" s="4">
        <v>8.83</v>
      </c>
      <c r="G78" s="3">
        <v>8760</v>
      </c>
      <c r="H78" s="3">
        <f>Table5[[#This Row],[New_Followers]]-Table5[[#This Row],[Unfollows]]</f>
        <v>683</v>
      </c>
      <c r="I78" s="16">
        <f t="shared" si="1"/>
        <v>4.2439230501565839E-3</v>
      </c>
    </row>
    <row r="79" spans="1:9" ht="15.75" customHeight="1" x14ac:dyDescent="0.25">
      <c r="A79" s="1">
        <v>45621</v>
      </c>
      <c r="B79" s="2" t="s">
        <v>9</v>
      </c>
      <c r="C79" s="3">
        <v>1313</v>
      </c>
      <c r="D79" s="3">
        <v>159</v>
      </c>
      <c r="E79" s="3">
        <v>197183</v>
      </c>
      <c r="F79" s="4">
        <v>9.7100000000000009</v>
      </c>
      <c r="G79" s="3">
        <v>6625</v>
      </c>
      <c r="H79" s="3">
        <f>Table5[[#This Row],[New_Followers]]-Table5[[#This Row],[Unfollows]]</f>
        <v>1154</v>
      </c>
      <c r="I79" s="16">
        <f t="shared" si="1"/>
        <v>5.8524314976443207E-3</v>
      </c>
    </row>
    <row r="80" spans="1:9" ht="15.75" customHeight="1" x14ac:dyDescent="0.25">
      <c r="A80" s="1">
        <v>45628</v>
      </c>
      <c r="B80" s="2" t="s">
        <v>7</v>
      </c>
      <c r="C80" s="3">
        <v>895</v>
      </c>
      <c r="D80" s="3">
        <v>87</v>
      </c>
      <c r="E80" s="3">
        <v>171271</v>
      </c>
      <c r="F80" s="4">
        <v>6.68</v>
      </c>
      <c r="G80" s="3">
        <v>23329</v>
      </c>
      <c r="H80" s="3">
        <f>Table5[[#This Row],[New_Followers]]-Table5[[#This Row],[Unfollows]]</f>
        <v>808</v>
      </c>
      <c r="I80" s="16">
        <f t="shared" si="1"/>
        <v>4.7176696580273365E-3</v>
      </c>
    </row>
    <row r="81" spans="1:9" ht="15.75" customHeight="1" x14ac:dyDescent="0.25">
      <c r="A81" s="1">
        <v>45628</v>
      </c>
      <c r="B81" s="2" t="s">
        <v>8</v>
      </c>
      <c r="C81" s="3">
        <v>1027</v>
      </c>
      <c r="D81" s="3">
        <v>156</v>
      </c>
      <c r="E81" s="3">
        <v>111293</v>
      </c>
      <c r="F81" s="4">
        <v>5.51</v>
      </c>
      <c r="G81" s="3">
        <v>7299</v>
      </c>
      <c r="H81" s="3">
        <f>Table5[[#This Row],[New_Followers]]-Table5[[#This Row],[Unfollows]]</f>
        <v>871</v>
      </c>
      <c r="I81" s="16">
        <f t="shared" si="1"/>
        <v>7.8261885293774095E-3</v>
      </c>
    </row>
    <row r="82" spans="1:9" ht="15.75" customHeight="1" x14ac:dyDescent="0.25">
      <c r="A82" s="1">
        <v>45628</v>
      </c>
      <c r="B82" s="2" t="s">
        <v>9</v>
      </c>
      <c r="C82" s="3">
        <v>990</v>
      </c>
      <c r="D82" s="3">
        <v>286</v>
      </c>
      <c r="E82" s="3">
        <v>351493</v>
      </c>
      <c r="F82" s="4">
        <v>7.97</v>
      </c>
      <c r="G82" s="3">
        <v>14496</v>
      </c>
      <c r="H82" s="3">
        <f>Table5[[#This Row],[New_Followers]]-Table5[[#This Row],[Unfollows]]</f>
        <v>704</v>
      </c>
      <c r="I82" s="16">
        <f t="shared" si="1"/>
        <v>2.0028848369668811E-3</v>
      </c>
    </row>
    <row r="83" spans="1:9" ht="15.75" customHeight="1" x14ac:dyDescent="0.25">
      <c r="A83" s="1">
        <v>45635</v>
      </c>
      <c r="B83" s="2" t="s">
        <v>7</v>
      </c>
      <c r="C83" s="3">
        <v>875</v>
      </c>
      <c r="D83" s="3">
        <v>264</v>
      </c>
      <c r="E83" s="3">
        <v>345631</v>
      </c>
      <c r="F83" s="4">
        <v>9.18</v>
      </c>
      <c r="G83" s="3">
        <v>25703</v>
      </c>
      <c r="H83" s="3">
        <f>Table5[[#This Row],[New_Followers]]-Table5[[#This Row],[Unfollows]]</f>
        <v>611</v>
      </c>
      <c r="I83" s="16">
        <f t="shared" si="1"/>
        <v>1.7677812464738406E-3</v>
      </c>
    </row>
    <row r="84" spans="1:9" ht="15.75" customHeight="1" x14ac:dyDescent="0.25">
      <c r="A84" s="1">
        <v>45635</v>
      </c>
      <c r="B84" s="2" t="s">
        <v>8</v>
      </c>
      <c r="C84" s="3">
        <v>599</v>
      </c>
      <c r="D84" s="3">
        <v>194</v>
      </c>
      <c r="E84" s="3">
        <v>105622</v>
      </c>
      <c r="F84" s="4">
        <v>6.44</v>
      </c>
      <c r="G84" s="3">
        <v>15108</v>
      </c>
      <c r="H84" s="3">
        <f>Table5[[#This Row],[New_Followers]]-Table5[[#This Row],[Unfollows]]</f>
        <v>405</v>
      </c>
      <c r="I84" s="16">
        <f t="shared" si="1"/>
        <v>3.8344284334702996E-3</v>
      </c>
    </row>
    <row r="85" spans="1:9" ht="15.75" customHeight="1" x14ac:dyDescent="0.25">
      <c r="A85" s="1">
        <v>45635</v>
      </c>
      <c r="B85" s="2" t="s">
        <v>9</v>
      </c>
      <c r="C85" s="3">
        <v>630</v>
      </c>
      <c r="D85" s="3">
        <v>248</v>
      </c>
      <c r="E85" s="3">
        <v>119054</v>
      </c>
      <c r="F85" s="4">
        <v>5.0199999999999996</v>
      </c>
      <c r="G85" s="3">
        <v>18867</v>
      </c>
      <c r="H85" s="3">
        <f>Table5[[#This Row],[New_Followers]]-Table5[[#This Row],[Unfollows]]</f>
        <v>382</v>
      </c>
      <c r="I85" s="16">
        <f t="shared" si="1"/>
        <v>3.2086280175382597E-3</v>
      </c>
    </row>
    <row r="86" spans="1:9" ht="15.75" customHeight="1" x14ac:dyDescent="0.25">
      <c r="A86" s="1">
        <v>45642</v>
      </c>
      <c r="B86" s="2" t="s">
        <v>7</v>
      </c>
      <c r="C86" s="3">
        <v>1350</v>
      </c>
      <c r="D86" s="3">
        <v>233</v>
      </c>
      <c r="E86" s="3">
        <v>171670</v>
      </c>
      <c r="F86" s="4">
        <v>4.53</v>
      </c>
      <c r="G86" s="3">
        <v>17574</v>
      </c>
      <c r="H86" s="3">
        <f>Table5[[#This Row],[New_Followers]]-Table5[[#This Row],[Unfollows]]</f>
        <v>1117</v>
      </c>
      <c r="I86" s="16">
        <f t="shared" si="1"/>
        <v>6.506669773402458E-3</v>
      </c>
    </row>
    <row r="87" spans="1:9" ht="15.75" customHeight="1" x14ac:dyDescent="0.25">
      <c r="A87" s="1">
        <v>45642</v>
      </c>
      <c r="B87" s="2" t="s">
        <v>8</v>
      </c>
      <c r="C87" s="3">
        <v>632</v>
      </c>
      <c r="D87" s="3">
        <v>155</v>
      </c>
      <c r="E87" s="3">
        <v>170432</v>
      </c>
      <c r="F87" s="4">
        <v>9.17</v>
      </c>
      <c r="G87" s="3">
        <v>12840</v>
      </c>
      <c r="H87" s="3">
        <f>Table5[[#This Row],[New_Followers]]-Table5[[#This Row],[Unfollows]]</f>
        <v>477</v>
      </c>
      <c r="I87" s="16">
        <f t="shared" si="1"/>
        <v>2.7987701840030041E-3</v>
      </c>
    </row>
    <row r="88" spans="1:9" ht="15.75" customHeight="1" x14ac:dyDescent="0.25">
      <c r="A88" s="1">
        <v>45642</v>
      </c>
      <c r="B88" s="2" t="s">
        <v>9</v>
      </c>
      <c r="C88" s="3">
        <v>1182</v>
      </c>
      <c r="D88" s="3">
        <v>83</v>
      </c>
      <c r="E88" s="3">
        <v>140300</v>
      </c>
      <c r="F88" s="4">
        <v>3.27</v>
      </c>
      <c r="G88" s="3">
        <v>21079</v>
      </c>
      <c r="H88" s="3">
        <f>Table5[[#This Row],[New_Followers]]-Table5[[#This Row],[Unfollows]]</f>
        <v>1099</v>
      </c>
      <c r="I88" s="16">
        <f t="shared" si="1"/>
        <v>7.8332145402708487E-3</v>
      </c>
    </row>
    <row r="89" spans="1:9" ht="15.75" customHeight="1" x14ac:dyDescent="0.25">
      <c r="A89" s="1">
        <v>45649</v>
      </c>
      <c r="B89" s="2" t="s">
        <v>7</v>
      </c>
      <c r="C89" s="3">
        <v>661</v>
      </c>
      <c r="D89" s="3">
        <v>94</v>
      </c>
      <c r="E89" s="3">
        <v>116538</v>
      </c>
      <c r="F89" s="4">
        <v>5.31</v>
      </c>
      <c r="G89" s="3">
        <v>23486</v>
      </c>
      <c r="H89" s="3">
        <f>Table5[[#This Row],[New_Followers]]-Table5[[#This Row],[Unfollows]]</f>
        <v>567</v>
      </c>
      <c r="I89" s="16">
        <f t="shared" si="1"/>
        <v>4.8653658034289241E-3</v>
      </c>
    </row>
    <row r="90" spans="1:9" ht="15.75" customHeight="1" x14ac:dyDescent="0.25">
      <c r="A90" s="1">
        <v>45649</v>
      </c>
      <c r="B90" s="2" t="s">
        <v>8</v>
      </c>
      <c r="C90" s="3">
        <v>1360</v>
      </c>
      <c r="D90" s="3">
        <v>227</v>
      </c>
      <c r="E90" s="3">
        <v>176902</v>
      </c>
      <c r="F90" s="4">
        <v>6.03</v>
      </c>
      <c r="G90" s="3">
        <v>5960</v>
      </c>
      <c r="H90" s="3">
        <f>Table5[[#This Row],[New_Followers]]-Table5[[#This Row],[Unfollows]]</f>
        <v>1133</v>
      </c>
      <c r="I90" s="16">
        <f t="shared" si="1"/>
        <v>6.4046760353189906E-3</v>
      </c>
    </row>
    <row r="91" spans="1:9" ht="15.75" customHeight="1" x14ac:dyDescent="0.25">
      <c r="A91" s="1">
        <v>45649</v>
      </c>
      <c r="B91" s="2" t="s">
        <v>9</v>
      </c>
      <c r="C91" s="3">
        <v>935</v>
      </c>
      <c r="D91" s="3">
        <v>85</v>
      </c>
      <c r="E91" s="3">
        <v>326821</v>
      </c>
      <c r="F91" s="4">
        <v>8.89</v>
      </c>
      <c r="G91" s="3">
        <v>13301</v>
      </c>
      <c r="H91" s="3">
        <f>Table5[[#This Row],[New_Followers]]-Table5[[#This Row],[Unfollows]]</f>
        <v>850</v>
      </c>
      <c r="I91" s="16">
        <f t="shared" si="1"/>
        <v>2.60081206532016E-3</v>
      </c>
    </row>
    <row r="92" spans="1:9" ht="15.75" customHeight="1" x14ac:dyDescent="0.25">
      <c r="A92" s="1">
        <v>45656</v>
      </c>
      <c r="B92" s="2" t="s">
        <v>7</v>
      </c>
      <c r="C92" s="3">
        <v>664</v>
      </c>
      <c r="D92" s="3">
        <v>251</v>
      </c>
      <c r="E92" s="3">
        <v>240598</v>
      </c>
      <c r="F92" s="4">
        <v>4.79</v>
      </c>
      <c r="G92" s="3">
        <v>10563</v>
      </c>
      <c r="H92" s="3">
        <f>Table5[[#This Row],[New_Followers]]-Table5[[#This Row],[Unfollows]]</f>
        <v>413</v>
      </c>
      <c r="I92" s="16">
        <f t="shared" si="1"/>
        <v>1.7165562473503519E-3</v>
      </c>
    </row>
    <row r="93" spans="1:9" ht="15.75" customHeight="1" x14ac:dyDescent="0.25">
      <c r="A93" s="1">
        <v>45656</v>
      </c>
      <c r="B93" s="2" t="s">
        <v>8</v>
      </c>
      <c r="C93" s="3">
        <v>1490</v>
      </c>
      <c r="D93" s="3">
        <v>103</v>
      </c>
      <c r="E93" s="3">
        <v>373274</v>
      </c>
      <c r="F93" s="4">
        <v>4.8</v>
      </c>
      <c r="G93" s="3">
        <v>19949</v>
      </c>
      <c r="H93" s="3">
        <f>Table5[[#This Row],[New_Followers]]-Table5[[#This Row],[Unfollows]]</f>
        <v>1387</v>
      </c>
      <c r="I93" s="16">
        <f t="shared" si="1"/>
        <v>3.7157691133055076E-3</v>
      </c>
    </row>
    <row r="94" spans="1:9" ht="15.75" customHeight="1" x14ac:dyDescent="0.25">
      <c r="A94" s="1">
        <v>45656</v>
      </c>
      <c r="B94" s="2" t="s">
        <v>9</v>
      </c>
      <c r="C94" s="3">
        <v>601</v>
      </c>
      <c r="D94" s="3">
        <v>64</v>
      </c>
      <c r="E94" s="3">
        <v>123272</v>
      </c>
      <c r="F94" s="4">
        <v>4.07</v>
      </c>
      <c r="G94" s="3">
        <v>14273</v>
      </c>
      <c r="H94" s="3">
        <f>Table5[[#This Row],[New_Followers]]-Table5[[#This Row],[Unfollows]]</f>
        <v>537</v>
      </c>
      <c r="I94" s="16">
        <f t="shared" si="1"/>
        <v>4.3562203906807708E-3</v>
      </c>
    </row>
    <row r="95" spans="1:9" ht="15.75" customHeight="1" x14ac:dyDescent="0.25">
      <c r="A95" s="1">
        <v>45663</v>
      </c>
      <c r="B95" s="2" t="s">
        <v>7</v>
      </c>
      <c r="C95" s="3">
        <v>613</v>
      </c>
      <c r="D95" s="3">
        <v>170</v>
      </c>
      <c r="E95" s="3">
        <v>139266</v>
      </c>
      <c r="F95" s="4">
        <v>6.06</v>
      </c>
      <c r="G95" s="3">
        <v>9247</v>
      </c>
      <c r="H95" s="3">
        <f>Table5[[#This Row],[New_Followers]]-Table5[[#This Row],[Unfollows]]</f>
        <v>443</v>
      </c>
      <c r="I95" s="16">
        <f t="shared" si="1"/>
        <v>3.1809630491290049E-3</v>
      </c>
    </row>
    <row r="96" spans="1:9" ht="15.75" customHeight="1" x14ac:dyDescent="0.25">
      <c r="A96" s="1">
        <v>45663</v>
      </c>
      <c r="B96" s="2" t="s">
        <v>8</v>
      </c>
      <c r="C96" s="3">
        <v>1340</v>
      </c>
      <c r="D96" s="3">
        <v>57</v>
      </c>
      <c r="E96" s="3">
        <v>155927</v>
      </c>
      <c r="F96" s="4">
        <v>7.79</v>
      </c>
      <c r="G96" s="3">
        <v>11972</v>
      </c>
      <c r="H96" s="3">
        <f>Table5[[#This Row],[New_Followers]]-Table5[[#This Row],[Unfollows]]</f>
        <v>1283</v>
      </c>
      <c r="I96" s="16">
        <f t="shared" si="1"/>
        <v>8.2282093543773697E-3</v>
      </c>
    </row>
    <row r="97" spans="1:9" ht="15.75" customHeight="1" x14ac:dyDescent="0.25">
      <c r="A97" s="1">
        <v>45663</v>
      </c>
      <c r="B97" s="2" t="s">
        <v>9</v>
      </c>
      <c r="C97" s="3">
        <v>953</v>
      </c>
      <c r="D97" s="3">
        <v>228</v>
      </c>
      <c r="E97" s="3">
        <v>258398</v>
      </c>
      <c r="F97" s="4">
        <v>9.0500000000000007</v>
      </c>
      <c r="G97" s="3">
        <v>13314</v>
      </c>
      <c r="H97" s="3">
        <f>Table5[[#This Row],[New_Followers]]-Table5[[#This Row],[Unfollows]]</f>
        <v>725</v>
      </c>
      <c r="I97" s="16">
        <f t="shared" si="1"/>
        <v>2.8057492705051896E-3</v>
      </c>
    </row>
    <row r="98" spans="1:9" ht="15.75" customHeight="1" x14ac:dyDescent="0.25">
      <c r="A98" s="1">
        <v>45670</v>
      </c>
      <c r="B98" s="2" t="s">
        <v>7</v>
      </c>
      <c r="C98" s="3">
        <v>532</v>
      </c>
      <c r="D98" s="3">
        <v>65</v>
      </c>
      <c r="E98" s="3">
        <v>338561</v>
      </c>
      <c r="F98" s="4">
        <v>3.5</v>
      </c>
      <c r="G98" s="3">
        <v>14749</v>
      </c>
      <c r="H98" s="3">
        <f>Table5[[#This Row],[New_Followers]]-Table5[[#This Row],[Unfollows]]</f>
        <v>467</v>
      </c>
      <c r="I98" s="16">
        <f t="shared" si="1"/>
        <v>1.3793673813581599E-3</v>
      </c>
    </row>
    <row r="99" spans="1:9" ht="15.75" customHeight="1" x14ac:dyDescent="0.25">
      <c r="A99" s="1">
        <v>45670</v>
      </c>
      <c r="B99" s="2" t="s">
        <v>8</v>
      </c>
      <c r="C99" s="3">
        <v>1414</v>
      </c>
      <c r="D99" s="3">
        <v>60</v>
      </c>
      <c r="E99" s="3">
        <v>341856</v>
      </c>
      <c r="F99" s="4">
        <v>8.76</v>
      </c>
      <c r="G99" s="3">
        <v>6868</v>
      </c>
      <c r="H99" s="3">
        <f>Table5[[#This Row],[New_Followers]]-Table5[[#This Row],[Unfollows]]</f>
        <v>1354</v>
      </c>
      <c r="I99" s="16">
        <f t="shared" si="1"/>
        <v>3.960732004118693E-3</v>
      </c>
    </row>
    <row r="100" spans="1:9" ht="15.75" customHeight="1" x14ac:dyDescent="0.25">
      <c r="A100" s="1">
        <v>45670</v>
      </c>
      <c r="B100" s="2" t="s">
        <v>9</v>
      </c>
      <c r="C100" s="3">
        <v>685</v>
      </c>
      <c r="D100" s="3">
        <v>165</v>
      </c>
      <c r="E100" s="3">
        <v>175860</v>
      </c>
      <c r="F100" s="4">
        <v>6.26</v>
      </c>
      <c r="G100" s="3">
        <v>6027</v>
      </c>
      <c r="H100" s="3">
        <f>Table5[[#This Row],[New_Followers]]-Table5[[#This Row],[Unfollows]]</f>
        <v>520</v>
      </c>
      <c r="I100" s="16">
        <f t="shared" si="1"/>
        <v>2.9568975321278288E-3</v>
      </c>
    </row>
    <row r="101" spans="1:9" ht="15.75" customHeight="1" x14ac:dyDescent="0.25">
      <c r="A101" s="1">
        <v>45677</v>
      </c>
      <c r="B101" s="2" t="s">
        <v>7</v>
      </c>
      <c r="C101" s="3">
        <v>601</v>
      </c>
      <c r="D101" s="3">
        <v>159</v>
      </c>
      <c r="E101" s="3">
        <v>327722</v>
      </c>
      <c r="F101" s="4">
        <v>3.33</v>
      </c>
      <c r="G101" s="3">
        <v>25267</v>
      </c>
      <c r="H101" s="3">
        <f>Table5[[#This Row],[New_Followers]]-Table5[[#This Row],[Unfollows]]</f>
        <v>442</v>
      </c>
      <c r="I101" s="16">
        <f t="shared" si="1"/>
        <v>1.3487040845594743E-3</v>
      </c>
    </row>
    <row r="102" spans="1:9" ht="15.75" customHeight="1" x14ac:dyDescent="0.25">
      <c r="A102" s="1">
        <v>45677</v>
      </c>
      <c r="B102" s="2" t="s">
        <v>8</v>
      </c>
      <c r="C102" s="3">
        <v>841</v>
      </c>
      <c r="D102" s="3">
        <v>295</v>
      </c>
      <c r="E102" s="3">
        <v>271638</v>
      </c>
      <c r="F102" s="4">
        <v>9.15</v>
      </c>
      <c r="G102" s="3">
        <v>5900</v>
      </c>
      <c r="H102" s="3">
        <f>Table5[[#This Row],[New_Followers]]-Table5[[#This Row],[Unfollows]]</f>
        <v>546</v>
      </c>
      <c r="I102" s="16">
        <f t="shared" si="1"/>
        <v>2.0100280520398473E-3</v>
      </c>
    </row>
    <row r="103" spans="1:9" ht="15.75" customHeight="1" x14ac:dyDescent="0.25">
      <c r="A103" s="1">
        <v>45677</v>
      </c>
      <c r="B103" s="2" t="s">
        <v>9</v>
      </c>
      <c r="C103" s="3">
        <v>1105</v>
      </c>
      <c r="D103" s="3">
        <v>261</v>
      </c>
      <c r="E103" s="3">
        <v>333851</v>
      </c>
      <c r="F103" s="4">
        <v>6.03</v>
      </c>
      <c r="G103" s="3">
        <v>11181</v>
      </c>
      <c r="H103" s="3">
        <f>Table5[[#This Row],[New_Followers]]-Table5[[#This Row],[Unfollows]]</f>
        <v>844</v>
      </c>
      <c r="I103" s="16">
        <f t="shared" si="1"/>
        <v>2.5280739012313877E-3</v>
      </c>
    </row>
    <row r="104" spans="1:9" ht="15.75" customHeight="1" x14ac:dyDescent="0.25">
      <c r="A104" s="1">
        <v>45684</v>
      </c>
      <c r="B104" s="2" t="s">
        <v>7</v>
      </c>
      <c r="C104" s="3">
        <v>566</v>
      </c>
      <c r="D104" s="3">
        <v>225</v>
      </c>
      <c r="E104" s="3">
        <v>368984</v>
      </c>
      <c r="F104" s="4">
        <v>9.82</v>
      </c>
      <c r="G104" s="3">
        <v>9592</v>
      </c>
      <c r="H104" s="3">
        <f>Table5[[#This Row],[New_Followers]]-Table5[[#This Row],[Unfollows]]</f>
        <v>341</v>
      </c>
      <c r="I104" s="16">
        <f t="shared" si="1"/>
        <v>9.2415931314094918E-4</v>
      </c>
    </row>
    <row r="105" spans="1:9" ht="15.75" customHeight="1" x14ac:dyDescent="0.25">
      <c r="A105" s="1">
        <v>45684</v>
      </c>
      <c r="B105" s="2" t="s">
        <v>8</v>
      </c>
      <c r="C105" s="3">
        <v>1149</v>
      </c>
      <c r="D105" s="3">
        <v>280</v>
      </c>
      <c r="E105" s="3">
        <v>167310</v>
      </c>
      <c r="F105" s="4">
        <v>3.7</v>
      </c>
      <c r="G105" s="3">
        <v>5291</v>
      </c>
      <c r="H105" s="3">
        <f>Table5[[#This Row],[New_Followers]]-Table5[[#This Row],[Unfollows]]</f>
        <v>869</v>
      </c>
      <c r="I105" s="16">
        <f t="shared" si="1"/>
        <v>5.1939513477975013E-3</v>
      </c>
    </row>
    <row r="106" spans="1:9" ht="15.75" customHeight="1" x14ac:dyDescent="0.25">
      <c r="A106" s="1">
        <v>45684</v>
      </c>
      <c r="B106" s="2" t="s">
        <v>9</v>
      </c>
      <c r="C106" s="3">
        <v>819</v>
      </c>
      <c r="D106" s="3">
        <v>101</v>
      </c>
      <c r="E106" s="3">
        <v>194811</v>
      </c>
      <c r="F106" s="4">
        <v>3.35</v>
      </c>
      <c r="G106" s="3">
        <v>22244</v>
      </c>
      <c r="H106" s="3">
        <f>Table5[[#This Row],[New_Followers]]-Table5[[#This Row],[Unfollows]]</f>
        <v>718</v>
      </c>
      <c r="I106" s="16">
        <f t="shared" si="1"/>
        <v>3.685623501752981E-3</v>
      </c>
    </row>
    <row r="107" spans="1:9" ht="15.75" customHeight="1" x14ac:dyDescent="0.25">
      <c r="A107" s="1">
        <v>45691</v>
      </c>
      <c r="B107" s="2" t="s">
        <v>7</v>
      </c>
      <c r="C107" s="3">
        <v>795</v>
      </c>
      <c r="D107" s="3">
        <v>60</v>
      </c>
      <c r="E107" s="3">
        <v>314982</v>
      </c>
      <c r="F107" s="4">
        <v>7.31</v>
      </c>
      <c r="G107" s="3">
        <v>6824</v>
      </c>
      <c r="H107" s="3">
        <f>Table5[[#This Row],[New_Followers]]-Table5[[#This Row],[Unfollows]]</f>
        <v>735</v>
      </c>
      <c r="I107" s="16">
        <f t="shared" si="1"/>
        <v>2.3334666742861497E-3</v>
      </c>
    </row>
    <row r="108" spans="1:9" ht="15.75" customHeight="1" x14ac:dyDescent="0.25">
      <c r="A108" s="1">
        <v>45691</v>
      </c>
      <c r="B108" s="2" t="s">
        <v>8</v>
      </c>
      <c r="C108" s="3">
        <v>681</v>
      </c>
      <c r="D108" s="3">
        <v>158</v>
      </c>
      <c r="E108" s="3">
        <v>75960</v>
      </c>
      <c r="F108" s="4">
        <v>3.13</v>
      </c>
      <c r="G108" s="3">
        <v>24112</v>
      </c>
      <c r="H108" s="3">
        <f>Table5[[#This Row],[New_Followers]]-Table5[[#This Row],[Unfollows]]</f>
        <v>523</v>
      </c>
      <c r="I108" s="16">
        <f t="shared" si="1"/>
        <v>6.8852027382833069E-3</v>
      </c>
    </row>
    <row r="109" spans="1:9" ht="15.75" customHeight="1" x14ac:dyDescent="0.25">
      <c r="A109" s="1">
        <v>45691</v>
      </c>
      <c r="B109" s="2" t="s">
        <v>9</v>
      </c>
      <c r="C109" s="3">
        <v>534</v>
      </c>
      <c r="D109" s="3">
        <v>112</v>
      </c>
      <c r="E109" s="3">
        <v>360759</v>
      </c>
      <c r="F109" s="4">
        <v>4.8899999999999997</v>
      </c>
      <c r="G109" s="3">
        <v>25478</v>
      </c>
      <c r="H109" s="3">
        <f>Table5[[#This Row],[New_Followers]]-Table5[[#This Row],[Unfollows]]</f>
        <v>422</v>
      </c>
      <c r="I109" s="16">
        <f t="shared" si="1"/>
        <v>1.1697559866836308E-3</v>
      </c>
    </row>
    <row r="110" spans="1:9" ht="15.75" customHeight="1" x14ac:dyDescent="0.25">
      <c r="A110" s="1">
        <v>45698</v>
      </c>
      <c r="B110" s="2" t="s">
        <v>7</v>
      </c>
      <c r="C110" s="3">
        <v>1066</v>
      </c>
      <c r="D110" s="3">
        <v>151</v>
      </c>
      <c r="E110" s="3">
        <v>297090</v>
      </c>
      <c r="F110" s="4">
        <v>8.6300000000000008</v>
      </c>
      <c r="G110" s="3">
        <v>11235</v>
      </c>
      <c r="H110" s="3">
        <f>Table5[[#This Row],[New_Followers]]-Table5[[#This Row],[Unfollows]]</f>
        <v>915</v>
      </c>
      <c r="I110" s="16">
        <f t="shared" si="1"/>
        <v>3.0798747854185599E-3</v>
      </c>
    </row>
    <row r="111" spans="1:9" ht="15.75" customHeight="1" x14ac:dyDescent="0.25">
      <c r="A111" s="1">
        <v>45698</v>
      </c>
      <c r="B111" s="2" t="s">
        <v>8</v>
      </c>
      <c r="C111" s="3">
        <v>1270</v>
      </c>
      <c r="D111" s="3">
        <v>162</v>
      </c>
      <c r="E111" s="3">
        <v>92040</v>
      </c>
      <c r="F111" s="4">
        <v>8.0299999999999994</v>
      </c>
      <c r="G111" s="3">
        <v>6120</v>
      </c>
      <c r="H111" s="3">
        <f>Table5[[#This Row],[New_Followers]]-Table5[[#This Row],[Unfollows]]</f>
        <v>1108</v>
      </c>
      <c r="I111" s="16">
        <f t="shared" si="1"/>
        <v>1.2038244241634072E-2</v>
      </c>
    </row>
    <row r="112" spans="1:9" ht="15.75" customHeight="1" x14ac:dyDescent="0.25">
      <c r="A112" s="1">
        <v>45698</v>
      </c>
      <c r="B112" s="2" t="s">
        <v>9</v>
      </c>
      <c r="C112" s="3">
        <v>536</v>
      </c>
      <c r="D112" s="3">
        <v>198</v>
      </c>
      <c r="E112" s="3">
        <v>174610</v>
      </c>
      <c r="F112" s="4">
        <v>7.85</v>
      </c>
      <c r="G112" s="3">
        <v>20572</v>
      </c>
      <c r="H112" s="3">
        <f>Table5[[#This Row],[New_Followers]]-Table5[[#This Row],[Unfollows]]</f>
        <v>338</v>
      </c>
      <c r="I112" s="16">
        <f t="shared" si="1"/>
        <v>1.9357425118836263E-3</v>
      </c>
    </row>
    <row r="113" spans="1:9" ht="15.75" customHeight="1" x14ac:dyDescent="0.25">
      <c r="A113" s="1">
        <v>45705</v>
      </c>
      <c r="B113" s="2" t="s">
        <v>7</v>
      </c>
      <c r="C113" s="3">
        <v>819</v>
      </c>
      <c r="D113" s="3">
        <v>95</v>
      </c>
      <c r="E113" s="3">
        <v>177376</v>
      </c>
      <c r="F113" s="4">
        <v>6.12</v>
      </c>
      <c r="G113" s="3">
        <v>14975</v>
      </c>
      <c r="H113" s="3">
        <f>Table5[[#This Row],[New_Followers]]-Table5[[#This Row],[Unfollows]]</f>
        <v>724</v>
      </c>
      <c r="I113" s="16">
        <f t="shared" si="1"/>
        <v>4.0817246978170664E-3</v>
      </c>
    </row>
    <row r="114" spans="1:9" ht="15.75" customHeight="1" x14ac:dyDescent="0.25">
      <c r="A114" s="1">
        <v>45705</v>
      </c>
      <c r="B114" s="2" t="s">
        <v>8</v>
      </c>
      <c r="C114" s="3">
        <v>681</v>
      </c>
      <c r="D114" s="3">
        <v>218</v>
      </c>
      <c r="E114" s="3">
        <v>198882</v>
      </c>
      <c r="F114" s="4">
        <v>7.16</v>
      </c>
      <c r="G114" s="3">
        <v>22234</v>
      </c>
      <c r="H114" s="3">
        <f>Table5[[#This Row],[New_Followers]]-Table5[[#This Row],[Unfollows]]</f>
        <v>463</v>
      </c>
      <c r="I114" s="16">
        <f t="shared" si="1"/>
        <v>2.3280135960016494E-3</v>
      </c>
    </row>
    <row r="115" spans="1:9" ht="15.75" customHeight="1" x14ac:dyDescent="0.25">
      <c r="A115" s="1">
        <v>45705</v>
      </c>
      <c r="B115" s="2" t="s">
        <v>9</v>
      </c>
      <c r="C115" s="3">
        <v>646</v>
      </c>
      <c r="D115" s="3">
        <v>290</v>
      </c>
      <c r="E115" s="3">
        <v>336383</v>
      </c>
      <c r="F115" s="4">
        <v>7.04</v>
      </c>
      <c r="G115" s="3">
        <v>6532</v>
      </c>
      <c r="H115" s="3">
        <f>Table5[[#This Row],[New_Followers]]-Table5[[#This Row],[Unfollows]]</f>
        <v>356</v>
      </c>
      <c r="I115" s="16">
        <f t="shared" si="1"/>
        <v>1.0583174536168594E-3</v>
      </c>
    </row>
    <row r="116" spans="1:9" ht="15.75" customHeight="1" x14ac:dyDescent="0.25">
      <c r="A116" s="1">
        <v>45712</v>
      </c>
      <c r="B116" s="2" t="s">
        <v>7</v>
      </c>
      <c r="C116" s="3">
        <v>645</v>
      </c>
      <c r="D116" s="3">
        <v>267</v>
      </c>
      <c r="E116" s="3">
        <v>346890</v>
      </c>
      <c r="F116" s="4">
        <v>3.71</v>
      </c>
      <c r="G116" s="3">
        <v>24858</v>
      </c>
      <c r="H116" s="3">
        <f>Table5[[#This Row],[New_Followers]]-Table5[[#This Row],[Unfollows]]</f>
        <v>378</v>
      </c>
      <c r="I116" s="16">
        <f t="shared" si="1"/>
        <v>1.0896826083196401E-3</v>
      </c>
    </row>
    <row r="117" spans="1:9" ht="15.75" customHeight="1" x14ac:dyDescent="0.25">
      <c r="A117" s="1">
        <v>45712</v>
      </c>
      <c r="B117" s="2" t="s">
        <v>8</v>
      </c>
      <c r="C117" s="3">
        <v>886</v>
      </c>
      <c r="D117" s="3">
        <v>250</v>
      </c>
      <c r="E117" s="3">
        <v>168170</v>
      </c>
      <c r="F117" s="4">
        <v>4.12</v>
      </c>
      <c r="G117" s="3">
        <v>13883</v>
      </c>
      <c r="H117" s="3">
        <f>Table5[[#This Row],[New_Followers]]-Table5[[#This Row],[Unfollows]]</f>
        <v>636</v>
      </c>
      <c r="I117" s="16">
        <f t="shared" si="1"/>
        <v>3.7818873758696555E-3</v>
      </c>
    </row>
    <row r="118" spans="1:9" ht="15.75" customHeight="1" x14ac:dyDescent="0.25">
      <c r="A118" s="1">
        <v>45712</v>
      </c>
      <c r="B118" s="2" t="s">
        <v>9</v>
      </c>
      <c r="C118" s="3">
        <v>978</v>
      </c>
      <c r="D118" s="3">
        <v>279</v>
      </c>
      <c r="E118" s="3">
        <v>368872</v>
      </c>
      <c r="F118" s="4">
        <v>6.82</v>
      </c>
      <c r="G118" s="3">
        <v>18654</v>
      </c>
      <c r="H118" s="3">
        <f>Table5[[#This Row],[New_Followers]]-Table5[[#This Row],[Unfollows]]</f>
        <v>699</v>
      </c>
      <c r="I118" s="16">
        <f t="shared" si="1"/>
        <v>1.8949662755644234E-3</v>
      </c>
    </row>
    <row r="119" spans="1:9" ht="15.75" customHeight="1" x14ac:dyDescent="0.25">
      <c r="A119" s="1">
        <v>45719</v>
      </c>
      <c r="B119" s="2" t="s">
        <v>7</v>
      </c>
      <c r="C119" s="3">
        <v>1444</v>
      </c>
      <c r="D119" s="3">
        <v>165</v>
      </c>
      <c r="E119" s="3">
        <v>116436</v>
      </c>
      <c r="F119" s="4">
        <v>8.2200000000000006</v>
      </c>
      <c r="G119" s="3">
        <v>25234</v>
      </c>
      <c r="H119" s="3">
        <f>Table5[[#This Row],[New_Followers]]-Table5[[#This Row],[Unfollows]]</f>
        <v>1279</v>
      </c>
      <c r="I119" s="16">
        <f t="shared" si="1"/>
        <v>1.0984575217286749E-2</v>
      </c>
    </row>
    <row r="120" spans="1:9" ht="15.75" customHeight="1" x14ac:dyDescent="0.25">
      <c r="A120" s="1">
        <v>45719</v>
      </c>
      <c r="B120" s="2" t="s">
        <v>8</v>
      </c>
      <c r="C120" s="3">
        <v>1234</v>
      </c>
      <c r="D120" s="3">
        <v>228</v>
      </c>
      <c r="E120" s="3">
        <v>127502</v>
      </c>
      <c r="F120" s="4">
        <v>7.71</v>
      </c>
      <c r="G120" s="3">
        <v>6772</v>
      </c>
      <c r="H120" s="3">
        <f>Table5[[#This Row],[New_Followers]]-Table5[[#This Row],[Unfollows]]</f>
        <v>1006</v>
      </c>
      <c r="I120" s="16">
        <f t="shared" si="1"/>
        <v>7.8900723125911749E-3</v>
      </c>
    </row>
    <row r="121" spans="1:9" ht="15.75" customHeight="1" x14ac:dyDescent="0.25">
      <c r="A121" s="1">
        <v>45719</v>
      </c>
      <c r="B121" s="2" t="s">
        <v>9</v>
      </c>
      <c r="C121" s="3">
        <v>665</v>
      </c>
      <c r="D121" s="3">
        <v>187</v>
      </c>
      <c r="E121" s="3">
        <v>274567</v>
      </c>
      <c r="F121" s="4">
        <v>7.39</v>
      </c>
      <c r="G121" s="3">
        <v>22428</v>
      </c>
      <c r="H121" s="3">
        <f>Table5[[#This Row],[New_Followers]]-Table5[[#This Row],[Unfollows]]</f>
        <v>478</v>
      </c>
      <c r="I121" s="16">
        <f t="shared" si="1"/>
        <v>1.7409229805475531E-3</v>
      </c>
    </row>
    <row r="122" spans="1:9" ht="15.75" customHeight="1" x14ac:dyDescent="0.25">
      <c r="A122" s="1">
        <v>45726</v>
      </c>
      <c r="B122" s="2" t="s">
        <v>7</v>
      </c>
      <c r="C122" s="3">
        <v>631</v>
      </c>
      <c r="D122" s="3">
        <v>86</v>
      </c>
      <c r="E122" s="3">
        <v>295090</v>
      </c>
      <c r="F122" s="4">
        <v>7.89</v>
      </c>
      <c r="G122" s="3">
        <v>11911</v>
      </c>
      <c r="H122" s="3">
        <f>Table5[[#This Row],[New_Followers]]-Table5[[#This Row],[Unfollows]]</f>
        <v>545</v>
      </c>
      <c r="I122" s="16">
        <f t="shared" si="1"/>
        <v>1.8468941678809856E-3</v>
      </c>
    </row>
    <row r="123" spans="1:9" ht="15.75" customHeight="1" x14ac:dyDescent="0.25">
      <c r="A123" s="1">
        <v>45726</v>
      </c>
      <c r="B123" s="2" t="s">
        <v>8</v>
      </c>
      <c r="C123" s="3">
        <v>1159</v>
      </c>
      <c r="D123" s="3">
        <v>154</v>
      </c>
      <c r="E123" s="3">
        <v>194994</v>
      </c>
      <c r="F123" s="4">
        <v>6.39</v>
      </c>
      <c r="G123" s="3">
        <v>21900</v>
      </c>
      <c r="H123" s="3">
        <f>Table5[[#This Row],[New_Followers]]-Table5[[#This Row],[Unfollows]]</f>
        <v>1005</v>
      </c>
      <c r="I123" s="16">
        <f t="shared" si="1"/>
        <v>5.1540047386073422E-3</v>
      </c>
    </row>
    <row r="124" spans="1:9" ht="15.75" customHeight="1" x14ac:dyDescent="0.25">
      <c r="A124" s="1">
        <v>45726</v>
      </c>
      <c r="B124" s="2" t="s">
        <v>9</v>
      </c>
      <c r="C124" s="3">
        <v>950</v>
      </c>
      <c r="D124" s="3">
        <v>185</v>
      </c>
      <c r="E124" s="3">
        <v>340750</v>
      </c>
      <c r="F124" s="4">
        <v>6.77</v>
      </c>
      <c r="G124" s="3">
        <v>25542</v>
      </c>
      <c r="H124" s="3">
        <f>Table5[[#This Row],[New_Followers]]-Table5[[#This Row],[Unfollows]]</f>
        <v>765</v>
      </c>
      <c r="I124" s="16">
        <f t="shared" si="1"/>
        <v>2.2450476889214967E-3</v>
      </c>
    </row>
    <row r="125" spans="1:9" ht="15.75" customHeight="1" x14ac:dyDescent="0.25">
      <c r="A125" s="1">
        <v>45733</v>
      </c>
      <c r="B125" s="2" t="s">
        <v>7</v>
      </c>
      <c r="C125" s="3">
        <v>693</v>
      </c>
      <c r="D125" s="3">
        <v>129</v>
      </c>
      <c r="E125" s="3">
        <v>296031</v>
      </c>
      <c r="F125" s="4">
        <v>3.41</v>
      </c>
      <c r="G125" s="3">
        <v>7140</v>
      </c>
      <c r="H125" s="3">
        <f>Table5[[#This Row],[New_Followers]]-Table5[[#This Row],[Unfollows]]</f>
        <v>564</v>
      </c>
      <c r="I125" s="16">
        <f t="shared" si="1"/>
        <v>1.9052058737091724E-3</v>
      </c>
    </row>
    <row r="126" spans="1:9" ht="15.75" customHeight="1" x14ac:dyDescent="0.25">
      <c r="A126" s="1">
        <v>45733</v>
      </c>
      <c r="B126" s="2" t="s">
        <v>8</v>
      </c>
      <c r="C126" s="3">
        <v>576</v>
      </c>
      <c r="D126" s="3">
        <v>80</v>
      </c>
      <c r="E126" s="3">
        <v>345688</v>
      </c>
      <c r="F126" s="4">
        <v>4.1100000000000003</v>
      </c>
      <c r="G126" s="3">
        <v>20474</v>
      </c>
      <c r="H126" s="3">
        <f>Table5[[#This Row],[New_Followers]]-Table5[[#This Row],[Unfollows]]</f>
        <v>496</v>
      </c>
      <c r="I126" s="16">
        <f t="shared" si="1"/>
        <v>1.4348198375413667E-3</v>
      </c>
    </row>
    <row r="127" spans="1:9" ht="15.75" customHeight="1" x14ac:dyDescent="0.25">
      <c r="A127" s="1">
        <v>45733</v>
      </c>
      <c r="B127" s="2" t="s">
        <v>9</v>
      </c>
      <c r="C127" s="3">
        <v>1274</v>
      </c>
      <c r="D127" s="3">
        <v>146</v>
      </c>
      <c r="E127" s="3">
        <v>263488</v>
      </c>
      <c r="F127" s="4">
        <v>9.58</v>
      </c>
      <c r="G127" s="3">
        <v>8698</v>
      </c>
      <c r="H127" s="3">
        <f>Table5[[#This Row],[New_Followers]]-Table5[[#This Row],[Unfollows]]</f>
        <v>1128</v>
      </c>
      <c r="I127" s="16">
        <f t="shared" si="1"/>
        <v>4.2810298761233904E-3</v>
      </c>
    </row>
    <row r="128" spans="1:9" ht="15.75" customHeight="1" x14ac:dyDescent="0.25">
      <c r="A128" s="1">
        <v>45740</v>
      </c>
      <c r="B128" s="2" t="s">
        <v>7</v>
      </c>
      <c r="C128" s="3">
        <v>818</v>
      </c>
      <c r="D128" s="3">
        <v>253</v>
      </c>
      <c r="E128" s="3">
        <v>184911</v>
      </c>
      <c r="F128" s="4">
        <v>3.39</v>
      </c>
      <c r="G128" s="3">
        <v>10402</v>
      </c>
      <c r="H128" s="3">
        <f>Table5[[#This Row],[New_Followers]]-Table5[[#This Row],[Unfollows]]</f>
        <v>565</v>
      </c>
      <c r="I128" s="16">
        <f t="shared" si="1"/>
        <v>3.0555240088474996E-3</v>
      </c>
    </row>
    <row r="129" spans="1:9" ht="15.75" customHeight="1" x14ac:dyDescent="0.25">
      <c r="A129" s="1">
        <v>45740</v>
      </c>
      <c r="B129" s="2" t="s">
        <v>8</v>
      </c>
      <c r="C129" s="3">
        <v>975</v>
      </c>
      <c r="D129" s="3">
        <v>162</v>
      </c>
      <c r="E129" s="3">
        <v>124497</v>
      </c>
      <c r="F129" s="4">
        <v>9.58</v>
      </c>
      <c r="G129" s="3">
        <v>26618</v>
      </c>
      <c r="H129" s="3">
        <f>Table5[[#This Row],[New_Followers]]-Table5[[#This Row],[Unfollows]]</f>
        <v>813</v>
      </c>
      <c r="I129" s="16">
        <f t="shared" si="1"/>
        <v>6.5302778380201933E-3</v>
      </c>
    </row>
    <row r="130" spans="1:9" ht="15.75" customHeight="1" x14ac:dyDescent="0.25">
      <c r="A130" s="1">
        <v>45740</v>
      </c>
      <c r="B130" s="2" t="s">
        <v>9</v>
      </c>
      <c r="C130" s="3">
        <v>1398</v>
      </c>
      <c r="D130" s="3">
        <v>97</v>
      </c>
      <c r="E130" s="3">
        <v>397607</v>
      </c>
      <c r="F130" s="4">
        <v>5.09</v>
      </c>
      <c r="G130" s="3">
        <v>7975</v>
      </c>
      <c r="H130" s="3">
        <f>Table5[[#This Row],[New_Followers]]-Table5[[#This Row],[Unfollows]]</f>
        <v>1301</v>
      </c>
      <c r="I130" s="16">
        <f t="shared" si="1"/>
        <v>3.2720751898231166E-3</v>
      </c>
    </row>
    <row r="131" spans="1:9" ht="15.75" customHeight="1" x14ac:dyDescent="0.25">
      <c r="A131" s="1">
        <v>45747</v>
      </c>
      <c r="B131" s="2" t="s">
        <v>7</v>
      </c>
      <c r="C131" s="3">
        <v>591</v>
      </c>
      <c r="D131" s="3">
        <v>155</v>
      </c>
      <c r="E131" s="3">
        <v>138521</v>
      </c>
      <c r="F131" s="4">
        <v>7.85</v>
      </c>
      <c r="G131" s="3">
        <v>19054</v>
      </c>
      <c r="H131" s="3">
        <f>Table5[[#This Row],[New_Followers]]-Table5[[#This Row],[Unfollows]]</f>
        <v>436</v>
      </c>
      <c r="I131" s="16">
        <f t="shared" ref="I131:I194" si="2">(C131-D131)/E131</f>
        <v>3.1475371965261584E-3</v>
      </c>
    </row>
    <row r="132" spans="1:9" ht="15.75" customHeight="1" x14ac:dyDescent="0.25">
      <c r="A132" s="1">
        <v>45747</v>
      </c>
      <c r="B132" s="2" t="s">
        <v>8</v>
      </c>
      <c r="C132" s="3">
        <v>1232</v>
      </c>
      <c r="D132" s="3">
        <v>254</v>
      </c>
      <c r="E132" s="3">
        <v>107718</v>
      </c>
      <c r="F132" s="4">
        <v>9.7100000000000009</v>
      </c>
      <c r="G132" s="3">
        <v>13740</v>
      </c>
      <c r="H132" s="3">
        <f>Table5[[#This Row],[New_Followers]]-Table5[[#This Row],[Unfollows]]</f>
        <v>978</v>
      </c>
      <c r="I132" s="16">
        <f t="shared" si="2"/>
        <v>9.0792625187990864E-3</v>
      </c>
    </row>
    <row r="133" spans="1:9" ht="15.75" customHeight="1" x14ac:dyDescent="0.25">
      <c r="A133" s="1">
        <v>45747</v>
      </c>
      <c r="B133" s="2" t="s">
        <v>9</v>
      </c>
      <c r="C133" s="3">
        <v>1425</v>
      </c>
      <c r="D133" s="3">
        <v>58</v>
      </c>
      <c r="E133" s="3">
        <v>202234</v>
      </c>
      <c r="F133" s="4">
        <v>6.67</v>
      </c>
      <c r="G133" s="3">
        <v>18442</v>
      </c>
      <c r="H133" s="3">
        <f>Table5[[#This Row],[New_Followers]]-Table5[[#This Row],[Unfollows]]</f>
        <v>1367</v>
      </c>
      <c r="I133" s="16">
        <f t="shared" si="2"/>
        <v>6.7594964249334932E-3</v>
      </c>
    </row>
    <row r="134" spans="1:9" ht="15.75" customHeight="1" x14ac:dyDescent="0.25">
      <c r="A134" s="1">
        <v>45754</v>
      </c>
      <c r="B134" s="2" t="s">
        <v>7</v>
      </c>
      <c r="C134" s="3">
        <v>1417</v>
      </c>
      <c r="D134" s="3">
        <v>80</v>
      </c>
      <c r="E134" s="3">
        <v>340987</v>
      </c>
      <c r="F134" s="4">
        <v>6.13</v>
      </c>
      <c r="G134" s="3">
        <v>10104</v>
      </c>
      <c r="H134" s="3">
        <f>Table5[[#This Row],[New_Followers]]-Table5[[#This Row],[Unfollows]]</f>
        <v>1337</v>
      </c>
      <c r="I134" s="16">
        <f t="shared" si="2"/>
        <v>3.9209705941868752E-3</v>
      </c>
    </row>
    <row r="135" spans="1:9" ht="15.75" customHeight="1" x14ac:dyDescent="0.25">
      <c r="A135" s="1">
        <v>45754</v>
      </c>
      <c r="B135" s="2" t="s">
        <v>8</v>
      </c>
      <c r="C135" s="3">
        <v>1222</v>
      </c>
      <c r="D135" s="3">
        <v>208</v>
      </c>
      <c r="E135" s="3">
        <v>340098</v>
      </c>
      <c r="F135" s="4">
        <v>7.34</v>
      </c>
      <c r="G135" s="3">
        <v>21771</v>
      </c>
      <c r="H135" s="3">
        <f>Table5[[#This Row],[New_Followers]]-Table5[[#This Row],[Unfollows]]</f>
        <v>1014</v>
      </c>
      <c r="I135" s="16">
        <f t="shared" si="2"/>
        <v>2.9814935695005556E-3</v>
      </c>
    </row>
    <row r="136" spans="1:9" ht="15.75" customHeight="1" x14ac:dyDescent="0.25">
      <c r="A136" s="1">
        <v>45754</v>
      </c>
      <c r="B136" s="2" t="s">
        <v>9</v>
      </c>
      <c r="C136" s="3">
        <v>1071</v>
      </c>
      <c r="D136" s="3">
        <v>131</v>
      </c>
      <c r="E136" s="3">
        <v>254727</v>
      </c>
      <c r="F136" s="4">
        <v>6.87</v>
      </c>
      <c r="G136" s="3">
        <v>22191</v>
      </c>
      <c r="H136" s="3">
        <f>Table5[[#This Row],[New_Followers]]-Table5[[#This Row],[Unfollows]]</f>
        <v>940</v>
      </c>
      <c r="I136" s="16">
        <f t="shared" si="2"/>
        <v>3.6902252215116576E-3</v>
      </c>
    </row>
    <row r="137" spans="1:9" ht="15.75" customHeight="1" x14ac:dyDescent="0.25">
      <c r="A137" s="1">
        <v>45761</v>
      </c>
      <c r="B137" s="2" t="s">
        <v>7</v>
      </c>
      <c r="C137" s="3">
        <v>772</v>
      </c>
      <c r="D137" s="3">
        <v>82</v>
      </c>
      <c r="E137" s="3">
        <v>345659</v>
      </c>
      <c r="F137" s="4">
        <v>3.52</v>
      </c>
      <c r="G137" s="3">
        <v>27753</v>
      </c>
      <c r="H137" s="3">
        <f>Table5[[#This Row],[New_Followers]]-Table5[[#This Row],[Unfollows]]</f>
        <v>690</v>
      </c>
      <c r="I137" s="16">
        <f t="shared" si="2"/>
        <v>1.9961869935398759E-3</v>
      </c>
    </row>
    <row r="138" spans="1:9" ht="15.75" customHeight="1" x14ac:dyDescent="0.25">
      <c r="A138" s="1">
        <v>45761</v>
      </c>
      <c r="B138" s="2" t="s">
        <v>8</v>
      </c>
      <c r="C138" s="3">
        <v>1472</v>
      </c>
      <c r="D138" s="3">
        <v>137</v>
      </c>
      <c r="E138" s="3">
        <v>213950</v>
      </c>
      <c r="F138" s="4">
        <v>6.96</v>
      </c>
      <c r="G138" s="3">
        <v>23736</v>
      </c>
      <c r="H138" s="3">
        <f>Table5[[#This Row],[New_Followers]]-Table5[[#This Row],[Unfollows]]</f>
        <v>1335</v>
      </c>
      <c r="I138" s="16">
        <f t="shared" si="2"/>
        <v>6.2397756485160086E-3</v>
      </c>
    </row>
    <row r="139" spans="1:9" ht="15.75" customHeight="1" x14ac:dyDescent="0.25">
      <c r="A139" s="1">
        <v>45761</v>
      </c>
      <c r="B139" s="2" t="s">
        <v>9</v>
      </c>
      <c r="C139" s="3">
        <v>1472</v>
      </c>
      <c r="D139" s="3">
        <v>281</v>
      </c>
      <c r="E139" s="3">
        <v>258115</v>
      </c>
      <c r="F139" s="4">
        <v>7.23</v>
      </c>
      <c r="G139" s="3">
        <v>27393</v>
      </c>
      <c r="H139" s="3">
        <f>Table5[[#This Row],[New_Followers]]-Table5[[#This Row],[Unfollows]]</f>
        <v>1191</v>
      </c>
      <c r="I139" s="16">
        <f t="shared" si="2"/>
        <v>4.6142223427541986E-3</v>
      </c>
    </row>
    <row r="140" spans="1:9" ht="15.75" customHeight="1" x14ac:dyDescent="0.25">
      <c r="A140" s="1">
        <v>45768</v>
      </c>
      <c r="B140" s="2" t="s">
        <v>7</v>
      </c>
      <c r="C140" s="3">
        <v>585</v>
      </c>
      <c r="D140" s="3">
        <v>232</v>
      </c>
      <c r="E140" s="3">
        <v>321258</v>
      </c>
      <c r="F140" s="4">
        <v>7.42</v>
      </c>
      <c r="G140" s="3">
        <v>10343</v>
      </c>
      <c r="H140" s="3">
        <f>Table5[[#This Row],[New_Followers]]-Table5[[#This Row],[Unfollows]]</f>
        <v>353</v>
      </c>
      <c r="I140" s="16">
        <f t="shared" si="2"/>
        <v>1.0988053215795403E-3</v>
      </c>
    </row>
    <row r="141" spans="1:9" ht="15.75" customHeight="1" x14ac:dyDescent="0.25">
      <c r="A141" s="1">
        <v>45768</v>
      </c>
      <c r="B141" s="2" t="s">
        <v>8</v>
      </c>
      <c r="C141" s="3">
        <v>747</v>
      </c>
      <c r="D141" s="3">
        <v>261</v>
      </c>
      <c r="E141" s="3">
        <v>338650</v>
      </c>
      <c r="F141" s="4">
        <v>7.73</v>
      </c>
      <c r="G141" s="3">
        <v>25259</v>
      </c>
      <c r="H141" s="3">
        <f>Table5[[#This Row],[New_Followers]]-Table5[[#This Row],[Unfollows]]</f>
        <v>486</v>
      </c>
      <c r="I141" s="16">
        <f t="shared" si="2"/>
        <v>1.4351099955706482E-3</v>
      </c>
    </row>
    <row r="142" spans="1:9" ht="15.75" customHeight="1" x14ac:dyDescent="0.25">
      <c r="A142" s="1">
        <v>45768</v>
      </c>
      <c r="B142" s="2" t="s">
        <v>9</v>
      </c>
      <c r="C142" s="3">
        <v>1113</v>
      </c>
      <c r="D142" s="3">
        <v>224</v>
      </c>
      <c r="E142" s="3">
        <v>272989</v>
      </c>
      <c r="F142" s="4">
        <v>5.13</v>
      </c>
      <c r="G142" s="3">
        <v>24827</v>
      </c>
      <c r="H142" s="3">
        <f>Table5[[#This Row],[New_Followers]]-Table5[[#This Row],[Unfollows]]</f>
        <v>889</v>
      </c>
      <c r="I142" s="16">
        <f t="shared" si="2"/>
        <v>3.2565414723670183E-3</v>
      </c>
    </row>
    <row r="143" spans="1:9" ht="15.75" customHeight="1" x14ac:dyDescent="0.25">
      <c r="A143" s="1">
        <v>45775</v>
      </c>
      <c r="B143" s="2" t="s">
        <v>7</v>
      </c>
      <c r="C143" s="3">
        <v>1100</v>
      </c>
      <c r="D143" s="3">
        <v>117</v>
      </c>
      <c r="E143" s="3">
        <v>260204</v>
      </c>
      <c r="F143" s="4">
        <v>4.4000000000000004</v>
      </c>
      <c r="G143" s="3">
        <v>11908</v>
      </c>
      <c r="H143" s="3">
        <f>Table5[[#This Row],[New_Followers]]-Table5[[#This Row],[Unfollows]]</f>
        <v>983</v>
      </c>
      <c r="I143" s="16">
        <f t="shared" si="2"/>
        <v>3.7778051067623862E-3</v>
      </c>
    </row>
    <row r="144" spans="1:9" ht="15.75" customHeight="1" x14ac:dyDescent="0.25">
      <c r="A144" s="1">
        <v>45775</v>
      </c>
      <c r="B144" s="2" t="s">
        <v>8</v>
      </c>
      <c r="C144" s="3">
        <v>751</v>
      </c>
      <c r="D144" s="3">
        <v>170</v>
      </c>
      <c r="E144" s="3">
        <v>283278</v>
      </c>
      <c r="F144" s="4">
        <v>3.49</v>
      </c>
      <c r="G144" s="3">
        <v>11005</v>
      </c>
      <c r="H144" s="3">
        <f>Table5[[#This Row],[New_Followers]]-Table5[[#This Row],[Unfollows]]</f>
        <v>581</v>
      </c>
      <c r="I144" s="16">
        <f t="shared" si="2"/>
        <v>2.0509887813384732E-3</v>
      </c>
    </row>
    <row r="145" spans="1:9" ht="15.75" customHeight="1" x14ac:dyDescent="0.25">
      <c r="A145" s="1">
        <v>45775</v>
      </c>
      <c r="B145" s="2" t="s">
        <v>9</v>
      </c>
      <c r="C145" s="3">
        <v>864</v>
      </c>
      <c r="D145" s="3">
        <v>50</v>
      </c>
      <c r="E145" s="3">
        <v>277445</v>
      </c>
      <c r="F145" s="4">
        <v>3.57</v>
      </c>
      <c r="G145" s="3">
        <v>26333</v>
      </c>
      <c r="H145" s="3">
        <f>Table5[[#This Row],[New_Followers]]-Table5[[#This Row],[Unfollows]]</f>
        <v>814</v>
      </c>
      <c r="I145" s="16">
        <f t="shared" si="2"/>
        <v>2.9339148299662998E-3</v>
      </c>
    </row>
    <row r="146" spans="1:9" ht="15.75" customHeight="1" x14ac:dyDescent="0.25">
      <c r="A146" s="1">
        <v>45782</v>
      </c>
      <c r="B146" s="2" t="s">
        <v>7</v>
      </c>
      <c r="C146" s="3">
        <v>1146</v>
      </c>
      <c r="D146" s="3">
        <v>227</v>
      </c>
      <c r="E146" s="3">
        <v>353781</v>
      </c>
      <c r="F146" s="4">
        <v>6.41</v>
      </c>
      <c r="G146" s="3">
        <v>5495</v>
      </c>
      <c r="H146" s="3">
        <f>Table5[[#This Row],[New_Followers]]-Table5[[#This Row],[Unfollows]]</f>
        <v>919</v>
      </c>
      <c r="I146" s="16">
        <f t="shared" si="2"/>
        <v>2.5976522198761379E-3</v>
      </c>
    </row>
    <row r="147" spans="1:9" ht="15.75" customHeight="1" x14ac:dyDescent="0.25">
      <c r="A147" s="1">
        <v>45782</v>
      </c>
      <c r="B147" s="2" t="s">
        <v>8</v>
      </c>
      <c r="C147" s="3">
        <v>883</v>
      </c>
      <c r="D147" s="3">
        <v>207</v>
      </c>
      <c r="E147" s="3">
        <v>265019</v>
      </c>
      <c r="F147" s="4">
        <v>6.04</v>
      </c>
      <c r="G147" s="3">
        <v>15655</v>
      </c>
      <c r="H147" s="3">
        <f>Table5[[#This Row],[New_Followers]]-Table5[[#This Row],[Unfollows]]</f>
        <v>676</v>
      </c>
      <c r="I147" s="16">
        <f t="shared" si="2"/>
        <v>2.5507605115104954E-3</v>
      </c>
    </row>
    <row r="148" spans="1:9" ht="15.75" customHeight="1" x14ac:dyDescent="0.25">
      <c r="A148" s="1">
        <v>45782</v>
      </c>
      <c r="B148" s="2" t="s">
        <v>9</v>
      </c>
      <c r="C148" s="3">
        <v>622</v>
      </c>
      <c r="D148" s="3">
        <v>163</v>
      </c>
      <c r="E148" s="3">
        <v>231925</v>
      </c>
      <c r="F148" s="4">
        <v>9.18</v>
      </c>
      <c r="G148" s="3">
        <v>13763</v>
      </c>
      <c r="H148" s="3">
        <f>Table5[[#This Row],[New_Followers]]-Table5[[#This Row],[Unfollows]]</f>
        <v>459</v>
      </c>
      <c r="I148" s="16">
        <f t="shared" si="2"/>
        <v>1.9790880672631238E-3</v>
      </c>
    </row>
    <row r="149" spans="1:9" ht="15.75" customHeight="1" x14ac:dyDescent="0.25">
      <c r="A149" s="1">
        <v>45789</v>
      </c>
      <c r="B149" s="2" t="s">
        <v>7</v>
      </c>
      <c r="C149" s="3">
        <v>837</v>
      </c>
      <c r="D149" s="3">
        <v>261</v>
      </c>
      <c r="E149" s="3">
        <v>366149</v>
      </c>
      <c r="F149" s="4">
        <v>6.54</v>
      </c>
      <c r="G149" s="3">
        <v>26073</v>
      </c>
      <c r="H149" s="3">
        <f>Table5[[#This Row],[New_Followers]]-Table5[[#This Row],[Unfollows]]</f>
        <v>576</v>
      </c>
      <c r="I149" s="16">
        <f t="shared" si="2"/>
        <v>1.5731300645365684E-3</v>
      </c>
    </row>
    <row r="150" spans="1:9" ht="15.75" customHeight="1" x14ac:dyDescent="0.25">
      <c r="A150" s="1">
        <v>45789</v>
      </c>
      <c r="B150" s="2" t="s">
        <v>8</v>
      </c>
      <c r="C150" s="3">
        <v>544</v>
      </c>
      <c r="D150" s="3">
        <v>97</v>
      </c>
      <c r="E150" s="3">
        <v>168375</v>
      </c>
      <c r="F150" s="4">
        <v>8.66</v>
      </c>
      <c r="G150" s="3">
        <v>12774</v>
      </c>
      <c r="H150" s="3">
        <f>Table5[[#This Row],[New_Followers]]-Table5[[#This Row],[Unfollows]]</f>
        <v>447</v>
      </c>
      <c r="I150" s="16">
        <f t="shared" si="2"/>
        <v>2.6547884187082403E-3</v>
      </c>
    </row>
    <row r="151" spans="1:9" ht="15.75" customHeight="1" x14ac:dyDescent="0.25">
      <c r="A151" s="1">
        <v>45789</v>
      </c>
      <c r="B151" s="2" t="s">
        <v>9</v>
      </c>
      <c r="C151" s="3">
        <v>624</v>
      </c>
      <c r="D151" s="3">
        <v>247</v>
      </c>
      <c r="E151" s="3">
        <v>252763</v>
      </c>
      <c r="F151" s="4">
        <v>3.89</v>
      </c>
      <c r="G151" s="3">
        <v>19000</v>
      </c>
      <c r="H151" s="3">
        <f>Table5[[#This Row],[New_Followers]]-Table5[[#This Row],[Unfollows]]</f>
        <v>377</v>
      </c>
      <c r="I151" s="16">
        <f t="shared" si="2"/>
        <v>1.4915157677349929E-3</v>
      </c>
    </row>
    <row r="152" spans="1:9" ht="15.75" customHeight="1" x14ac:dyDescent="0.25">
      <c r="A152" s="1">
        <v>45796</v>
      </c>
      <c r="B152" s="2" t="s">
        <v>7</v>
      </c>
      <c r="C152" s="3">
        <v>1073</v>
      </c>
      <c r="D152" s="3">
        <v>141</v>
      </c>
      <c r="E152" s="3">
        <v>118393</v>
      </c>
      <c r="F152" s="4">
        <v>7.95</v>
      </c>
      <c r="G152" s="3">
        <v>14051</v>
      </c>
      <c r="H152" s="3">
        <f>Table5[[#This Row],[New_Followers]]-Table5[[#This Row],[Unfollows]]</f>
        <v>932</v>
      </c>
      <c r="I152" s="16">
        <f t="shared" si="2"/>
        <v>7.872087032172511E-3</v>
      </c>
    </row>
    <row r="153" spans="1:9" ht="15.75" customHeight="1" x14ac:dyDescent="0.25">
      <c r="A153" s="1">
        <v>45796</v>
      </c>
      <c r="B153" s="2" t="s">
        <v>8</v>
      </c>
      <c r="C153" s="3">
        <v>1430</v>
      </c>
      <c r="D153" s="3">
        <v>74</v>
      </c>
      <c r="E153" s="3">
        <v>327012</v>
      </c>
      <c r="F153" s="4">
        <v>6.66</v>
      </c>
      <c r="G153" s="3">
        <v>27782</v>
      </c>
      <c r="H153" s="3">
        <f>Table5[[#This Row],[New_Followers]]-Table5[[#This Row],[Unfollows]]</f>
        <v>1356</v>
      </c>
      <c r="I153" s="16">
        <f t="shared" si="2"/>
        <v>4.1466368206671319E-3</v>
      </c>
    </row>
    <row r="154" spans="1:9" ht="15.75" customHeight="1" x14ac:dyDescent="0.25">
      <c r="A154" s="1">
        <v>45796</v>
      </c>
      <c r="B154" s="2" t="s">
        <v>9</v>
      </c>
      <c r="C154" s="3">
        <v>1358</v>
      </c>
      <c r="D154" s="3">
        <v>77</v>
      </c>
      <c r="E154" s="3">
        <v>169688</v>
      </c>
      <c r="F154" s="4">
        <v>5.25</v>
      </c>
      <c r="G154" s="3">
        <v>7859</v>
      </c>
      <c r="H154" s="3">
        <f>Table5[[#This Row],[New_Followers]]-Table5[[#This Row],[Unfollows]]</f>
        <v>1281</v>
      </c>
      <c r="I154" s="16">
        <f t="shared" si="2"/>
        <v>7.5491490264485411E-3</v>
      </c>
    </row>
    <row r="155" spans="1:9" ht="15.75" customHeight="1" x14ac:dyDescent="0.25">
      <c r="A155" s="1">
        <v>45803</v>
      </c>
      <c r="B155" s="2" t="s">
        <v>7</v>
      </c>
      <c r="C155" s="3">
        <v>1242</v>
      </c>
      <c r="D155" s="3">
        <v>201</v>
      </c>
      <c r="E155" s="3">
        <v>271935</v>
      </c>
      <c r="F155" s="4">
        <v>5.07</v>
      </c>
      <c r="G155" s="3">
        <v>15773</v>
      </c>
      <c r="H155" s="3">
        <f>Table5[[#This Row],[New_Followers]]-Table5[[#This Row],[Unfollows]]</f>
        <v>1041</v>
      </c>
      <c r="I155" s="16">
        <f t="shared" si="2"/>
        <v>3.8281206906062111E-3</v>
      </c>
    </row>
    <row r="156" spans="1:9" ht="15.75" customHeight="1" x14ac:dyDescent="0.25">
      <c r="A156" s="1">
        <v>45803</v>
      </c>
      <c r="B156" s="2" t="s">
        <v>8</v>
      </c>
      <c r="C156" s="3">
        <v>1389</v>
      </c>
      <c r="D156" s="3">
        <v>205</v>
      </c>
      <c r="E156" s="3">
        <v>315981</v>
      </c>
      <c r="F156" s="4">
        <v>7.62</v>
      </c>
      <c r="G156" s="3">
        <v>20595</v>
      </c>
      <c r="H156" s="3">
        <f>Table5[[#This Row],[New_Followers]]-Table5[[#This Row],[Unfollows]]</f>
        <v>1184</v>
      </c>
      <c r="I156" s="16">
        <f t="shared" si="2"/>
        <v>3.7470607409939207E-3</v>
      </c>
    </row>
    <row r="157" spans="1:9" ht="15.75" customHeight="1" x14ac:dyDescent="0.25">
      <c r="A157" s="1">
        <v>45803</v>
      </c>
      <c r="B157" s="2" t="s">
        <v>9</v>
      </c>
      <c r="C157" s="3">
        <v>826</v>
      </c>
      <c r="D157" s="3">
        <v>142</v>
      </c>
      <c r="E157" s="3">
        <v>341016</v>
      </c>
      <c r="F157" s="4">
        <v>7.44</v>
      </c>
      <c r="G157" s="3">
        <v>12031</v>
      </c>
      <c r="H157" s="3">
        <f>Table5[[#This Row],[New_Followers]]-Table5[[#This Row],[Unfollows]]</f>
        <v>684</v>
      </c>
      <c r="I157" s="16">
        <f t="shared" si="2"/>
        <v>2.005770990217468E-3</v>
      </c>
    </row>
    <row r="158" spans="1:9" ht="15.75" customHeight="1" x14ac:dyDescent="0.25">
      <c r="A158" s="1">
        <v>45810</v>
      </c>
      <c r="B158" s="2" t="s">
        <v>7</v>
      </c>
      <c r="C158" s="3">
        <v>618</v>
      </c>
      <c r="D158" s="3">
        <v>264</v>
      </c>
      <c r="E158" s="3">
        <v>285164</v>
      </c>
      <c r="F158" s="4">
        <v>4.8600000000000003</v>
      </c>
      <c r="G158" s="3">
        <v>15128</v>
      </c>
      <c r="H158" s="3">
        <f>Table5[[#This Row],[New_Followers]]-Table5[[#This Row],[Unfollows]]</f>
        <v>354</v>
      </c>
      <c r="I158" s="16">
        <f t="shared" si="2"/>
        <v>1.2413909189098204E-3</v>
      </c>
    </row>
    <row r="159" spans="1:9" ht="15.75" customHeight="1" x14ac:dyDescent="0.25">
      <c r="A159" s="1">
        <v>45810</v>
      </c>
      <c r="B159" s="2" t="s">
        <v>8</v>
      </c>
      <c r="C159" s="3">
        <v>1419</v>
      </c>
      <c r="D159" s="3">
        <v>293</v>
      </c>
      <c r="E159" s="3">
        <v>116632</v>
      </c>
      <c r="F159" s="4">
        <v>6.93</v>
      </c>
      <c r="G159" s="3">
        <v>11826</v>
      </c>
      <c r="H159" s="3">
        <f>Table5[[#This Row],[New_Followers]]-Table5[[#This Row],[Unfollows]]</f>
        <v>1126</v>
      </c>
      <c r="I159" s="16">
        <f t="shared" si="2"/>
        <v>9.6542972769051369E-3</v>
      </c>
    </row>
    <row r="160" spans="1:9" ht="15.75" customHeight="1" x14ac:dyDescent="0.25">
      <c r="A160" s="1">
        <v>45810</v>
      </c>
      <c r="B160" s="2" t="s">
        <v>9</v>
      </c>
      <c r="C160" s="3">
        <v>637</v>
      </c>
      <c r="D160" s="3">
        <v>68</v>
      </c>
      <c r="E160" s="3">
        <v>115694</v>
      </c>
      <c r="F160" s="4">
        <v>9.99</v>
      </c>
      <c r="G160" s="3">
        <v>12562</v>
      </c>
      <c r="H160" s="3">
        <f>Table5[[#This Row],[New_Followers]]-Table5[[#This Row],[Unfollows]]</f>
        <v>569</v>
      </c>
      <c r="I160" s="16">
        <f t="shared" si="2"/>
        <v>4.9181461441388493E-3</v>
      </c>
    </row>
    <row r="161" spans="1:9" ht="15.75" customHeight="1" x14ac:dyDescent="0.25">
      <c r="A161" s="1">
        <v>45817</v>
      </c>
      <c r="B161" s="2" t="s">
        <v>7</v>
      </c>
      <c r="C161" s="3">
        <v>917</v>
      </c>
      <c r="D161" s="3">
        <v>187</v>
      </c>
      <c r="E161" s="3">
        <v>64444</v>
      </c>
      <c r="F161" s="4">
        <v>5.22</v>
      </c>
      <c r="G161" s="3">
        <v>13013</v>
      </c>
      <c r="H161" s="3">
        <f>Table5[[#This Row],[New_Followers]]-Table5[[#This Row],[Unfollows]]</f>
        <v>730</v>
      </c>
      <c r="I161" s="16">
        <f t="shared" si="2"/>
        <v>1.1327664328719508E-2</v>
      </c>
    </row>
    <row r="162" spans="1:9" ht="15.75" customHeight="1" x14ac:dyDescent="0.25">
      <c r="A162" s="1">
        <v>45817</v>
      </c>
      <c r="B162" s="2" t="s">
        <v>8</v>
      </c>
      <c r="C162" s="3">
        <v>810</v>
      </c>
      <c r="D162" s="3">
        <v>232</v>
      </c>
      <c r="E162" s="3">
        <v>362559</v>
      </c>
      <c r="F162" s="4">
        <v>5.17</v>
      </c>
      <c r="G162" s="3">
        <v>12937</v>
      </c>
      <c r="H162" s="3">
        <f>Table5[[#This Row],[New_Followers]]-Table5[[#This Row],[Unfollows]]</f>
        <v>578</v>
      </c>
      <c r="I162" s="16">
        <f t="shared" si="2"/>
        <v>1.5942232850377457E-3</v>
      </c>
    </row>
    <row r="163" spans="1:9" ht="15.75" customHeight="1" x14ac:dyDescent="0.25">
      <c r="A163" s="1">
        <v>45817</v>
      </c>
      <c r="B163" s="2" t="s">
        <v>9</v>
      </c>
      <c r="C163" s="3">
        <v>1183</v>
      </c>
      <c r="D163" s="3">
        <v>248</v>
      </c>
      <c r="E163" s="3">
        <v>226881</v>
      </c>
      <c r="F163" s="4">
        <v>5.17</v>
      </c>
      <c r="G163" s="3">
        <v>14534</v>
      </c>
      <c r="H163" s="3">
        <f>Table5[[#This Row],[New_Followers]]-Table5[[#This Row],[Unfollows]]</f>
        <v>935</v>
      </c>
      <c r="I163" s="16">
        <f t="shared" si="2"/>
        <v>4.1211031333606603E-3</v>
      </c>
    </row>
    <row r="164" spans="1:9" ht="15.75" customHeight="1" x14ac:dyDescent="0.25">
      <c r="A164" s="1">
        <v>45824</v>
      </c>
      <c r="B164" s="2" t="s">
        <v>7</v>
      </c>
      <c r="C164" s="3">
        <v>765</v>
      </c>
      <c r="D164" s="3">
        <v>67</v>
      </c>
      <c r="E164" s="3">
        <v>283537</v>
      </c>
      <c r="F164" s="4">
        <v>6.18</v>
      </c>
      <c r="G164" s="3">
        <v>8182</v>
      </c>
      <c r="H164" s="3">
        <f>Table5[[#This Row],[New_Followers]]-Table5[[#This Row],[Unfollows]]</f>
        <v>698</v>
      </c>
      <c r="I164" s="16">
        <f t="shared" si="2"/>
        <v>2.4617598408673293E-3</v>
      </c>
    </row>
    <row r="165" spans="1:9" ht="15.75" customHeight="1" x14ac:dyDescent="0.25">
      <c r="A165" s="1">
        <v>45824</v>
      </c>
      <c r="B165" s="2" t="s">
        <v>8</v>
      </c>
      <c r="C165" s="3">
        <v>540</v>
      </c>
      <c r="D165" s="3">
        <v>215</v>
      </c>
      <c r="E165" s="3">
        <v>62837</v>
      </c>
      <c r="F165" s="4">
        <v>5.3</v>
      </c>
      <c r="G165" s="3">
        <v>10615</v>
      </c>
      <c r="H165" s="3">
        <f>Table5[[#This Row],[New_Followers]]-Table5[[#This Row],[Unfollows]]</f>
        <v>325</v>
      </c>
      <c r="I165" s="16">
        <f t="shared" si="2"/>
        <v>5.1721119722456512E-3</v>
      </c>
    </row>
    <row r="166" spans="1:9" ht="15.75" customHeight="1" x14ac:dyDescent="0.25">
      <c r="A166" s="1">
        <v>45824</v>
      </c>
      <c r="B166" s="2" t="s">
        <v>9</v>
      </c>
      <c r="C166" s="3">
        <v>1145</v>
      </c>
      <c r="D166" s="3">
        <v>151</v>
      </c>
      <c r="E166" s="3">
        <v>182759</v>
      </c>
      <c r="F166" s="4">
        <v>5.99</v>
      </c>
      <c r="G166" s="3">
        <v>20109</v>
      </c>
      <c r="H166" s="3">
        <f>Table5[[#This Row],[New_Followers]]-Table5[[#This Row],[Unfollows]]</f>
        <v>994</v>
      </c>
      <c r="I166" s="16">
        <f t="shared" si="2"/>
        <v>5.4388566363352828E-3</v>
      </c>
    </row>
    <row r="167" spans="1:9" ht="15.75" customHeight="1" x14ac:dyDescent="0.25">
      <c r="A167" s="1">
        <v>45831</v>
      </c>
      <c r="B167" s="2" t="s">
        <v>7</v>
      </c>
      <c r="C167" s="3">
        <v>564</v>
      </c>
      <c r="D167" s="3">
        <v>244</v>
      </c>
      <c r="E167" s="3">
        <v>279405</v>
      </c>
      <c r="F167" s="4">
        <v>8.43</v>
      </c>
      <c r="G167" s="3">
        <v>26024</v>
      </c>
      <c r="H167" s="3">
        <f>Table5[[#This Row],[New_Followers]]-Table5[[#This Row],[Unfollows]]</f>
        <v>320</v>
      </c>
      <c r="I167" s="16">
        <f t="shared" si="2"/>
        <v>1.1452908859898713E-3</v>
      </c>
    </row>
    <row r="168" spans="1:9" ht="15.75" customHeight="1" x14ac:dyDescent="0.25">
      <c r="A168" s="1">
        <v>45831</v>
      </c>
      <c r="B168" s="2" t="s">
        <v>8</v>
      </c>
      <c r="C168" s="3">
        <v>668</v>
      </c>
      <c r="D168" s="3">
        <v>124</v>
      </c>
      <c r="E168" s="3">
        <v>257485</v>
      </c>
      <c r="F168" s="4">
        <v>7.55</v>
      </c>
      <c r="G168" s="3">
        <v>26730</v>
      </c>
      <c r="H168" s="3">
        <f>Table5[[#This Row],[New_Followers]]-Table5[[#This Row],[Unfollows]]</f>
        <v>544</v>
      </c>
      <c r="I168" s="16">
        <f t="shared" si="2"/>
        <v>2.1127444317144686E-3</v>
      </c>
    </row>
    <row r="169" spans="1:9" ht="15.75" customHeight="1" x14ac:dyDescent="0.25">
      <c r="A169" s="1">
        <v>45831</v>
      </c>
      <c r="B169" s="2" t="s">
        <v>9</v>
      </c>
      <c r="C169" s="3">
        <v>761</v>
      </c>
      <c r="D169" s="3">
        <v>241</v>
      </c>
      <c r="E169" s="3">
        <v>154977</v>
      </c>
      <c r="F169" s="4">
        <v>5.63</v>
      </c>
      <c r="G169" s="3">
        <v>10563</v>
      </c>
      <c r="H169" s="3">
        <f>Table5[[#This Row],[New_Followers]]-Table5[[#This Row],[Unfollows]]</f>
        <v>520</v>
      </c>
      <c r="I169" s="16">
        <f t="shared" si="2"/>
        <v>3.3553365983339462E-3</v>
      </c>
    </row>
    <row r="170" spans="1:9" ht="15.75" customHeight="1" x14ac:dyDescent="0.25">
      <c r="A170" s="1">
        <v>45838</v>
      </c>
      <c r="B170" s="2" t="s">
        <v>7</v>
      </c>
      <c r="C170" s="3">
        <v>593</v>
      </c>
      <c r="D170" s="3">
        <v>108</v>
      </c>
      <c r="E170" s="3">
        <v>216500</v>
      </c>
      <c r="F170" s="4">
        <v>4.71</v>
      </c>
      <c r="G170" s="3">
        <v>27575</v>
      </c>
      <c r="H170" s="3">
        <f>Table5[[#This Row],[New_Followers]]-Table5[[#This Row],[Unfollows]]</f>
        <v>485</v>
      </c>
      <c r="I170" s="16">
        <f t="shared" si="2"/>
        <v>2.2401847575057735E-3</v>
      </c>
    </row>
    <row r="171" spans="1:9" ht="15.75" customHeight="1" x14ac:dyDescent="0.25">
      <c r="A171" s="1">
        <v>45838</v>
      </c>
      <c r="B171" s="2" t="s">
        <v>8</v>
      </c>
      <c r="C171" s="3">
        <v>1349</v>
      </c>
      <c r="D171" s="3">
        <v>115</v>
      </c>
      <c r="E171" s="3">
        <v>102102</v>
      </c>
      <c r="F171" s="4">
        <v>5.28</v>
      </c>
      <c r="G171" s="3">
        <v>14479</v>
      </c>
      <c r="H171" s="3">
        <f>Table5[[#This Row],[New_Followers]]-Table5[[#This Row],[Unfollows]]</f>
        <v>1234</v>
      </c>
      <c r="I171" s="16">
        <f t="shared" si="2"/>
        <v>1.208595326242385E-2</v>
      </c>
    </row>
    <row r="172" spans="1:9" ht="15.75" customHeight="1" x14ac:dyDescent="0.25">
      <c r="A172" s="1">
        <v>45838</v>
      </c>
      <c r="B172" s="2" t="s">
        <v>9</v>
      </c>
      <c r="C172" s="3">
        <v>693</v>
      </c>
      <c r="D172" s="3">
        <v>97</v>
      </c>
      <c r="E172" s="3">
        <v>92025</v>
      </c>
      <c r="F172" s="4">
        <v>5.95</v>
      </c>
      <c r="G172" s="3">
        <v>15915</v>
      </c>
      <c r="H172" s="3">
        <f>Table5[[#This Row],[New_Followers]]-Table5[[#This Row],[Unfollows]]</f>
        <v>596</v>
      </c>
      <c r="I172" s="16">
        <f t="shared" si="2"/>
        <v>6.4765009508285796E-3</v>
      </c>
    </row>
    <row r="173" spans="1:9" ht="15.75" customHeight="1" x14ac:dyDescent="0.25">
      <c r="A173" s="1">
        <v>45845</v>
      </c>
      <c r="B173" s="2" t="s">
        <v>7</v>
      </c>
      <c r="C173" s="3">
        <v>974</v>
      </c>
      <c r="D173" s="3">
        <v>143</v>
      </c>
      <c r="E173" s="3">
        <v>247965</v>
      </c>
      <c r="F173" s="4">
        <v>9.98</v>
      </c>
      <c r="G173" s="3">
        <v>12767</v>
      </c>
      <c r="H173" s="3">
        <f>Table5[[#This Row],[New_Followers]]-Table5[[#This Row],[Unfollows]]</f>
        <v>831</v>
      </c>
      <c r="I173" s="16">
        <f t="shared" si="2"/>
        <v>3.3512794144334888E-3</v>
      </c>
    </row>
    <row r="174" spans="1:9" ht="15.75" customHeight="1" x14ac:dyDescent="0.25">
      <c r="A174" s="1">
        <v>45845</v>
      </c>
      <c r="B174" s="2" t="s">
        <v>8</v>
      </c>
      <c r="C174" s="3">
        <v>1155</v>
      </c>
      <c r="D174" s="3">
        <v>122</v>
      </c>
      <c r="E174" s="3">
        <v>387352</v>
      </c>
      <c r="F174" s="4">
        <v>9.93</v>
      </c>
      <c r="G174" s="3">
        <v>12170</v>
      </c>
      <c r="H174" s="3">
        <f>Table5[[#This Row],[New_Followers]]-Table5[[#This Row],[Unfollows]]</f>
        <v>1033</v>
      </c>
      <c r="I174" s="16">
        <f t="shared" si="2"/>
        <v>2.6668250067122413E-3</v>
      </c>
    </row>
    <row r="175" spans="1:9" ht="15.75" customHeight="1" x14ac:dyDescent="0.25">
      <c r="A175" s="1">
        <v>45845</v>
      </c>
      <c r="B175" s="2" t="s">
        <v>9</v>
      </c>
      <c r="C175" s="3">
        <v>1051</v>
      </c>
      <c r="D175" s="3">
        <v>246</v>
      </c>
      <c r="E175" s="3">
        <v>253985</v>
      </c>
      <c r="F175" s="4">
        <v>9.08</v>
      </c>
      <c r="G175" s="3">
        <v>7245</v>
      </c>
      <c r="H175" s="3">
        <f>Table5[[#This Row],[New_Followers]]-Table5[[#This Row],[Unfollows]]</f>
        <v>805</v>
      </c>
      <c r="I175" s="16">
        <f t="shared" si="2"/>
        <v>3.1694785125105812E-3</v>
      </c>
    </row>
    <row r="176" spans="1:9" ht="15.75" customHeight="1" x14ac:dyDescent="0.25">
      <c r="A176" s="1">
        <v>45852</v>
      </c>
      <c r="B176" s="2" t="s">
        <v>7</v>
      </c>
      <c r="C176" s="3">
        <v>1457</v>
      </c>
      <c r="D176" s="3">
        <v>183</v>
      </c>
      <c r="E176" s="3">
        <v>129640</v>
      </c>
      <c r="F176" s="4">
        <v>7.98</v>
      </c>
      <c r="G176" s="3">
        <v>12985</v>
      </c>
      <c r="H176" s="3">
        <f>Table5[[#This Row],[New_Followers]]-Table5[[#This Row],[Unfollows]]</f>
        <v>1274</v>
      </c>
      <c r="I176" s="16">
        <f t="shared" si="2"/>
        <v>9.827213822894169E-3</v>
      </c>
    </row>
    <row r="177" spans="1:9" ht="15.75" customHeight="1" x14ac:dyDescent="0.25">
      <c r="A177" s="1">
        <v>45852</v>
      </c>
      <c r="B177" s="2" t="s">
        <v>8</v>
      </c>
      <c r="C177" s="3">
        <v>670</v>
      </c>
      <c r="D177" s="3">
        <v>242</v>
      </c>
      <c r="E177" s="3">
        <v>281913</v>
      </c>
      <c r="F177" s="4">
        <v>9.6199999999999992</v>
      </c>
      <c r="G177" s="3">
        <v>16377</v>
      </c>
      <c r="H177" s="3">
        <f>Table5[[#This Row],[New_Followers]]-Table5[[#This Row],[Unfollows]]</f>
        <v>428</v>
      </c>
      <c r="I177" s="16">
        <f t="shared" si="2"/>
        <v>1.5181988769584942E-3</v>
      </c>
    </row>
    <row r="178" spans="1:9" ht="15.75" customHeight="1" x14ac:dyDescent="0.25">
      <c r="A178" s="1">
        <v>45852</v>
      </c>
      <c r="B178" s="2" t="s">
        <v>9</v>
      </c>
      <c r="C178" s="3">
        <v>1111</v>
      </c>
      <c r="D178" s="3">
        <v>159</v>
      </c>
      <c r="E178" s="3">
        <v>360770</v>
      </c>
      <c r="F178" s="4">
        <v>8.7100000000000009</v>
      </c>
      <c r="G178" s="3">
        <v>11453</v>
      </c>
      <c r="H178" s="3">
        <f>Table5[[#This Row],[New_Followers]]-Table5[[#This Row],[Unfollows]]</f>
        <v>952</v>
      </c>
      <c r="I178" s="16">
        <f t="shared" si="2"/>
        <v>2.6388003437092886E-3</v>
      </c>
    </row>
    <row r="179" spans="1:9" ht="15.75" customHeight="1" x14ac:dyDescent="0.25">
      <c r="A179" s="1">
        <v>45859</v>
      </c>
      <c r="B179" s="2" t="s">
        <v>7</v>
      </c>
      <c r="C179" s="3">
        <v>1197</v>
      </c>
      <c r="D179" s="3">
        <v>246</v>
      </c>
      <c r="E179" s="3">
        <v>127273</v>
      </c>
      <c r="F179" s="4">
        <v>6.69</v>
      </c>
      <c r="G179" s="3">
        <v>12323</v>
      </c>
      <c r="H179" s="3">
        <f>Table5[[#This Row],[New_Followers]]-Table5[[#This Row],[Unfollows]]</f>
        <v>951</v>
      </c>
      <c r="I179" s="16">
        <f t="shared" si="2"/>
        <v>7.4721268454424738E-3</v>
      </c>
    </row>
    <row r="180" spans="1:9" ht="15.75" customHeight="1" x14ac:dyDescent="0.25">
      <c r="A180" s="1">
        <v>45859</v>
      </c>
      <c r="B180" s="2" t="s">
        <v>8</v>
      </c>
      <c r="C180" s="3">
        <v>754</v>
      </c>
      <c r="D180" s="3">
        <v>150</v>
      </c>
      <c r="E180" s="3">
        <v>189622</v>
      </c>
      <c r="F180" s="4">
        <v>4.25</v>
      </c>
      <c r="G180" s="3">
        <v>11911</v>
      </c>
      <c r="H180" s="3">
        <f>Table5[[#This Row],[New_Followers]]-Table5[[#This Row],[Unfollows]]</f>
        <v>604</v>
      </c>
      <c r="I180" s="16">
        <f t="shared" si="2"/>
        <v>3.1852844079273504E-3</v>
      </c>
    </row>
    <row r="181" spans="1:9" ht="15.75" customHeight="1" x14ac:dyDescent="0.25">
      <c r="A181" s="1">
        <v>45859</v>
      </c>
      <c r="B181" s="2" t="s">
        <v>9</v>
      </c>
      <c r="C181" s="3">
        <v>1246</v>
      </c>
      <c r="D181" s="3">
        <v>107</v>
      </c>
      <c r="E181" s="3">
        <v>350949</v>
      </c>
      <c r="F181" s="4">
        <v>4.9800000000000004</v>
      </c>
      <c r="G181" s="3">
        <v>27809</v>
      </c>
      <c r="H181" s="3">
        <f>Table5[[#This Row],[New_Followers]]-Table5[[#This Row],[Unfollows]]</f>
        <v>1139</v>
      </c>
      <c r="I181" s="16">
        <f t="shared" si="2"/>
        <v>3.2454858113287115E-3</v>
      </c>
    </row>
    <row r="182" spans="1:9" ht="15.75" customHeight="1" x14ac:dyDescent="0.25">
      <c r="A182" s="1">
        <v>45866</v>
      </c>
      <c r="B182" s="2" t="s">
        <v>7</v>
      </c>
      <c r="C182" s="3">
        <v>780</v>
      </c>
      <c r="D182" s="3">
        <v>213</v>
      </c>
      <c r="E182" s="3">
        <v>121431</v>
      </c>
      <c r="F182" s="4">
        <v>4.97</v>
      </c>
      <c r="G182" s="3">
        <v>21464</v>
      </c>
      <c r="H182" s="3">
        <f>Table5[[#This Row],[New_Followers]]-Table5[[#This Row],[Unfollows]]</f>
        <v>567</v>
      </c>
      <c r="I182" s="16">
        <f t="shared" si="2"/>
        <v>4.669318378338316E-3</v>
      </c>
    </row>
    <row r="183" spans="1:9" ht="15.75" customHeight="1" x14ac:dyDescent="0.25">
      <c r="A183" s="1">
        <v>45866</v>
      </c>
      <c r="B183" s="2" t="s">
        <v>8</v>
      </c>
      <c r="C183" s="3">
        <v>1425</v>
      </c>
      <c r="D183" s="3">
        <v>143</v>
      </c>
      <c r="E183" s="3">
        <v>116742</v>
      </c>
      <c r="F183" s="4">
        <v>3.71</v>
      </c>
      <c r="G183" s="3">
        <v>27126</v>
      </c>
      <c r="H183" s="3">
        <f>Table5[[#This Row],[New_Followers]]-Table5[[#This Row],[Unfollows]]</f>
        <v>1282</v>
      </c>
      <c r="I183" s="16">
        <f t="shared" si="2"/>
        <v>1.0981480529715098E-2</v>
      </c>
    </row>
    <row r="184" spans="1:9" ht="15.75" customHeight="1" x14ac:dyDescent="0.25">
      <c r="A184" s="1">
        <v>45866</v>
      </c>
      <c r="B184" s="2" t="s">
        <v>9</v>
      </c>
      <c r="C184" s="3">
        <v>1490</v>
      </c>
      <c r="D184" s="3">
        <v>103</v>
      </c>
      <c r="E184" s="3">
        <v>81184</v>
      </c>
      <c r="F184" s="4">
        <v>7.79</v>
      </c>
      <c r="G184" s="3">
        <v>10681</v>
      </c>
      <c r="H184" s="3">
        <f>Table5[[#This Row],[New_Followers]]-Table5[[#This Row],[Unfollows]]</f>
        <v>1387</v>
      </c>
      <c r="I184" s="16">
        <f t="shared" si="2"/>
        <v>1.7084647221127316E-2</v>
      </c>
    </row>
    <row r="185" spans="1:9" ht="15.75" customHeight="1" x14ac:dyDescent="0.25">
      <c r="A185" s="1">
        <v>45873</v>
      </c>
      <c r="B185" s="2" t="s">
        <v>7</v>
      </c>
      <c r="C185" s="3">
        <v>949</v>
      </c>
      <c r="D185" s="3">
        <v>282</v>
      </c>
      <c r="E185" s="3">
        <v>87126</v>
      </c>
      <c r="F185" s="4">
        <v>4.96</v>
      </c>
      <c r="G185" s="3">
        <v>5413</v>
      </c>
      <c r="H185" s="3">
        <f>Table5[[#This Row],[New_Followers]]-Table5[[#This Row],[Unfollows]]</f>
        <v>667</v>
      </c>
      <c r="I185" s="16">
        <f t="shared" si="2"/>
        <v>7.6555792759910937E-3</v>
      </c>
    </row>
    <row r="186" spans="1:9" ht="15.75" customHeight="1" x14ac:dyDescent="0.25">
      <c r="A186" s="1">
        <v>45873</v>
      </c>
      <c r="B186" s="2" t="s">
        <v>8</v>
      </c>
      <c r="C186" s="3">
        <v>640</v>
      </c>
      <c r="D186" s="3">
        <v>141</v>
      </c>
      <c r="E186" s="3">
        <v>267546</v>
      </c>
      <c r="F186" s="4">
        <v>8.58</v>
      </c>
      <c r="G186" s="3">
        <v>25058</v>
      </c>
      <c r="H186" s="3">
        <f>Table5[[#This Row],[New_Followers]]-Table5[[#This Row],[Unfollows]]</f>
        <v>499</v>
      </c>
      <c r="I186" s="16">
        <f t="shared" si="2"/>
        <v>1.8650998332996943E-3</v>
      </c>
    </row>
    <row r="187" spans="1:9" ht="15.75" customHeight="1" x14ac:dyDescent="0.25">
      <c r="A187" s="1">
        <v>45873</v>
      </c>
      <c r="B187" s="2" t="s">
        <v>9</v>
      </c>
      <c r="C187" s="3">
        <v>616</v>
      </c>
      <c r="D187" s="3">
        <v>93</v>
      </c>
      <c r="E187" s="3">
        <v>133082</v>
      </c>
      <c r="F187" s="4">
        <v>8.51</v>
      </c>
      <c r="G187" s="3">
        <v>18303</v>
      </c>
      <c r="H187" s="3">
        <f>Table5[[#This Row],[New_Followers]]-Table5[[#This Row],[Unfollows]]</f>
        <v>523</v>
      </c>
      <c r="I187" s="16">
        <f t="shared" si="2"/>
        <v>3.9299078763469142E-3</v>
      </c>
    </row>
    <row r="188" spans="1:9" ht="15.75" customHeight="1" x14ac:dyDescent="0.25">
      <c r="A188" s="1">
        <v>45880</v>
      </c>
      <c r="B188" s="2" t="s">
        <v>7</v>
      </c>
      <c r="C188" s="3">
        <v>1080</v>
      </c>
      <c r="D188" s="3">
        <v>184</v>
      </c>
      <c r="E188" s="3">
        <v>340557</v>
      </c>
      <c r="F188" s="4">
        <v>5.41</v>
      </c>
      <c r="G188" s="3">
        <v>5526</v>
      </c>
      <c r="H188" s="3">
        <f>Table5[[#This Row],[New_Followers]]-Table5[[#This Row],[Unfollows]]</f>
        <v>896</v>
      </c>
      <c r="I188" s="16">
        <f t="shared" si="2"/>
        <v>2.6309839468870114E-3</v>
      </c>
    </row>
    <row r="189" spans="1:9" ht="15.75" customHeight="1" x14ac:dyDescent="0.25">
      <c r="A189" s="1">
        <v>45880</v>
      </c>
      <c r="B189" s="2" t="s">
        <v>8</v>
      </c>
      <c r="C189" s="3">
        <v>938</v>
      </c>
      <c r="D189" s="3">
        <v>236</v>
      </c>
      <c r="E189" s="3">
        <v>116472</v>
      </c>
      <c r="F189" s="4">
        <v>8.7200000000000006</v>
      </c>
      <c r="G189" s="3">
        <v>17460</v>
      </c>
      <c r="H189" s="3">
        <f>Table5[[#This Row],[New_Followers]]-Table5[[#This Row],[Unfollows]]</f>
        <v>702</v>
      </c>
      <c r="I189" s="16">
        <f t="shared" si="2"/>
        <v>6.0271996703070265E-3</v>
      </c>
    </row>
    <row r="190" spans="1:9" ht="15.75" customHeight="1" x14ac:dyDescent="0.25">
      <c r="A190" s="1">
        <v>45880</v>
      </c>
      <c r="B190" s="2" t="s">
        <v>9</v>
      </c>
      <c r="C190" s="3">
        <v>1007</v>
      </c>
      <c r="D190" s="3">
        <v>258</v>
      </c>
      <c r="E190" s="3">
        <v>113412</v>
      </c>
      <c r="F190" s="4">
        <v>7.71</v>
      </c>
      <c r="G190" s="3">
        <v>14475</v>
      </c>
      <c r="H190" s="3">
        <f>Table5[[#This Row],[New_Followers]]-Table5[[#This Row],[Unfollows]]</f>
        <v>749</v>
      </c>
      <c r="I190" s="16">
        <f t="shared" si="2"/>
        <v>6.6042394102916796E-3</v>
      </c>
    </row>
    <row r="191" spans="1:9" ht="15.75" customHeight="1" x14ac:dyDescent="0.25">
      <c r="A191" s="1">
        <v>45887</v>
      </c>
      <c r="B191" s="2" t="s">
        <v>7</v>
      </c>
      <c r="C191" s="3">
        <v>541</v>
      </c>
      <c r="D191" s="3">
        <v>208</v>
      </c>
      <c r="E191" s="3">
        <v>157547</v>
      </c>
      <c r="F191" s="4">
        <v>8.35</v>
      </c>
      <c r="G191" s="3">
        <v>20162</v>
      </c>
      <c r="H191" s="3">
        <f>Table5[[#This Row],[New_Followers]]-Table5[[#This Row],[Unfollows]]</f>
        <v>333</v>
      </c>
      <c r="I191" s="16">
        <f t="shared" si="2"/>
        <v>2.1136549728017671E-3</v>
      </c>
    </row>
    <row r="192" spans="1:9" ht="15.75" customHeight="1" x14ac:dyDescent="0.25">
      <c r="A192" s="1">
        <v>45887</v>
      </c>
      <c r="B192" s="2" t="s">
        <v>8</v>
      </c>
      <c r="C192" s="3">
        <v>745</v>
      </c>
      <c r="D192" s="3">
        <v>98</v>
      </c>
      <c r="E192" s="3">
        <v>354816</v>
      </c>
      <c r="F192" s="4">
        <v>4.03</v>
      </c>
      <c r="G192" s="3">
        <v>17103</v>
      </c>
      <c r="H192" s="3">
        <f>Table5[[#This Row],[New_Followers]]-Table5[[#This Row],[Unfollows]]</f>
        <v>647</v>
      </c>
      <c r="I192" s="16">
        <f t="shared" si="2"/>
        <v>1.823480339105339E-3</v>
      </c>
    </row>
    <row r="193" spans="1:9" ht="15.75" customHeight="1" x14ac:dyDescent="0.25">
      <c r="A193" s="1">
        <v>45887</v>
      </c>
      <c r="B193" s="2" t="s">
        <v>9</v>
      </c>
      <c r="C193" s="3">
        <v>936</v>
      </c>
      <c r="D193" s="3">
        <v>97</v>
      </c>
      <c r="E193" s="3">
        <v>151799</v>
      </c>
      <c r="F193" s="4">
        <v>9.3699999999999992</v>
      </c>
      <c r="G193" s="3">
        <v>15461</v>
      </c>
      <c r="H193" s="3">
        <f>Table5[[#This Row],[New_Followers]]-Table5[[#This Row],[Unfollows]]</f>
        <v>839</v>
      </c>
      <c r="I193" s="16">
        <f t="shared" si="2"/>
        <v>5.5270456327116777E-3</v>
      </c>
    </row>
    <row r="194" spans="1:9" ht="15.75" customHeight="1" x14ac:dyDescent="0.25">
      <c r="A194" s="1">
        <v>45894</v>
      </c>
      <c r="B194" s="2" t="s">
        <v>7</v>
      </c>
      <c r="C194" s="3">
        <v>1183</v>
      </c>
      <c r="D194" s="3">
        <v>223</v>
      </c>
      <c r="E194" s="3">
        <v>143811</v>
      </c>
      <c r="F194" s="4">
        <v>6.07</v>
      </c>
      <c r="G194" s="3">
        <v>22103</v>
      </c>
      <c r="H194" s="3">
        <f>Table5[[#This Row],[New_Followers]]-Table5[[#This Row],[Unfollows]]</f>
        <v>960</v>
      </c>
      <c r="I194" s="16">
        <f t="shared" si="2"/>
        <v>6.6754281661347186E-3</v>
      </c>
    </row>
    <row r="195" spans="1:9" ht="15.75" customHeight="1" x14ac:dyDescent="0.25">
      <c r="A195" s="1">
        <v>45894</v>
      </c>
      <c r="B195" s="2" t="s">
        <v>8</v>
      </c>
      <c r="C195" s="3">
        <v>1413</v>
      </c>
      <c r="D195" s="3">
        <v>245</v>
      </c>
      <c r="E195" s="3">
        <v>296450</v>
      </c>
      <c r="F195" s="4">
        <v>6.52</v>
      </c>
      <c r="G195" s="3">
        <v>11625</v>
      </c>
      <c r="H195" s="3">
        <f>Table5[[#This Row],[New_Followers]]-Table5[[#This Row],[Unfollows]]</f>
        <v>1168</v>
      </c>
      <c r="I195" s="16">
        <f t="shared" ref="I195:I201" si="3">(C195-D195)/E195</f>
        <v>3.9399561477483558E-3</v>
      </c>
    </row>
    <row r="196" spans="1:9" ht="15.75" customHeight="1" x14ac:dyDescent="0.25">
      <c r="A196" s="1">
        <v>45894</v>
      </c>
      <c r="B196" s="2" t="s">
        <v>9</v>
      </c>
      <c r="C196" s="3">
        <v>791</v>
      </c>
      <c r="D196" s="3">
        <v>273</v>
      </c>
      <c r="E196" s="3">
        <v>144049</v>
      </c>
      <c r="F196" s="4">
        <v>3.08</v>
      </c>
      <c r="G196" s="3">
        <v>5281</v>
      </c>
      <c r="H196" s="3">
        <f>Table5[[#This Row],[New_Followers]]-Table5[[#This Row],[Unfollows]]</f>
        <v>518</v>
      </c>
      <c r="I196" s="16">
        <f t="shared" si="3"/>
        <v>3.5959985838152297E-3</v>
      </c>
    </row>
    <row r="197" spans="1:9" ht="15.75" customHeight="1" x14ac:dyDescent="0.25">
      <c r="A197" s="1">
        <v>45901</v>
      </c>
      <c r="B197" s="2" t="s">
        <v>7</v>
      </c>
      <c r="C197" s="3">
        <v>1052</v>
      </c>
      <c r="D197" s="3">
        <v>180</v>
      </c>
      <c r="E197" s="3">
        <v>272534</v>
      </c>
      <c r="F197" s="4">
        <v>5.34</v>
      </c>
      <c r="G197" s="3">
        <v>13424</v>
      </c>
      <c r="H197" s="3">
        <f>Table5[[#This Row],[New_Followers]]-Table5[[#This Row],[Unfollows]]</f>
        <v>872</v>
      </c>
      <c r="I197" s="16">
        <f t="shared" si="3"/>
        <v>3.1996007837554212E-3</v>
      </c>
    </row>
    <row r="198" spans="1:9" ht="15.75" customHeight="1" x14ac:dyDescent="0.25">
      <c r="A198" s="1">
        <v>45901</v>
      </c>
      <c r="B198" s="2" t="s">
        <v>8</v>
      </c>
      <c r="C198" s="3">
        <v>572</v>
      </c>
      <c r="D198" s="3">
        <v>270</v>
      </c>
      <c r="E198" s="3">
        <v>82265</v>
      </c>
      <c r="F198" s="4">
        <v>3.65</v>
      </c>
      <c r="G198" s="3">
        <v>13140</v>
      </c>
      <c r="H198" s="3">
        <f>Table5[[#This Row],[New_Followers]]-Table5[[#This Row],[Unfollows]]</f>
        <v>302</v>
      </c>
      <c r="I198" s="16">
        <f t="shared" si="3"/>
        <v>3.6710630280192063E-3</v>
      </c>
    </row>
    <row r="199" spans="1:9" ht="15.75" customHeight="1" x14ac:dyDescent="0.25">
      <c r="A199" s="1">
        <v>45901</v>
      </c>
      <c r="B199" s="2" t="s">
        <v>9</v>
      </c>
      <c r="C199" s="3">
        <v>503</v>
      </c>
      <c r="D199" s="3">
        <v>253</v>
      </c>
      <c r="E199" s="3">
        <v>313562</v>
      </c>
      <c r="F199" s="4">
        <v>4.18</v>
      </c>
      <c r="G199" s="3">
        <v>19538</v>
      </c>
      <c r="H199" s="3">
        <f>Table5[[#This Row],[New_Followers]]-Table5[[#This Row],[Unfollows]]</f>
        <v>250</v>
      </c>
      <c r="I199" s="16">
        <f t="shared" si="3"/>
        <v>7.9729048800556194E-4</v>
      </c>
    </row>
    <row r="200" spans="1:9" ht="15.75" customHeight="1" x14ac:dyDescent="0.25">
      <c r="A200" s="1">
        <v>45908</v>
      </c>
      <c r="B200" s="2" t="s">
        <v>7</v>
      </c>
      <c r="C200" s="3">
        <v>1017</v>
      </c>
      <c r="D200" s="3">
        <v>197</v>
      </c>
      <c r="E200" s="3">
        <v>89918</v>
      </c>
      <c r="F200" s="4">
        <v>3.91</v>
      </c>
      <c r="G200" s="3">
        <v>7881</v>
      </c>
      <c r="H200" s="3">
        <f>Table5[[#This Row],[New_Followers]]-Table5[[#This Row],[Unfollows]]</f>
        <v>820</v>
      </c>
      <c r="I200" s="16">
        <f t="shared" si="3"/>
        <v>9.1194199159233963E-3</v>
      </c>
    </row>
    <row r="201" spans="1:9" ht="15.75" customHeight="1" x14ac:dyDescent="0.25">
      <c r="A201" s="1">
        <v>45908</v>
      </c>
      <c r="B201" s="2" t="s">
        <v>8</v>
      </c>
      <c r="C201" s="3">
        <v>860</v>
      </c>
      <c r="D201" s="3">
        <v>244</v>
      </c>
      <c r="E201" s="3">
        <v>348686</v>
      </c>
      <c r="F201" s="4">
        <v>5.12</v>
      </c>
      <c r="G201" s="3">
        <v>11418</v>
      </c>
      <c r="H201" s="3">
        <f>Table5[[#This Row],[New_Followers]]-Table5[[#This Row],[Unfollows]]</f>
        <v>616</v>
      </c>
      <c r="I201" s="16">
        <f t="shared" si="3"/>
        <v>1.7666324429429343E-3</v>
      </c>
    </row>
    <row r="202" spans="1:9" ht="15.75" customHeight="1" x14ac:dyDescent="0.25"/>
    <row r="203" spans="1:9" ht="15.75" customHeight="1" x14ac:dyDescent="0.25"/>
    <row r="204" spans="1:9" ht="15.75" customHeight="1" x14ac:dyDescent="0.25"/>
    <row r="205" spans="1:9" ht="15.75" customHeight="1" x14ac:dyDescent="0.25"/>
    <row r="206" spans="1:9" ht="15.75" customHeight="1" x14ac:dyDescent="0.25"/>
    <row r="207" spans="1:9" ht="15.75" customHeight="1" x14ac:dyDescent="0.25"/>
    <row r="208" spans="1:9"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Avg Engagement by Platform</vt:lpstr>
      <vt:lpstr>Weekly Follower Growth Trend</vt:lpstr>
      <vt:lpstr>Ad Spend vs. Engagement</vt:lpstr>
      <vt:lpstr>Engagement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Mudabir Lateef</dc:creator>
  <cp:lastModifiedBy>Mudabir Lateef</cp:lastModifiedBy>
  <dcterms:created xsi:type="dcterms:W3CDTF">2015-06-05T18:17:20Z</dcterms:created>
  <dcterms:modified xsi:type="dcterms:W3CDTF">2026-02-20T17:33:29Z</dcterms:modified>
</cp:coreProperties>
</file>