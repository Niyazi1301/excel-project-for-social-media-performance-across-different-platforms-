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e0461eba42148713/Dokumen/Spotify_Social_Media_Analytics_Project/"/>
    </mc:Choice>
  </mc:AlternateContent>
  <xr:revisionPtr revIDLastSave="23" documentId="11_F25DC773A252ABDACC1048FAA99C486C5BDE58ED" xr6:coauthVersionLast="47" xr6:coauthVersionMax="47" xr10:uidLastSave="{4C83BCEC-7B56-4274-84A5-C51395B2579D}"/>
  <bookViews>
    <workbookView xWindow="-120" yWindow="-120" windowWidth="20730" windowHeight="11760" firstSheet="3" activeTab="3" xr2:uid="{00000000-000D-0000-FFFF-FFFF00000000}"/>
  </bookViews>
  <sheets>
    <sheet name="Engagement Summary" sheetId="9" r:id="rId1"/>
    <sheet name="Campaign Metadata " sheetId="8" r:id="rId2"/>
    <sheet name="Posts" sheetId="7" r:id="rId3"/>
    <sheet name="Sheet4" sheetId="10" r:id="rId4"/>
  </sheets>
  <externalReferences>
    <externalReference r:id="rId5"/>
  </externalReferences>
  <calcPr calcId="191029"/>
  <pivotCaches>
    <pivotCache cacheId="1" r:id="rId6"/>
    <pivotCache cacheId="2" r:id="rId7"/>
    <pivotCache cacheId="3" r:id="rId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mpaign Metadata_331f7973-3f89-477c-a8c8-29eb31fd0923" name="Campaign Metadata" connection="Excel Task 1 - Data Cleaning.xlsx 2"/>
          <x15:modelTable id="Posts1_59b733f8-d7d3-4ac6-b657-06d3f5af3c9f" name="Posts1" connection="Excel Task 1 - Data Cleaning.xlsx 2"/>
          <x15:modelTable id="Engagement Summary_71e5e104-6185-4a1a-b34e-5e33d4c8519c" name="Engagement Summary" connection="Excel Task 1 - Data Cleaning.xlsx"/>
          <x15:modelTable id="Calendar" name="Date Table" connection="Connec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10" l="1"/>
  <c r="D26" i="10"/>
  <c r="D27" i="10"/>
  <c r="D24" i="10"/>
  <c r="N13" i="10"/>
  <c r="N14" i="10"/>
  <c r="N15" i="10"/>
  <c r="N12" i="10"/>
  <c r="J3" i="8"/>
  <c r="J4" i="8"/>
  <c r="J5" i="8"/>
  <c r="J2" i="8"/>
  <c r="I3" i="8"/>
  <c r="I4" i="8"/>
  <c r="I5" i="8"/>
  <c r="I2" i="8"/>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 i="9"/>
  <c r="R3"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R295" i="7"/>
  <c r="R296" i="7"/>
  <c r="R297" i="7"/>
  <c r="R298" i="7"/>
  <c r="R299" i="7"/>
  <c r="R300" i="7"/>
  <c r="R301" i="7"/>
  <c r="R2" i="7"/>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2" i="7"/>
  <c r="E5" i="8" l="1"/>
  <c r="E4" i="8"/>
  <c r="E3" i="8"/>
  <c r="E2" i="8"/>
  <c r="O301" i="7"/>
  <c r="N301" i="7"/>
  <c r="O300" i="7"/>
  <c r="N300" i="7"/>
  <c r="O299" i="7"/>
  <c r="N299" i="7"/>
  <c r="O298" i="7"/>
  <c r="P298" i="7" s="1"/>
  <c r="N298" i="7"/>
  <c r="O297" i="7"/>
  <c r="N297" i="7"/>
  <c r="O296" i="7"/>
  <c r="N296" i="7"/>
  <c r="O295" i="7"/>
  <c r="N295" i="7"/>
  <c r="P295" i="7" s="1"/>
  <c r="O294" i="7"/>
  <c r="N294" i="7"/>
  <c r="O293" i="7"/>
  <c r="N293" i="7"/>
  <c r="O292" i="7"/>
  <c r="N292" i="7"/>
  <c r="O291" i="7"/>
  <c r="N291" i="7"/>
  <c r="O290" i="7"/>
  <c r="P290" i="7" s="1"/>
  <c r="N290" i="7"/>
  <c r="O289" i="7"/>
  <c r="N289" i="7"/>
  <c r="O288" i="7"/>
  <c r="N288" i="7"/>
  <c r="O287" i="7"/>
  <c r="N287" i="7"/>
  <c r="P287" i="7" s="1"/>
  <c r="O286" i="7"/>
  <c r="P286" i="7" s="1"/>
  <c r="N286" i="7"/>
  <c r="O285" i="7"/>
  <c r="N285" i="7"/>
  <c r="O284" i="7"/>
  <c r="N284" i="7"/>
  <c r="O283" i="7"/>
  <c r="N283" i="7"/>
  <c r="P283" i="7" s="1"/>
  <c r="P282" i="7"/>
  <c r="O282" i="7"/>
  <c r="N282" i="7"/>
  <c r="O281" i="7"/>
  <c r="N281" i="7"/>
  <c r="O280" i="7"/>
  <c r="N280" i="7"/>
  <c r="O279" i="7"/>
  <c r="N279" i="7"/>
  <c r="P279" i="7" s="1"/>
  <c r="O278" i="7"/>
  <c r="N278" i="7"/>
  <c r="O277" i="7"/>
  <c r="N277" i="7"/>
  <c r="O276" i="7"/>
  <c r="N276" i="7"/>
  <c r="O275" i="7"/>
  <c r="N275" i="7"/>
  <c r="O274" i="7"/>
  <c r="P274" i="7" s="1"/>
  <c r="N274" i="7"/>
  <c r="O273" i="7"/>
  <c r="N273" i="7"/>
  <c r="O272" i="7"/>
  <c r="N272" i="7"/>
  <c r="O271" i="7"/>
  <c r="N271" i="7"/>
  <c r="P271" i="7" s="1"/>
  <c r="O270" i="7"/>
  <c r="P270" i="7" s="1"/>
  <c r="N270" i="7"/>
  <c r="O269" i="7"/>
  <c r="N269" i="7"/>
  <c r="O268" i="7"/>
  <c r="N268" i="7"/>
  <c r="O267" i="7"/>
  <c r="N267" i="7"/>
  <c r="P267" i="7" s="1"/>
  <c r="P266" i="7"/>
  <c r="O266" i="7"/>
  <c r="N266" i="7"/>
  <c r="O265" i="7"/>
  <c r="P265" i="7" s="1"/>
  <c r="N265" i="7"/>
  <c r="O264" i="7"/>
  <c r="N264" i="7"/>
  <c r="O263" i="7"/>
  <c r="N263" i="7"/>
  <c r="O262" i="7"/>
  <c r="N262" i="7"/>
  <c r="O261" i="7"/>
  <c r="P261" i="7" s="1"/>
  <c r="N261" i="7"/>
  <c r="O260" i="7"/>
  <c r="N260" i="7"/>
  <c r="O259" i="7"/>
  <c r="N259" i="7"/>
  <c r="O258" i="7"/>
  <c r="P258" i="7" s="1"/>
  <c r="N258" i="7"/>
  <c r="O257" i="7"/>
  <c r="P257" i="7" s="1"/>
  <c r="N257" i="7"/>
  <c r="O256" i="7"/>
  <c r="N256" i="7"/>
  <c r="O255" i="7"/>
  <c r="N255" i="7"/>
  <c r="O254" i="7"/>
  <c r="N254" i="7"/>
  <c r="O253" i="7"/>
  <c r="P253" i="7" s="1"/>
  <c r="N253" i="7"/>
  <c r="O252" i="7"/>
  <c r="N252" i="7"/>
  <c r="O251" i="7"/>
  <c r="N251" i="7"/>
  <c r="O250" i="7"/>
  <c r="P250" i="7" s="1"/>
  <c r="N250" i="7"/>
  <c r="O249" i="7"/>
  <c r="N249" i="7"/>
  <c r="O248" i="7"/>
  <c r="N248" i="7"/>
  <c r="O247" i="7"/>
  <c r="N247" i="7"/>
  <c r="O246" i="7"/>
  <c r="P246" i="7" s="1"/>
  <c r="N246" i="7"/>
  <c r="O245" i="7"/>
  <c r="N245" i="7"/>
  <c r="O244" i="7"/>
  <c r="N244" i="7"/>
  <c r="O243" i="7"/>
  <c r="N243" i="7"/>
  <c r="P243" i="7" s="1"/>
  <c r="P242" i="7"/>
  <c r="O242" i="7"/>
  <c r="N242" i="7"/>
  <c r="O241" i="7"/>
  <c r="N241" i="7"/>
  <c r="O240" i="7"/>
  <c r="N240" i="7"/>
  <c r="O239" i="7"/>
  <c r="N239" i="7"/>
  <c r="O238" i="7"/>
  <c r="P238" i="7" s="1"/>
  <c r="N238" i="7"/>
  <c r="O237" i="7"/>
  <c r="N237" i="7"/>
  <c r="O236" i="7"/>
  <c r="N236" i="7"/>
  <c r="O235" i="7"/>
  <c r="N235" i="7"/>
  <c r="P235" i="7" s="1"/>
  <c r="P234" i="7"/>
  <c r="O234" i="7"/>
  <c r="N234" i="7"/>
  <c r="O233" i="7"/>
  <c r="P233" i="7" s="1"/>
  <c r="N233" i="7"/>
  <c r="O232" i="7"/>
  <c r="N232" i="7"/>
  <c r="O231" i="7"/>
  <c r="N231" i="7"/>
  <c r="O230" i="7"/>
  <c r="N230" i="7"/>
  <c r="O229" i="7"/>
  <c r="P229" i="7" s="1"/>
  <c r="N229" i="7"/>
  <c r="O228" i="7"/>
  <c r="N228" i="7"/>
  <c r="O227" i="7"/>
  <c r="N227" i="7"/>
  <c r="O226" i="7"/>
  <c r="P226" i="7" s="1"/>
  <c r="N226" i="7"/>
  <c r="O225" i="7"/>
  <c r="P225" i="7" s="1"/>
  <c r="N225" i="7"/>
  <c r="O224" i="7"/>
  <c r="N224" i="7"/>
  <c r="O223" i="7"/>
  <c r="N223" i="7"/>
  <c r="O222" i="7"/>
  <c r="N222" i="7"/>
  <c r="O221" i="7"/>
  <c r="P221" i="7" s="1"/>
  <c r="N221" i="7"/>
  <c r="O220" i="7"/>
  <c r="N220" i="7"/>
  <c r="O219" i="7"/>
  <c r="N219" i="7"/>
  <c r="O218" i="7"/>
  <c r="P218" i="7" s="1"/>
  <c r="N218" i="7"/>
  <c r="O217" i="7"/>
  <c r="N217" i="7"/>
  <c r="O216" i="7"/>
  <c r="N216" i="7"/>
  <c r="O215" i="7"/>
  <c r="N215" i="7"/>
  <c r="O214" i="7"/>
  <c r="P214" i="7" s="1"/>
  <c r="N214" i="7"/>
  <c r="O213" i="7"/>
  <c r="N213" i="7"/>
  <c r="O212" i="7"/>
  <c r="N212" i="7"/>
  <c r="O211" i="7"/>
  <c r="N211" i="7"/>
  <c r="P211" i="7" s="1"/>
  <c r="P210" i="7"/>
  <c r="O210" i="7"/>
  <c r="N210" i="7"/>
  <c r="O209" i="7"/>
  <c r="N209" i="7"/>
  <c r="O208" i="7"/>
  <c r="N208" i="7"/>
  <c r="O207" i="7"/>
  <c r="N207" i="7"/>
  <c r="O206" i="7"/>
  <c r="P206" i="7" s="1"/>
  <c r="N206" i="7"/>
  <c r="O205" i="7"/>
  <c r="N205" i="7"/>
  <c r="O204" i="7"/>
  <c r="N204" i="7"/>
  <c r="O203" i="7"/>
  <c r="N203" i="7"/>
  <c r="P203" i="7" s="1"/>
  <c r="P202" i="7"/>
  <c r="O202" i="7"/>
  <c r="N202" i="7"/>
  <c r="O201" i="7"/>
  <c r="P201" i="7" s="1"/>
  <c r="N201" i="7"/>
  <c r="O200" i="7"/>
  <c r="N200" i="7"/>
  <c r="O199" i="7"/>
  <c r="N199" i="7"/>
  <c r="O198" i="7"/>
  <c r="N198" i="7"/>
  <c r="O197" i="7"/>
  <c r="P197" i="7" s="1"/>
  <c r="N197" i="7"/>
  <c r="O196" i="7"/>
  <c r="N196" i="7"/>
  <c r="O195" i="7"/>
  <c r="N195" i="7"/>
  <c r="O194" i="7"/>
  <c r="P194" i="7" s="1"/>
  <c r="N194" i="7"/>
  <c r="O193" i="7"/>
  <c r="P193" i="7" s="1"/>
  <c r="N193" i="7"/>
  <c r="O192" i="7"/>
  <c r="N192" i="7"/>
  <c r="O191" i="7"/>
  <c r="N191" i="7"/>
  <c r="O190" i="7"/>
  <c r="N190" i="7"/>
  <c r="O189" i="7"/>
  <c r="P189" i="7" s="1"/>
  <c r="N189" i="7"/>
  <c r="O188" i="7"/>
  <c r="N188" i="7"/>
  <c r="O187" i="7"/>
  <c r="N187" i="7"/>
  <c r="O186" i="7"/>
  <c r="P186" i="7" s="1"/>
  <c r="N186" i="7"/>
  <c r="O185" i="7"/>
  <c r="N185" i="7"/>
  <c r="O184" i="7"/>
  <c r="N184" i="7"/>
  <c r="O183" i="7"/>
  <c r="N183" i="7"/>
  <c r="O182" i="7"/>
  <c r="P182" i="7" s="1"/>
  <c r="N182" i="7"/>
  <c r="O181" i="7"/>
  <c r="N181" i="7"/>
  <c r="O180" i="7"/>
  <c r="N180" i="7"/>
  <c r="O179" i="7"/>
  <c r="N179" i="7"/>
  <c r="P179" i="7" s="1"/>
  <c r="P178" i="7"/>
  <c r="O178" i="7"/>
  <c r="N178" i="7"/>
  <c r="O177" i="7"/>
  <c r="N177" i="7"/>
  <c r="O176" i="7"/>
  <c r="N176" i="7"/>
  <c r="O175" i="7"/>
  <c r="N175" i="7"/>
  <c r="O174" i="7"/>
  <c r="P174" i="7" s="1"/>
  <c r="N174" i="7"/>
  <c r="O173" i="7"/>
  <c r="N173" i="7"/>
  <c r="O172" i="7"/>
  <c r="N172" i="7"/>
  <c r="O171" i="7"/>
  <c r="N171" i="7"/>
  <c r="P171" i="7" s="1"/>
  <c r="P170" i="7"/>
  <c r="O170" i="7"/>
  <c r="N170" i="7"/>
  <c r="O169" i="7"/>
  <c r="P169" i="7" s="1"/>
  <c r="N169" i="7"/>
  <c r="O168" i="7"/>
  <c r="N168" i="7"/>
  <c r="O167" i="7"/>
  <c r="N167" i="7"/>
  <c r="O166" i="7"/>
  <c r="N166" i="7"/>
  <c r="O165" i="7"/>
  <c r="P165" i="7" s="1"/>
  <c r="N165" i="7"/>
  <c r="O164" i="7"/>
  <c r="N164" i="7"/>
  <c r="O163" i="7"/>
  <c r="N163" i="7"/>
  <c r="O162" i="7"/>
  <c r="P162" i="7" s="1"/>
  <c r="N162" i="7"/>
  <c r="O161" i="7"/>
  <c r="P161" i="7" s="1"/>
  <c r="N161" i="7"/>
  <c r="O160" i="7"/>
  <c r="N160" i="7"/>
  <c r="O159" i="7"/>
  <c r="N159" i="7"/>
  <c r="O158" i="7"/>
  <c r="N158" i="7"/>
  <c r="O157" i="7"/>
  <c r="P157" i="7" s="1"/>
  <c r="N157" i="7"/>
  <c r="O156" i="7"/>
  <c r="N156" i="7"/>
  <c r="O155" i="7"/>
  <c r="N155" i="7"/>
  <c r="O154" i="7"/>
  <c r="P154" i="7" s="1"/>
  <c r="N154" i="7"/>
  <c r="O153" i="7"/>
  <c r="N153" i="7"/>
  <c r="O152" i="7"/>
  <c r="N152" i="7"/>
  <c r="O151" i="7"/>
  <c r="N151" i="7"/>
  <c r="O150" i="7"/>
  <c r="P150" i="7" s="1"/>
  <c r="N150" i="7"/>
  <c r="O149" i="7"/>
  <c r="N149" i="7"/>
  <c r="O148" i="7"/>
  <c r="N148" i="7"/>
  <c r="O147" i="7"/>
  <c r="N147" i="7"/>
  <c r="P147" i="7" s="1"/>
  <c r="P146" i="7"/>
  <c r="O146" i="7"/>
  <c r="N146" i="7"/>
  <c r="O145" i="7"/>
  <c r="N145" i="7"/>
  <c r="O144" i="7"/>
  <c r="N144" i="7"/>
  <c r="O143" i="7"/>
  <c r="N143" i="7"/>
  <c r="O142" i="7"/>
  <c r="P142" i="7" s="1"/>
  <c r="N142" i="7"/>
  <c r="O141" i="7"/>
  <c r="N141" i="7"/>
  <c r="O140" i="7"/>
  <c r="N140" i="7"/>
  <c r="O139" i="7"/>
  <c r="N139" i="7"/>
  <c r="P139" i="7" s="1"/>
  <c r="P138" i="7"/>
  <c r="O138" i="7"/>
  <c r="N138" i="7"/>
  <c r="O137" i="7"/>
  <c r="P137" i="7" s="1"/>
  <c r="N137" i="7"/>
  <c r="O136" i="7"/>
  <c r="N136" i="7"/>
  <c r="O135" i="7"/>
  <c r="N135" i="7"/>
  <c r="O134" i="7"/>
  <c r="N134" i="7"/>
  <c r="O133" i="7"/>
  <c r="P133" i="7" s="1"/>
  <c r="N133" i="7"/>
  <c r="O132" i="7"/>
  <c r="N132" i="7"/>
  <c r="O131" i="7"/>
  <c r="N131" i="7"/>
  <c r="O130" i="7"/>
  <c r="P130" i="7" s="1"/>
  <c r="N130" i="7"/>
  <c r="O129" i="7"/>
  <c r="P129" i="7" s="1"/>
  <c r="N129" i="7"/>
  <c r="O128" i="7"/>
  <c r="N128" i="7"/>
  <c r="O127" i="7"/>
  <c r="N127" i="7"/>
  <c r="O126" i="7"/>
  <c r="N126" i="7"/>
  <c r="O125" i="7"/>
  <c r="P125" i="7" s="1"/>
  <c r="N125" i="7"/>
  <c r="O124" i="7"/>
  <c r="N124" i="7"/>
  <c r="O123" i="7"/>
  <c r="N123" i="7"/>
  <c r="O122" i="7"/>
  <c r="P122" i="7" s="1"/>
  <c r="N122" i="7"/>
  <c r="O121" i="7"/>
  <c r="N121" i="7"/>
  <c r="O120" i="7"/>
  <c r="N120" i="7"/>
  <c r="O119" i="7"/>
  <c r="N119" i="7"/>
  <c r="O118" i="7"/>
  <c r="P118" i="7" s="1"/>
  <c r="N118" i="7"/>
  <c r="O117" i="7"/>
  <c r="N117" i="7"/>
  <c r="P117" i="7" s="1"/>
  <c r="O116" i="7"/>
  <c r="N116" i="7"/>
  <c r="O115" i="7"/>
  <c r="N115" i="7"/>
  <c r="P115" i="7" s="1"/>
  <c r="P114" i="7"/>
  <c r="O114" i="7"/>
  <c r="N114" i="7"/>
  <c r="O113" i="7"/>
  <c r="N113" i="7"/>
  <c r="O112" i="7"/>
  <c r="N112" i="7"/>
  <c r="O111" i="7"/>
  <c r="N111" i="7"/>
  <c r="O110" i="7"/>
  <c r="P110" i="7" s="1"/>
  <c r="N110" i="7"/>
  <c r="O109" i="7"/>
  <c r="N109" i="7"/>
  <c r="P109" i="7" s="1"/>
  <c r="O108" i="7"/>
  <c r="N108" i="7"/>
  <c r="O107" i="7"/>
  <c r="N107" i="7"/>
  <c r="P107" i="7" s="1"/>
  <c r="P106" i="7"/>
  <c r="O106" i="7"/>
  <c r="N106" i="7"/>
  <c r="O105" i="7"/>
  <c r="P105" i="7" s="1"/>
  <c r="N105" i="7"/>
  <c r="O104" i="7"/>
  <c r="N104" i="7"/>
  <c r="O103" i="7"/>
  <c r="N103" i="7"/>
  <c r="O102" i="7"/>
  <c r="N102" i="7"/>
  <c r="O101" i="7"/>
  <c r="N101" i="7"/>
  <c r="O100" i="7"/>
  <c r="N100" i="7"/>
  <c r="O99" i="7"/>
  <c r="N99" i="7"/>
  <c r="O98" i="7"/>
  <c r="P98" i="7" s="1"/>
  <c r="N98" i="7"/>
  <c r="O97" i="7"/>
  <c r="P97" i="7" s="1"/>
  <c r="N97" i="7"/>
  <c r="O96" i="7"/>
  <c r="N96" i="7"/>
  <c r="O95" i="7"/>
  <c r="N95" i="7"/>
  <c r="O94" i="7"/>
  <c r="N94" i="7"/>
  <c r="O93" i="7"/>
  <c r="N93" i="7"/>
  <c r="O92" i="7"/>
  <c r="N92" i="7"/>
  <c r="O91" i="7"/>
  <c r="N91" i="7"/>
  <c r="O90" i="7"/>
  <c r="P90" i="7" s="1"/>
  <c r="N90" i="7"/>
  <c r="O89" i="7"/>
  <c r="N89" i="7"/>
  <c r="O88" i="7"/>
  <c r="N88" i="7"/>
  <c r="O87" i="7"/>
  <c r="N87" i="7"/>
  <c r="O86" i="7"/>
  <c r="P86" i="7" s="1"/>
  <c r="N86" i="7"/>
  <c r="O85" i="7"/>
  <c r="N85" i="7"/>
  <c r="P85" i="7" s="1"/>
  <c r="O84" i="7"/>
  <c r="N84" i="7"/>
  <c r="O83" i="7"/>
  <c r="N83" i="7"/>
  <c r="P83" i="7" s="1"/>
  <c r="P82" i="7"/>
  <c r="O82" i="7"/>
  <c r="N82" i="7"/>
  <c r="O81" i="7"/>
  <c r="N81" i="7"/>
  <c r="O80" i="7"/>
  <c r="N80" i="7"/>
  <c r="O79" i="7"/>
  <c r="N79" i="7"/>
  <c r="O78" i="7"/>
  <c r="P78" i="7" s="1"/>
  <c r="N78" i="7"/>
  <c r="O77" i="7"/>
  <c r="N77" i="7"/>
  <c r="P77" i="7" s="1"/>
  <c r="O76" i="7"/>
  <c r="N76" i="7"/>
  <c r="O75" i="7"/>
  <c r="N75" i="7"/>
  <c r="P75" i="7" s="1"/>
  <c r="P74" i="7"/>
  <c r="O74" i="7"/>
  <c r="N74" i="7"/>
  <c r="O73" i="7"/>
  <c r="P73" i="7" s="1"/>
  <c r="N73" i="7"/>
  <c r="O72" i="7"/>
  <c r="N72" i="7"/>
  <c r="O71" i="7"/>
  <c r="N71" i="7"/>
  <c r="O70" i="7"/>
  <c r="N70" i="7"/>
  <c r="O69" i="7"/>
  <c r="N69" i="7"/>
  <c r="O68" i="7"/>
  <c r="N68" i="7"/>
  <c r="O67" i="7"/>
  <c r="N67" i="7"/>
  <c r="O66" i="7"/>
  <c r="P66" i="7" s="1"/>
  <c r="N66" i="7"/>
  <c r="O65" i="7"/>
  <c r="P65" i="7" s="1"/>
  <c r="N65" i="7"/>
  <c r="O64" i="7"/>
  <c r="N64" i="7"/>
  <c r="O63" i="7"/>
  <c r="N63" i="7"/>
  <c r="O62" i="7"/>
  <c r="N62" i="7"/>
  <c r="O61" i="7"/>
  <c r="N61" i="7"/>
  <c r="O60" i="7"/>
  <c r="N60" i="7"/>
  <c r="O59" i="7"/>
  <c r="N59" i="7"/>
  <c r="O58" i="7"/>
  <c r="P58" i="7" s="1"/>
  <c r="N58" i="7"/>
  <c r="O57" i="7"/>
  <c r="N57" i="7"/>
  <c r="O56" i="7"/>
  <c r="N56" i="7"/>
  <c r="O55" i="7"/>
  <c r="N55" i="7"/>
  <c r="O54" i="7"/>
  <c r="P54" i="7" s="1"/>
  <c r="N54" i="7"/>
  <c r="O53" i="7"/>
  <c r="N53" i="7"/>
  <c r="P53" i="7" s="1"/>
  <c r="O52" i="7"/>
  <c r="N52" i="7"/>
  <c r="O51" i="7"/>
  <c r="N51" i="7"/>
  <c r="P51" i="7" s="1"/>
  <c r="P50" i="7"/>
  <c r="O50" i="7"/>
  <c r="N50" i="7"/>
  <c r="O49" i="7"/>
  <c r="N49" i="7"/>
  <c r="O48" i="7"/>
  <c r="N48" i="7"/>
  <c r="O47" i="7"/>
  <c r="N47" i="7"/>
  <c r="O46" i="7"/>
  <c r="N46" i="7"/>
  <c r="O45" i="7"/>
  <c r="N45" i="7"/>
  <c r="O44" i="7"/>
  <c r="P44" i="7" s="1"/>
  <c r="N44" i="7"/>
  <c r="O43" i="7"/>
  <c r="N43" i="7"/>
  <c r="P43" i="7" s="1"/>
  <c r="O42" i="7"/>
  <c r="N42" i="7"/>
  <c r="O41" i="7"/>
  <c r="N41" i="7"/>
  <c r="P41" i="7" s="1"/>
  <c r="P40" i="7"/>
  <c r="O40" i="7"/>
  <c r="N40" i="7"/>
  <c r="O39" i="7"/>
  <c r="P39" i="7" s="1"/>
  <c r="N39" i="7"/>
  <c r="O38" i="7"/>
  <c r="N38" i="7"/>
  <c r="O37" i="7"/>
  <c r="N37" i="7"/>
  <c r="O36" i="7"/>
  <c r="N36" i="7"/>
  <c r="O35" i="7"/>
  <c r="N35" i="7"/>
  <c r="O34" i="7"/>
  <c r="N34" i="7"/>
  <c r="O33" i="7"/>
  <c r="N33" i="7"/>
  <c r="O32" i="7"/>
  <c r="P32" i="7" s="1"/>
  <c r="N32" i="7"/>
  <c r="O31" i="7"/>
  <c r="P31" i="7" s="1"/>
  <c r="N31" i="7"/>
  <c r="O30" i="7"/>
  <c r="N30" i="7"/>
  <c r="O29" i="7"/>
  <c r="N29" i="7"/>
  <c r="O28" i="7"/>
  <c r="N28" i="7"/>
  <c r="O27" i="7"/>
  <c r="N27" i="7"/>
  <c r="O26" i="7"/>
  <c r="N26" i="7"/>
  <c r="O25" i="7"/>
  <c r="N25" i="7"/>
  <c r="O24" i="7"/>
  <c r="P24" i="7" s="1"/>
  <c r="N24" i="7"/>
  <c r="O23" i="7"/>
  <c r="N23" i="7"/>
  <c r="O22" i="7"/>
  <c r="N22" i="7"/>
  <c r="O21" i="7"/>
  <c r="N21" i="7"/>
  <c r="O20" i="7"/>
  <c r="P20" i="7" s="1"/>
  <c r="N20" i="7"/>
  <c r="O19" i="7"/>
  <c r="N19" i="7"/>
  <c r="P19" i="7" s="1"/>
  <c r="O18" i="7"/>
  <c r="N18" i="7"/>
  <c r="O17" i="7"/>
  <c r="N17" i="7"/>
  <c r="P17" i="7" s="1"/>
  <c r="P16" i="7"/>
  <c r="O16" i="7"/>
  <c r="N16" i="7"/>
  <c r="O15" i="7"/>
  <c r="N15" i="7"/>
  <c r="O14" i="7"/>
  <c r="N14" i="7"/>
  <c r="O13" i="7"/>
  <c r="N13" i="7"/>
  <c r="O12" i="7"/>
  <c r="P12" i="7" s="1"/>
  <c r="N12" i="7"/>
  <c r="O11" i="7"/>
  <c r="N11" i="7"/>
  <c r="P11" i="7" s="1"/>
  <c r="O10" i="7"/>
  <c r="N10" i="7"/>
  <c r="O9" i="7"/>
  <c r="N9" i="7"/>
  <c r="P9" i="7" s="1"/>
  <c r="P8" i="7"/>
  <c r="O8" i="7"/>
  <c r="N8" i="7"/>
  <c r="O7" i="7"/>
  <c r="P7" i="7" s="1"/>
  <c r="N7" i="7"/>
  <c r="O6" i="7"/>
  <c r="N6" i="7"/>
  <c r="O5" i="7"/>
  <c r="N5" i="7"/>
  <c r="O4" i="7"/>
  <c r="N4" i="7"/>
  <c r="O3" i="7"/>
  <c r="N3" i="7"/>
  <c r="O2" i="7"/>
  <c r="N2" i="7"/>
  <c r="P294" i="7" l="1"/>
  <c r="P15" i="7"/>
  <c r="P47" i="7"/>
  <c r="P49" i="7"/>
  <c r="P62" i="7"/>
  <c r="P81" i="7"/>
  <c r="P94" i="7"/>
  <c r="P113" i="7"/>
  <c r="P126" i="7"/>
  <c r="P141" i="7"/>
  <c r="P145" i="7"/>
  <c r="P158" i="7"/>
  <c r="P173" i="7"/>
  <c r="P177" i="7"/>
  <c r="P190" i="7"/>
  <c r="P205" i="7"/>
  <c r="P209" i="7"/>
  <c r="P222" i="7"/>
  <c r="P237" i="7"/>
  <c r="P241" i="7"/>
  <c r="P254" i="7"/>
  <c r="P277" i="7"/>
  <c r="P28" i="7"/>
  <c r="P4" i="7"/>
  <c r="P23" i="7"/>
  <c r="P25" i="7"/>
  <c r="P27" i="7"/>
  <c r="P36" i="7"/>
  <c r="P46" i="7"/>
  <c r="P57" i="7"/>
  <c r="P59" i="7"/>
  <c r="P61" i="7"/>
  <c r="P70" i="7"/>
  <c r="P89" i="7"/>
  <c r="P91" i="7"/>
  <c r="P93" i="7"/>
  <c r="P102" i="7"/>
  <c r="P121" i="7"/>
  <c r="P123" i="7"/>
  <c r="P134" i="7"/>
  <c r="P149" i="7"/>
  <c r="P153" i="7"/>
  <c r="P155" i="7"/>
  <c r="P166" i="7"/>
  <c r="P181" i="7"/>
  <c r="P185" i="7"/>
  <c r="P187" i="7"/>
  <c r="P198" i="7"/>
  <c r="P213" i="7"/>
  <c r="P217" i="7"/>
  <c r="P219" i="7"/>
  <c r="P230" i="7"/>
  <c r="P245" i="7"/>
  <c r="P249" i="7"/>
  <c r="P251" i="7"/>
  <c r="P262" i="7"/>
  <c r="P293" i="7"/>
  <c r="P299" i="7"/>
  <c r="P3" i="7"/>
  <c r="P33" i="7"/>
  <c r="P35" i="7"/>
  <c r="P67" i="7"/>
  <c r="P69" i="7"/>
  <c r="P99" i="7"/>
  <c r="P101" i="7"/>
  <c r="P131" i="7"/>
  <c r="P163" i="7"/>
  <c r="P195" i="7"/>
  <c r="P227" i="7"/>
  <c r="P259" i="7"/>
  <c r="P278" i="7"/>
  <c r="P272" i="7"/>
  <c r="P281" i="7"/>
  <c r="P288" i="7"/>
  <c r="P297" i="7"/>
  <c r="P269" i="7"/>
  <c r="P285" i="7"/>
  <c r="P301" i="7"/>
  <c r="P5" i="7"/>
  <c r="P13" i="7"/>
  <c r="P21" i="7"/>
  <c r="P29" i="7"/>
  <c r="P37" i="7"/>
  <c r="P45" i="7"/>
  <c r="P55" i="7"/>
  <c r="P63" i="7"/>
  <c r="P71" i="7"/>
  <c r="P79" i="7"/>
  <c r="P87" i="7"/>
  <c r="P95" i="7"/>
  <c r="P103" i="7"/>
  <c r="P111" i="7"/>
  <c r="P119" i="7"/>
  <c r="P127" i="7"/>
  <c r="P135" i="7"/>
  <c r="P143" i="7"/>
  <c r="P151" i="7"/>
  <c r="P159" i="7"/>
  <c r="P167" i="7"/>
  <c r="P175" i="7"/>
  <c r="P183" i="7"/>
  <c r="P191" i="7"/>
  <c r="P199" i="7"/>
  <c r="P207" i="7"/>
  <c r="P215" i="7"/>
  <c r="P223" i="7"/>
  <c r="P231" i="7"/>
  <c r="P239" i="7"/>
  <c r="P247" i="7"/>
  <c r="P255" i="7"/>
  <c r="P263" i="7"/>
  <c r="P273" i="7"/>
  <c r="P275" i="7"/>
  <c r="P280" i="7"/>
  <c r="P289" i="7"/>
  <c r="P291" i="7"/>
  <c r="P296" i="7"/>
  <c r="P6" i="7"/>
  <c r="P14" i="7"/>
  <c r="P22" i="7"/>
  <c r="P30" i="7"/>
  <c r="P38" i="7"/>
  <c r="P52" i="7"/>
  <c r="P60" i="7"/>
  <c r="P68" i="7"/>
  <c r="P76" i="7"/>
  <c r="P84" i="7"/>
  <c r="P92" i="7"/>
  <c r="P100" i="7"/>
  <c r="P108" i="7"/>
  <c r="P116" i="7"/>
  <c r="P124" i="7"/>
  <c r="P132" i="7"/>
  <c r="P140" i="7"/>
  <c r="P148" i="7"/>
  <c r="P156" i="7"/>
  <c r="P164" i="7"/>
  <c r="P172" i="7"/>
  <c r="P180" i="7"/>
  <c r="P188" i="7"/>
  <c r="P196" i="7"/>
  <c r="P204" i="7"/>
  <c r="P212" i="7"/>
  <c r="P220" i="7"/>
  <c r="P228" i="7"/>
  <c r="P236" i="7"/>
  <c r="P244" i="7"/>
  <c r="P252" i="7"/>
  <c r="P260" i="7"/>
  <c r="P268" i="7"/>
  <c r="P284" i="7"/>
  <c r="P300" i="7"/>
  <c r="P2" i="7"/>
  <c r="P10" i="7"/>
  <c r="P18" i="7"/>
  <c r="P26" i="7"/>
  <c r="P34" i="7"/>
  <c r="P42" i="7"/>
  <c r="P48" i="7"/>
  <c r="P56" i="7"/>
  <c r="P64" i="7"/>
  <c r="P72" i="7"/>
  <c r="P80" i="7"/>
  <c r="P88" i="7"/>
  <c r="P96" i="7"/>
  <c r="P104" i="7"/>
  <c r="P112" i="7"/>
  <c r="P120" i="7"/>
  <c r="P128" i="7"/>
  <c r="P136" i="7"/>
  <c r="P144" i="7"/>
  <c r="P152" i="7"/>
  <c r="P160" i="7"/>
  <c r="P168" i="7"/>
  <c r="P176" i="7"/>
  <c r="P184" i="7"/>
  <c r="P192" i="7"/>
  <c r="P200" i="7"/>
  <c r="P208" i="7"/>
  <c r="P216" i="7"/>
  <c r="P224" i="7"/>
  <c r="P232" i="7"/>
  <c r="P240" i="7"/>
  <c r="P248" i="7"/>
  <c r="P256" i="7"/>
  <c r="P264" i="7"/>
  <c r="P276" i="7"/>
  <c r="P29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D2E417-6770-443B-AABA-78A224632DCF}" name="Connection" type="104" refreshedVersion="0" background="1">
    <extLst>
      <ext xmlns:x15="http://schemas.microsoft.com/office/spreadsheetml/2010/11/main" uri="{DE250136-89BD-433C-8126-D09CA5730AF9}">
        <x15:connection id="Calendar"/>
      </ext>
    </extLst>
  </connection>
  <connection id="2" xr16:uid="{74480B3A-545A-4FD1-AE5F-7A8DF86C0936}" name="Excel Task 1 - Data Cleaning.xlsx" type="100" refreshedVersion="0">
    <extLst>
      <ext xmlns:x15="http://schemas.microsoft.com/office/spreadsheetml/2010/11/main" uri="{DE250136-89BD-433C-8126-D09CA5730AF9}">
        <x15:connection id="485f318d-8de9-4e32-bff5-8546c5c40217"/>
      </ext>
    </extLst>
  </connection>
  <connection id="3" xr16:uid="{5281F6B7-CBBF-41AE-A441-859976A2A96A}" name="Excel Task 1 - Data Cleaning.xlsx 2" type="100" refreshedVersion="0">
    <extLst>
      <ext xmlns:x15="http://schemas.microsoft.com/office/spreadsheetml/2010/11/main" uri="{DE250136-89BD-433C-8126-D09CA5730AF9}">
        <x15:connection id="62fe4ae4-ae29-4eaa-a2af-9bbe34556623"/>
      </ext>
    </extLst>
  </connection>
  <connection id="4" xr16:uid="{2AD639ED-2108-4C22-925F-DB8D88CC975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<sst xmlns="http://schemas.openxmlformats.org/spreadsheetml/2006/main" count="2112" uniqueCount="398">
  <si>
    <t>Summerbeats</t>
  </si>
  <si>
    <t>Wrapped2024</t>
  </si>
  <si>
    <t>Chillvibes</t>
  </si>
  <si>
    <t>Indiewave</t>
  </si>
  <si>
    <t>Row Labels</t>
  </si>
  <si>
    <t>Grand Total</t>
  </si>
  <si>
    <t>Post ID</t>
  </si>
  <si>
    <t>Platform</t>
  </si>
  <si>
    <t>Date</t>
  </si>
  <si>
    <t>Content Type</t>
  </si>
  <si>
    <t>Post Text</t>
  </si>
  <si>
    <t>Likes</t>
  </si>
  <si>
    <t>Shares</t>
  </si>
  <si>
    <t>Comments</t>
  </si>
  <si>
    <t>Impressions</t>
  </si>
  <si>
    <t>Reach</t>
  </si>
  <si>
    <t>Clicks</t>
  </si>
  <si>
    <t>Hashtags Used</t>
  </si>
  <si>
    <t>Campaign_Name</t>
  </si>
  <si>
    <t xml:space="preserve">Campaign start date </t>
  </si>
  <si>
    <t>Campaign end date</t>
  </si>
  <si>
    <t>Campaign phase</t>
  </si>
  <si>
    <t>SP001</t>
  </si>
  <si>
    <t>Instagram</t>
  </si>
  <si>
    <t>Text</t>
  </si>
  <si>
    <t>Discover Fresh Beats On Spotify!</t>
  </si>
  <si>
    <t>#Soundtrackoflife,#Nowplaying</t>
  </si>
  <si>
    <t>SP002</t>
  </si>
  <si>
    <t>Explore The Latest Podcasts Now.</t>
  </si>
  <si>
    <t>#Discoverweekly</t>
  </si>
  <si>
    <t>SP003</t>
  </si>
  <si>
    <t>Twitter</t>
  </si>
  <si>
    <t>Story</t>
  </si>
  <si>
    <t>New Music Just Dropped. Hit Play!</t>
  </si>
  <si>
    <t>#Musicforeveryone,#Nowplaying</t>
  </si>
  <si>
    <t>SP004</t>
  </si>
  <si>
    <t>Wrapped Is Here! Relive Your Top Tracks Ðÿž§</t>
  </si>
  <si>
    <t>SP005</t>
  </si>
  <si>
    <t>Youtube</t>
  </si>
  <si>
    <t>Music That Moves Youâ€”Only On Spotify.</t>
  </si>
  <si>
    <t>#Discoverweekly,#Spotifywrapped</t>
  </si>
  <si>
    <t>SP006</t>
  </si>
  <si>
    <t>Whatâ€™S Your Vibe Today? #Spotifyhits</t>
  </si>
  <si>
    <t>SP007</t>
  </si>
  <si>
    <t>Get Into The Groove With Our New Drop!</t>
  </si>
  <si>
    <t>SP008</t>
  </si>
  <si>
    <t>#Discoverweekly,#Musicforeveryone</t>
  </si>
  <si>
    <t>SP009</t>
  </si>
  <si>
    <t>Top Trending Tracks Updated Daily!</t>
  </si>
  <si>
    <t>#Nowplaying</t>
  </si>
  <si>
    <t>SP010</t>
  </si>
  <si>
    <t>SP011</t>
  </si>
  <si>
    <t>#Soundtrackoflife</t>
  </si>
  <si>
    <t>SP012</t>
  </si>
  <si>
    <t>SP013</t>
  </si>
  <si>
    <t>SP014</t>
  </si>
  <si>
    <t>From Pop To Podcasts, Itâ€™S All Here.</t>
  </si>
  <si>
    <t>SP015</t>
  </si>
  <si>
    <t>Your Weekend Playlist Is Waiting.</t>
  </si>
  <si>
    <t>SP016</t>
  </si>
  <si>
    <t>SP017</t>
  </si>
  <si>
    <t>SP018</t>
  </si>
  <si>
    <t>SP019</t>
  </si>
  <si>
    <t>Reel</t>
  </si>
  <si>
    <t>#Discoverweekly,#Soundtrackoflife</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</si>
  <si>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</si>
  <si>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</si>
  <si>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</si>
  <si>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</si>
  <si>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</si>
  <si>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</si>
  <si>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</si>
  <si>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</si>
  <si>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</si>
  <si>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</si>
  <si>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</si>
  <si>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</si>
  <si>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</si>
  <si>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</si>
  <si>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</si>
  <si>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</si>
  <si>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</si>
  <si>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</si>
  <si>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</si>
  <si>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</si>
  <si>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</si>
  <si>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</si>
  <si>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</si>
  <si>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</si>
  <si>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</si>
  <si>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</si>
  <si>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</si>
  <si>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</si>
  <si>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</si>
  <si>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</si>
  <si>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</si>
  <si>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</si>
  <si>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</si>
  <si>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</si>
  <si>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</si>
  <si>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</si>
  <si>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</si>
  <si>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</si>
  <si>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</si>
  <si>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</si>
  <si>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</si>
  <si>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</si>
  <si>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</si>
  <si>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</si>
  <si>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</si>
  <si>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</si>
  <si>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</si>
  <si>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</si>
  <si>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</si>
  <si>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</si>
  <si>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</si>
  <si>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</si>
  <si>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</si>
  <si>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</si>
  <si>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</si>
  <si>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</si>
  <si>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</si>
  <si>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</si>
  <si>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</si>
  <si>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</si>
  <si>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</si>
  <si>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</si>
  <si>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</si>
  <si>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</si>
  <si>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</si>
  <si>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</si>
  <si>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</si>
  <si>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</si>
  <si>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</si>
  <si>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</si>
  <si>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</si>
  <si>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</si>
  <si>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</si>
  <si>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</si>
  <si>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</si>
  <si>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</si>
  <si>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</si>
  <si>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</si>
  <si>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</si>
  <si>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</si>
  <si>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</si>
  <si>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</si>
  <si>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</si>
  <si>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</si>
  <si>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</si>
  <si>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</si>
  <si>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</si>
  <si>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</si>
  <si>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</si>
  <si>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</si>
  <si>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</si>
  <si>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</si>
  <si>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</si>
  <si>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</si>
  <si>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</si>
  <si>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</si>
  <si>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</si>
  <si>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</si>
  <si>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</si>
  <si>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</si>
  <si>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</si>
  <si>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</si>
  <si>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</si>
  <si>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</si>
  <si>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</si>
  <si>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</si>
  <si>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</si>
  <si>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</si>
  <si>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</si>
  <si>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</si>
  <si>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</si>
  <si>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</si>
  <si>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</si>
  <si>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</si>
  <si>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</si>
  <si>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</si>
  <si>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</si>
  <si>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</si>
  <si>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</si>
  <si>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</si>
  <si>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</si>
  <si>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</si>
  <si>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</si>
  <si>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</si>
  <si>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</si>
  <si>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</si>
  <si>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</si>
  <si>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</si>
  <si>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</si>
  <si>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</si>
  <si>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</si>
  <si>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</si>
  <si>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</si>
  <si>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</si>
  <si>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</si>
  <si>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</si>
  <si>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</si>
  <si>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</si>
  <si>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</si>
  <si>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</si>
  <si>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</si>
  <si>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</si>
  <si>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</si>
  <si>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</si>
  <si>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</si>
  <si>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</si>
  <si>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</si>
  <si>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</si>
  <si>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</si>
  <si>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</si>
  <si>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</si>
  <si>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</si>
  <si>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</si>
  <si>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</si>
  <si>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</si>
  <si>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</si>
  <si>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</si>
  <si>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</si>
  <si>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</si>
  <si>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</si>
  <si>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</si>
  <si>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</si>
  <si>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</si>
  <si>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</si>
  <si>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</si>
  <si>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</si>
  <si>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</si>
  <si>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</si>
  <si>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</si>
  <si>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</si>
  <si>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</si>
  <si>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</si>
  <si>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</si>
  <si>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</si>
  <si>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</si>
  <si>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</si>
  <si>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</si>
  <si>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</si>
  <si>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</si>
  <si>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</si>
  <si>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</si>
  <si>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</si>
  <si>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</si>
  <si>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</si>
  <si>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</si>
  <si>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</si>
  <si>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</si>
  <si>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</si>
  <si>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</si>
  <si>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</si>
  <si>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</si>
  <si>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</si>
  <si>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</si>
  <si>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</si>
  <si>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</si>
  <si>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</si>
  <si>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</si>
  <si>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</si>
  <si>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</si>
  <si>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</si>
  <si>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</si>
  <si>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</si>
  <si>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</si>
  <si>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</si>
  <si>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</si>
  <si>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</si>
  <si>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</si>
  <si>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</si>
  <si>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</si>
  <si>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</si>
  <si>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</si>
  <si>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</si>
  <si>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</si>
  <si>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</si>
  <si>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</si>
  <si>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</si>
  <si>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</si>
  <si>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</si>
  <si>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</si>
  <si>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</si>
  <si>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</si>
  <si>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</si>
  <si>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</si>
  <si>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</si>
  <si>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</si>
  <si>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</si>
  <si>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</si>
  <si>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</si>
  <si>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</si>
  <si>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</si>
  <si>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</si>
  <si>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</si>
  <si>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</si>
  <si>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</si>
  <si>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</si>
  <si>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</si>
  <si>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</si>
  <si>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</si>
  <si>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</si>
  <si>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</si>
  <si>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</si>
  <si>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</si>
  <si>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</si>
  <si>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</si>
  <si>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</si>
  <si>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</si>
  <si>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</si>
  <si>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</si>
  <si>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</si>
  <si>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</si>
  <si>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</si>
  <si>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</si>
  <si>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</si>
  <si>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</si>
  <si>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</si>
  <si>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</si>
  <si>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</si>
  <si>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</si>
  <si>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</si>
  <si>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</si>
  <si>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</si>
  <si>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</si>
  <si>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</si>
  <si>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</si>
  <si>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</si>
  <si>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</si>
  <si>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</si>
  <si>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</si>
  <si>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</si>
  <si>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</si>
  <si>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</si>
  <si>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</si>
  <si>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</si>
  <si>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</si>
  <si>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</si>
  <si>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</si>
  <si>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</si>
  <si>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</si>
  <si>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</si>
  <si>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</si>
  <si>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SP300</t>
  </si>
  <si>
    <t>Start_Date</t>
  </si>
  <si>
    <t>End_Date</t>
  </si>
  <si>
    <t>Objective</t>
  </si>
  <si>
    <t>Total_Budget</t>
  </si>
  <si>
    <t>Target_Platforms</t>
  </si>
  <si>
    <t>Primary_Hashtags</t>
  </si>
  <si>
    <t>Brand Awareness</t>
  </si>
  <si>
    <t>Instagram,YouTube</t>
  </si>
  <si>
    <t>#SpotifyWrapped,#MusicForEveryone</t>
  </si>
  <si>
    <t>Engagement</t>
  </si>
  <si>
    <t>Twitter,YouTube</t>
  </si>
  <si>
    <t>#SpotifyWrapped,#NowPlaying</t>
  </si>
  <si>
    <t>Product Launch</t>
  </si>
  <si>
    <t>Instagram,Twitter</t>
  </si>
  <si>
    <t>#ChillVibes,#SoundtrackOfLife</t>
  </si>
  <si>
    <t>Traffic</t>
  </si>
  <si>
    <t>Facebook,Instagram</t>
  </si>
  <si>
    <t>#DiscoverWeekly,#IndieWave</t>
  </si>
  <si>
    <t>Week_Start_Date</t>
  </si>
  <si>
    <t>New_Followers</t>
  </si>
  <si>
    <t>Unfollows</t>
  </si>
  <si>
    <t>Total_Followers</t>
  </si>
  <si>
    <t>Engagement_Rate</t>
  </si>
  <si>
    <t>Ad_Spend</t>
  </si>
  <si>
    <t>Objective2</t>
  </si>
  <si>
    <t>(blank)</t>
  </si>
  <si>
    <t>Sum of Likes</t>
  </si>
  <si>
    <t>Sum of Impressions</t>
  </si>
  <si>
    <t>Sum of Clicks</t>
  </si>
  <si>
    <t>Average of Clicks</t>
  </si>
  <si>
    <t>Average of Impressions</t>
  </si>
  <si>
    <t>Average of Likes</t>
  </si>
  <si>
    <t>Engagement Rate</t>
  </si>
  <si>
    <t>Column Labels</t>
  </si>
  <si>
    <t>BEFORE</t>
  </si>
  <si>
    <t>DURING</t>
  </si>
  <si>
    <t>Sum of Engagement</t>
  </si>
  <si>
    <t>Follower Growth Rate</t>
  </si>
  <si>
    <t>follower gain</t>
  </si>
  <si>
    <t>Followers</t>
  </si>
  <si>
    <t>Sum of Total_Budget</t>
  </si>
  <si>
    <t>Campaign Names</t>
  </si>
  <si>
    <t>ROI</t>
  </si>
  <si>
    <t>Average of Engagement</t>
  </si>
  <si>
    <t>Enagegment Uplift</t>
  </si>
  <si>
    <t>Sum of Followers</t>
  </si>
  <si>
    <t>Total &amp; average impressions, likes, clicks per campaign</t>
  </si>
  <si>
    <t>Campaign names</t>
  </si>
  <si>
    <t>Engagement uplift during vs. before campaign</t>
  </si>
  <si>
    <t>Campaign with highest ROI (engagement/ad spend)</t>
  </si>
  <si>
    <t>Campaign with strongest follower or app download growth</t>
  </si>
  <si>
    <t>Key Highlights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</si>
</sst>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4009]yyyy/mm/dd;@"/>
  </numFmts>
  <fonts count="9">
    <font>
      <sz val="11"/>
      <color theme="1"/>
      <name val="Calibri"/>
      <family val="2"/>
      <scheme val="minor"/>
    </font>
    <font>
      <sz val="11"/>
      <color theme="1"/>
      <name val="Calibri"/>
      <family val="2"/>
      <scheme val="minor"/>
    </font>
    <font>
      <sz val="11"/>
      <color theme="1"/>
      <name val="Calibri"/>
      <family val="2"/>
    </font>
    <font>
      <sz val="11"/>
      <color rgb="FF000000"/>
      <name val="&quot;Aptos Narrow&quot;"/>
    </font>
    <font>
      <b/>
      <sz val="11"/>
      <color theme="1"/>
      <name val="Calibri"/>
      <family val="2"/>
    </font>
    <font>
      <b/>
      <sz val="12"/>
      <color theme="1"/>
      <name val="Calibri"/>
      <family val="2"/>
      <scheme val="minor"/>
    </font>
    <font>
      <b/>
      <sz val="14"/>
      <color theme="1"/>
      <name val="Calibri"/>
      <family val="2"/>
      <scheme val="minor"/>
    </font>
    <font>
      <b/>
      <sz val="16"/>
      <color theme="1"/>
      <name val="Calibri"/>
      <family val="2"/>
      <scheme val="minor"/>
    </font>
    <font>
      <b/>
      <sz val="22"/>
      <color theme="1"/>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5"/>
        <bgColor theme="5"/>
      </patternFill>
    </fill>
    <fill>
      <patternFill patternType="solid">
        <fgColor theme="4" tint="0.59999389629810485"/>
        <bgColor theme="4" tint="0.59999389629810485"/>
      </patternFill>
    </fill>
    <fill>
      <patternFill patternType="solid">
        <fgColor rgb="FFAAE571"/>
        <bgColor indexed="64"/>
      </patternFill>
    </fill>
    <fill>
      <patternFill patternType="solid">
        <fgColor theme="2"/>
        <bgColor indexed="64"/>
      </patternFill>
    </fill>
    <fill>
      <patternFill patternType="solid">
        <fgColor theme="2" tint="-9.9978637043366805E-2"/>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9" fontId="1" fillId="0" borderId="0" applyFont="0" applyFill="0" applyBorder="0" applyAlignment="0" applyProtection="0"/>
  </cellStyleXfs>
  <cellXfs count="60">
    <xf numFmtId="0" fontId="0" fillId="0" borderId="0" xfId="0"/>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14" fontId="3" fillId="0" borderId="0" xfId="0" applyNumberFormat="1" applyFont="1" applyAlignment="1">
      <alignment horizontal="center"/>
    </xf>
    <xf numFmtId="1" fontId="3" fillId="0" borderId="0" xfId="0" applyNumberFormat="1" applyFont="1"/>
    <xf numFmtId="14" fontId="3" fillId="0" borderId="0" xfId="0" applyNumberFormat="1" applyFont="1" applyAlignment="1">
      <alignment horizontal="right"/>
    </xf>
    <xf numFmtId="1" fontId="3" fillId="0" borderId="0" xfId="0" applyNumberFormat="1" applyFont="1" applyAlignment="1">
      <alignment horizontal="right"/>
    </xf>
    <xf numFmtId="14" fontId="0" fillId="0" borderId="0" xfId="0" applyNumberFormat="1"/>
    <xf numFmtId="49" fontId="0" fillId="0" borderId="0" xfId="0" applyNumberFormat="1"/>
    <xf numFmtId="14" fontId="0" fillId="0" borderId="0" xfId="0" applyNumberFormat="1" applyAlignment="1">
      <alignment horizontal="right"/>
    </xf>
    <xf numFmtId="49" fontId="1" fillId="0" borderId="0" xfId="0" applyNumberFormat="1" applyFont="1"/>
    <xf numFmtId="14" fontId="1" fillId="0" borderId="0" xfId="0" applyNumberFormat="1" applyFont="1"/>
    <xf numFmtId="0" fontId="1" fillId="0" borderId="0" xfId="0" applyFont="1"/>
    <xf numFmtId="0" fontId="2" fillId="0" borderId="1" xfId="0" applyFont="1" applyBorder="1" applyAlignment="1">
      <alignment horizontal="center" vertical="top"/>
    </xf>
    <xf numFmtId="164" fontId="1" fillId="0" borderId="0" xfId="0" applyNumberFormat="1" applyFont="1"/>
    <xf numFmtId="49" fontId="3" fillId="0" borderId="0" xfId="0" applyNumberFormat="1" applyFont="1" applyAlignment="1">
      <alignment horizontal="left"/>
    </xf>
    <xf numFmtId="2" fontId="3" fillId="0" borderId="0" xfId="0" applyNumberFormat="1" applyFont="1"/>
    <xf numFmtId="2" fontId="3" fillId="0" borderId="0" xfId="0" applyNumberFormat="1" applyFont="1" applyAlignment="1">
      <alignment horizontal="right"/>
    </xf>
    <xf numFmtId="49" fontId="0" fillId="0" borderId="0" xfId="0" applyNumberFormat="1" applyAlignment="1">
      <alignment horizontal="left"/>
    </xf>
    <xf numFmtId="2" fontId="0" fillId="0" borderId="0" xfId="0" applyNumberFormat="1"/>
    <xf numFmtId="49" fontId="4" fillId="0" borderId="2" xfId="0" applyNumberFormat="1" applyFont="1" applyBorder="1" applyAlignment="1">
      <alignment horizontal="center" vertical="top"/>
    </xf>
    <xf numFmtId="14" fontId="4" fillId="0" borderId="2" xfId="0" applyNumberFormat="1" applyFont="1" applyBorder="1" applyAlignment="1">
      <alignment horizontal="center" vertical="top"/>
    </xf>
    <xf numFmtId="0" fontId="4" fillId="0" borderId="2" xfId="0" applyFont="1" applyBorder="1" applyAlignment="1">
      <alignment horizontal="center" vertical="top"/>
    </xf>
    <xf numFmtId="0" fontId="3" fillId="3" borderId="0" xfId="0" applyFont="1" applyFill="1"/>
    <xf numFmtId="49" fontId="3" fillId="3" borderId="0" xfId="0" applyNumberFormat="1" applyFont="1" applyFill="1"/>
    <xf numFmtId="14" fontId="3" fillId="3" borderId="0" xfId="0" applyNumberFormat="1" applyFont="1" applyFill="1" applyAlignment="1">
      <alignment horizontal="center"/>
    </xf>
    <xf numFmtId="1" fontId="3" fillId="3" borderId="0" xfId="0" applyNumberFormat="1" applyFont="1" applyFill="1"/>
    <xf numFmtId="14" fontId="3" fillId="3" borderId="0" xfId="0" applyNumberFormat="1" applyFont="1" applyFill="1"/>
    <xf numFmtId="0" fontId="3" fillId="4" borderId="0" xfId="0" applyFont="1" applyFill="1"/>
    <xf numFmtId="49" fontId="3" fillId="4" borderId="0" xfId="0" applyNumberFormat="1" applyFont="1" applyFill="1"/>
    <xf numFmtId="14" fontId="3" fillId="4" borderId="0" xfId="0" applyNumberFormat="1" applyFont="1" applyFill="1" applyAlignment="1">
      <alignment horizontal="right"/>
    </xf>
    <xf numFmtId="1" fontId="3" fillId="4" borderId="0" xfId="0" applyNumberFormat="1" applyFont="1" applyFill="1" applyAlignment="1">
      <alignment horizontal="right"/>
    </xf>
    <xf numFmtId="14" fontId="0" fillId="4" borderId="0" xfId="0" applyNumberFormat="1" applyFill="1"/>
    <xf numFmtId="1" fontId="0" fillId="4" borderId="0" xfId="0" applyNumberFormat="1" applyFill="1"/>
    <xf numFmtId="0" fontId="3" fillId="2" borderId="0" xfId="0" applyFont="1" applyFill="1"/>
    <xf numFmtId="49" fontId="3" fillId="2" borderId="0" xfId="0" applyNumberFormat="1" applyFont="1" applyFill="1"/>
    <xf numFmtId="14" fontId="3" fillId="2" borderId="0" xfId="0" applyNumberFormat="1" applyFont="1" applyFill="1" applyAlignment="1">
      <alignment horizontal="right"/>
    </xf>
    <xf numFmtId="1" fontId="3" fillId="2" borderId="0" xfId="0" applyNumberFormat="1" applyFont="1" applyFill="1" applyAlignment="1">
      <alignment horizontal="right"/>
    </xf>
    <xf numFmtId="14" fontId="0" fillId="2" borderId="0" xfId="0" applyNumberFormat="1" applyFill="1"/>
    <xf numFmtId="1" fontId="0" fillId="2" borderId="0" xfId="0" applyNumberFormat="1" applyFill="1"/>
    <xf numFmtId="0" fontId="0" fillId="4" borderId="0" xfId="0" applyFill="1"/>
    <xf numFmtId="49" fontId="0" fillId="4" borderId="0" xfId="0" applyNumberFormat="1" applyFill="1"/>
    <xf numFmtId="164" fontId="0" fillId="4" borderId="0" xfId="0" applyNumberFormat="1" applyFill="1" applyAlignment="1">
      <alignment horizontal="right"/>
    </xf>
    <xf numFmtId="0" fontId="0" fillId="0" borderId="0" xfId="0" applyAlignment="1">
      <alignment horizontal="center"/>
    </xf>
    <xf numFmtId="0" fontId="7" fillId="5" borderId="0" xfId="0" applyFont="1" applyFill="1" applyAlignment="1">
      <alignment horizontal="center"/>
    </xf>
    <xf numFmtId="0" fontId="0" fillId="5" borderId="0" xfId="0" applyFill="1" applyAlignment="1">
      <alignment horizontal="center"/>
    </xf>
    <xf numFmtId="0" fontId="0" fillId="6" borderId="0" xfId="0" applyFill="1"/>
    <xf numFmtId="0" fontId="0" fillId="6" borderId="0" xfId="0" applyFill="1" applyAlignment="1">
      <alignment horizontal="left"/>
    </xf>
    <xf numFmtId="0" fontId="5" fillId="6" borderId="0" xfId="0" applyFont="1" applyFill="1"/>
    <xf numFmtId="10" fontId="0" fillId="6" borderId="0" xfId="0" applyNumberFormat="1" applyFill="1"/>
    <xf numFmtId="0" fontId="0" fillId="7" borderId="0" xfId="0" applyFill="1"/>
    <xf numFmtId="0" fontId="0" fillId="7" borderId="0" xfId="0" applyFill="1" applyAlignment="1">
      <alignment horizontal="left"/>
    </xf>
    <xf numFmtId="1" fontId="0" fillId="7" borderId="0" xfId="0" applyNumberFormat="1" applyFill="1"/>
    <xf numFmtId="0" fontId="5" fillId="7" borderId="0" xfId="0" applyFont="1" applyFill="1"/>
    <xf numFmtId="9" fontId="0" fillId="7" borderId="0" xfId="1" applyFont="1" applyFill="1"/>
    <xf numFmtId="0" fontId="0" fillId="0" borderId="0" xfId="0" applyNumberFormat="1"/>
    <xf numFmtId="0" fontId="6" fillId="5" borderId="0" xfId="0" applyFont="1" applyFill="1" applyAlignment="1">
      <alignment horizontal="center"/>
    </xf>
    <xf numFmtId="0" fontId="8" fillId="5" borderId="0" xfId="0" applyFont="1" applyFill="1" applyAlignment="1">
      <alignment horizontal="center"/>
    </xf>
  </cellXfs>
  <cellStyles count="2">
    <cellStyle name="Normal" xfId="0" builtinId="0"/>
    <cellStyle name="Percent" xfId="1" builtinId="5"/>
  </cellStyles>
  <dxfs count="57">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numFmt numFmtId="1" formatCode="0"/>
    </dxf>
    <dxf>
      <numFmt numFmtId="1" formatCode="0"/>
      <fill>
        <patternFill patternType="solid">
          <fgColor theme="4" tint="0.79998168889431442"/>
          <bgColor theme="4" tint="0.79998168889431442"/>
        </patternFill>
      </fill>
    </dxf>
    <dxf>
      <numFmt numFmtId="19" formatCode="dd/mm/yyyy"/>
      <fill>
        <patternFill patternType="solid">
          <fgColor theme="4" tint="0.79998168889431442"/>
          <bgColor theme="4" tint="0.79998168889431442"/>
        </patternFill>
      </fill>
    </dxf>
    <dxf>
      <numFmt numFmtId="19" formatCode="dd/mm/yyyy"/>
      <fill>
        <patternFill patternType="solid">
          <fgColor theme="4" tint="0.79998168889431442"/>
          <bgColor theme="4" tint="0.79998168889431442"/>
        </patternFill>
      </fill>
    </dxf>
    <dxf>
      <font>
        <b val="0"/>
        <i val="0"/>
        <strike val="0"/>
        <condense val="0"/>
        <extend val="0"/>
        <outline val="0"/>
        <shadow val="0"/>
        <u val="none"/>
        <vertAlign val="baseline"/>
        <sz val="11"/>
        <color rgb="FF000000"/>
        <name val="&quot;Aptos Narrow&quot;"/>
        <scheme val="none"/>
      </font>
      <fill>
        <patternFill patternType="solid">
          <fgColor theme="4" tint="0.79998168889431442"/>
          <bgColor theme="4" tint="0.79998168889431442"/>
        </patternFill>
      </fill>
    </dxf>
    <dxf>
      <font>
        <b val="0"/>
        <i val="0"/>
        <strike val="0"/>
        <condense val="0"/>
        <extend val="0"/>
        <outline val="0"/>
        <shadow val="0"/>
        <u val="none"/>
        <vertAlign val="baseline"/>
        <sz val="11"/>
        <color rgb="FF000000"/>
        <name val="&quot;Aptos Narrow&quot;"/>
        <scheme val="none"/>
      </font>
      <numFmt numFmtId="30" formatCode="@"/>
      <fill>
        <patternFill patternType="solid">
          <fgColor theme="4" tint="0.79998168889431442"/>
          <bgColor theme="4" tint="0.79998168889431442"/>
        </patternFill>
      </fill>
    </dxf>
    <dxf>
      <font>
        <b val="0"/>
        <i val="0"/>
        <strike val="0"/>
        <condense val="0"/>
        <extend val="0"/>
        <outline val="0"/>
        <shadow val="0"/>
        <u val="none"/>
        <vertAlign val="baseline"/>
        <sz val="11"/>
        <color rgb="FF000000"/>
        <name val="&quot;Aptos Narrow&quot;"/>
        <scheme val="none"/>
      </font>
      <numFmt numFmtId="1" formatCode="0"/>
      <fill>
        <patternFill patternType="solid">
          <fgColor theme="4" tint="0.79998168889431442"/>
          <bgColor theme="4"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fill>
        <patternFill patternType="solid">
          <fgColor theme="4" tint="0.79998168889431442"/>
          <bgColor theme="4"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fill>
        <patternFill patternType="solid">
          <fgColor theme="4" tint="0.79998168889431442"/>
          <bgColor theme="4"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fill>
        <patternFill patternType="solid">
          <fgColor theme="4" tint="0.79998168889431442"/>
          <bgColor theme="4"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fill>
        <patternFill patternType="solid">
          <fgColor theme="4" tint="0.79998168889431442"/>
          <bgColor theme="4"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fill>
        <patternFill patternType="solid">
          <fgColor theme="4" tint="0.79998168889431442"/>
          <bgColor theme="4"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30" formatCode="@"/>
      <fill>
        <patternFill patternType="solid">
          <fgColor theme="4" tint="0.79998168889431442"/>
          <bgColor theme="4" tint="0.79998168889431442"/>
        </patternFill>
      </fill>
    </dxf>
    <dxf>
      <font>
        <b val="0"/>
        <i val="0"/>
        <strike val="0"/>
        <condense val="0"/>
        <extend val="0"/>
        <outline val="0"/>
        <shadow val="0"/>
        <u val="none"/>
        <vertAlign val="baseline"/>
        <sz val="11"/>
        <color rgb="FF000000"/>
        <name val="&quot;Aptos Narrow&quot;"/>
        <scheme val="none"/>
      </font>
      <numFmt numFmtId="30" formatCode="@"/>
      <fill>
        <patternFill patternType="solid">
          <fgColor theme="4" tint="0.79998168889431442"/>
          <bgColor theme="4" tint="0.79998168889431442"/>
        </patternFill>
      </fill>
    </dxf>
    <dxf>
      <font>
        <b val="0"/>
        <i val="0"/>
        <strike val="0"/>
        <condense val="0"/>
        <extend val="0"/>
        <outline val="0"/>
        <shadow val="0"/>
        <u val="none"/>
        <vertAlign val="baseline"/>
        <sz val="11"/>
        <color rgb="FF000000"/>
        <name val="&quot;Aptos Narrow&quot;"/>
        <scheme val="none"/>
      </font>
      <numFmt numFmtId="19" formatCode="dd/mm/yyyy"/>
      <fill>
        <patternFill patternType="solid">
          <fgColor theme="4" tint="0.79998168889431442"/>
          <bgColor theme="4"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30" formatCode="@"/>
      <fill>
        <patternFill patternType="solid">
          <fgColor theme="4" tint="0.79998168889431442"/>
          <bgColor theme="4" tint="0.79998168889431442"/>
        </patternFill>
      </fill>
    </dxf>
    <dxf>
      <font>
        <b val="0"/>
        <i val="0"/>
        <strike val="0"/>
        <condense val="0"/>
        <extend val="0"/>
        <outline val="0"/>
        <shadow val="0"/>
        <u val="none"/>
        <vertAlign val="baseline"/>
        <sz val="11"/>
        <color rgb="FF000000"/>
        <name val="&quot;Aptos Narrow&quot;"/>
        <scheme val="none"/>
      </font>
      <fill>
        <patternFill patternType="solid">
          <fgColor theme="4" tint="0.79998168889431442"/>
          <bgColor theme="4" tint="0.79998168889431442"/>
        </patternFill>
      </fill>
    </dxf>
    <dxf>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9" formatCode="dd/mm/yyyy"/>
    </dxf>
    <dxf>
      <font>
        <b val="0"/>
        <i val="0"/>
        <strike val="0"/>
        <condense val="0"/>
        <extend val="0"/>
        <outline val="0"/>
        <shadow val="0"/>
        <u val="none"/>
        <vertAlign val="baseline"/>
        <sz val="11"/>
        <color theme="1"/>
        <name val="Calibri"/>
        <family val="2"/>
        <scheme val="minor"/>
      </font>
      <numFmt numFmtId="19" formatCode="dd/mm/yyyy"/>
    </dxf>
    <dxf>
      <font>
        <b val="0"/>
        <i val="0"/>
        <strike val="0"/>
        <condense val="0"/>
        <extend val="0"/>
        <outline val="0"/>
        <shadow val="0"/>
        <u val="none"/>
        <vertAlign val="baseline"/>
        <sz val="11"/>
        <color theme="1"/>
        <name val="Calibri"/>
        <family val="2"/>
        <scheme val="minor"/>
      </font>
      <numFmt numFmtId="30" formatCode="@"/>
    </dxf>
    <dxf>
      <border outline="0">
        <top style="thin">
          <color rgb="FF000000"/>
        </top>
      </border>
    </dxf>
    <dxf>
      <font>
        <b val="0"/>
        <i val="0"/>
        <strike val="0"/>
        <condense val="0"/>
        <extend val="0"/>
        <outline val="0"/>
        <shadow val="0"/>
        <u val="none"/>
        <vertAlign val="baseline"/>
        <sz val="11"/>
        <color theme="1"/>
        <name val="Calibri"/>
        <family val="2"/>
        <scheme val="minor"/>
      </font>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30" formatCode="@"/>
      <alignment horizontal="left" vertical="bottom" textRotation="0" wrapText="0" indent="0" justifyLastLine="0" shrinkToFit="0" readingOrder="0"/>
    </dxf>
    <dxf>
      <numFmt numFmtId="19" formatCode="dd/mm/yyyy"/>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fill>
        <patternFill patternType="none">
          <fgColor indexed="64"/>
          <bgColor auto="1"/>
        </patternFill>
      </fill>
    </dxf>
  </dxfs>
  <tableStyles count="1" defaultTableStyle="TableStyleMedium2" defaultPivotStyle="PivotStyleLight16">
    <tableStyle name="Invisible" pivot="0" table="0" count="0" xr9:uid="{DDCB32FF-6D7D-4959-AA27-84326F9203E7}"/>
  </tableStyles>
  <colors>
    <mruColors>
      <color rgb="FF99FF33"/>
      <color rgb="FF631F91"/>
      <color rgb="FFF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9" Type="http://schemas.openxmlformats.org/officeDocument/2006/relationships/customXml" Target="../customXml/item25.xml"/><Relationship Id="rId21" Type="http://schemas.openxmlformats.org/officeDocument/2006/relationships/customXml" Target="../customXml/item7.xml"/><Relationship Id="rId34" Type="http://schemas.openxmlformats.org/officeDocument/2006/relationships/customXml" Target="../customXml/item20.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38" Type="http://schemas.openxmlformats.org/officeDocument/2006/relationships/customXml" Target="../customXml/item24.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0.xml"/><Relationship Id="rId32" Type="http://schemas.openxmlformats.org/officeDocument/2006/relationships/customXml" Target="../customXml/item18.xml"/><Relationship Id="rId37" Type="http://schemas.openxmlformats.org/officeDocument/2006/relationships/customXml" Target="../customXml/item23.xml"/><Relationship Id="rId5" Type="http://schemas.openxmlformats.org/officeDocument/2006/relationships/externalLink" Target="externalLinks/externalLink1.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36" Type="http://schemas.openxmlformats.org/officeDocument/2006/relationships/customXml" Target="../customXml/item22.xml"/><Relationship Id="rId10" Type="http://schemas.openxmlformats.org/officeDocument/2006/relationships/connections" Target="connection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35" Type="http://schemas.openxmlformats.org/officeDocument/2006/relationships/customXml" Target="../customXml/item21.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0</xdr:col>
      <xdr:colOff>0</xdr:colOff>
      <xdr:row>33</xdr:row>
      <xdr:rowOff>13607</xdr:rowOff>
    </xdr:from>
    <xdr:to>
      <xdr:col>11</xdr:col>
      <xdr:colOff>136072</xdr:colOff>
      <xdr:row>65</xdr:row>
      <xdr:rowOff>176893</xdr:rowOff>
    </xdr:to>
    <xdr:sp macro="" textlink="">
      <xdr:nvSpPr>
        <xdr:cNvPr id="2" name="TextBox 1">
          <a:extLst>
            <a:ext uri="{FF2B5EF4-FFF2-40B4-BE49-F238E27FC236}">
              <a16:creationId xmlns:a16="http://schemas.microsoft.com/office/drawing/2014/main" id="{8459DFE6-3001-3B3A-2CDA-B0C5253E04D7}"/>
            </a:ext>
          </a:extLst>
        </xdr:cNvPr>
        <xdr:cNvSpPr txBox="1"/>
      </xdr:nvSpPr>
      <xdr:spPr>
        <a:xfrm>
          <a:off x="0" y="6327321"/>
          <a:ext cx="10246179" cy="6259286"/>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1. </a:t>
          </a:r>
          <a:r>
            <a:rPr lang="en-IN" sz="1800" b="1">
              <a:solidFill>
                <a:srgbClr val="FF0000"/>
              </a:solidFill>
            </a:rPr>
            <a:t>Campaign</a:t>
          </a:r>
          <a:r>
            <a:rPr lang="en-IN" sz="1800" b="1" baseline="0">
              <a:solidFill>
                <a:srgbClr val="FF0000"/>
              </a:solidFill>
            </a:rPr>
            <a:t> Engagement Performance :</a:t>
          </a:r>
        </a:p>
        <a:p>
          <a:r>
            <a:rPr lang="en-IN" sz="1800" b="1" baseline="0"/>
            <a:t>Across campaigns, impressions, clicks, and likes vary significantly. This shows differences in audience      reach and how well they engage. Wrapped2024 and Chillvibes have stronger visibility and interaction levels compared to others.</a:t>
          </a:r>
        </a:p>
        <a:p>
          <a:endParaRPr lang="en-IN" sz="1800" b="1" baseline="0"/>
        </a:p>
        <a:p>
          <a:r>
            <a:rPr lang="en-IN" sz="1800" b="1" baseline="0"/>
            <a:t>2</a:t>
          </a:r>
          <a:r>
            <a:rPr lang="en-IN" sz="1800" b="1" baseline="0">
              <a:solidFill>
                <a:srgbClr val="FF0000"/>
              </a:solidFill>
            </a:rPr>
            <a:t>. </a:t>
          </a:r>
          <a:r>
            <a:rPr lang="en-IN" sz="1800" b="1" i="0">
              <a:solidFill>
                <a:srgbClr val="FF0000"/>
              </a:solidFill>
              <a:effectLst/>
              <a:latin typeface="+mn-lt"/>
              <a:ea typeface="+mn-ea"/>
              <a:cs typeface="+mn-cs"/>
            </a:rPr>
            <a:t>Engagement Uplift (Before vs During Campaign) :</a:t>
          </a:r>
        </a:p>
        <a:p>
          <a:r>
            <a:rPr lang="en-IN" sz="1800" b="1" i="0">
              <a:solidFill>
                <a:schemeClr val="dk1"/>
              </a:solidFill>
              <a:effectLst/>
              <a:latin typeface="+mn-lt"/>
              <a:ea typeface="+mn-ea"/>
              <a:cs typeface="+mn-cs"/>
            </a:rPr>
            <a:t>Engagement levels usually increased during campaign periods, showing a positive effect from the campaigns. Wrapped2024 shows the highest uplift, while some campaigns show only moderate gains. This suggests that the effectiveness of the content varies</a:t>
          </a:r>
          <a:endParaRPr lang="en-IN" sz="1200" b="0" i="0">
            <a:solidFill>
              <a:schemeClr val="dk1"/>
            </a:solidFill>
            <a:effectLst/>
            <a:latin typeface="+mn-lt"/>
            <a:ea typeface="+mn-ea"/>
            <a:cs typeface="+mn-cs"/>
          </a:endParaRPr>
        </a:p>
        <a:p>
          <a:endParaRPr lang="en-IN" sz="1200" b="0" i="0">
            <a:solidFill>
              <a:schemeClr val="dk1"/>
            </a:solidFill>
            <a:effectLst/>
            <a:latin typeface="+mn-lt"/>
            <a:ea typeface="+mn-ea"/>
            <a:cs typeface="+mn-cs"/>
          </a:endParaRPr>
        </a:p>
        <a:p>
          <a:r>
            <a:rPr lang="en-IN" sz="2000" b="1" i="0">
              <a:solidFill>
                <a:schemeClr val="dk1"/>
              </a:solidFill>
              <a:effectLst/>
              <a:latin typeface="+mn-lt"/>
              <a:ea typeface="+mn-ea"/>
              <a:cs typeface="+mn-cs"/>
            </a:rPr>
            <a:t>3.</a:t>
          </a:r>
          <a:r>
            <a:rPr lang="en-IN" sz="2000" b="1" i="0" baseline="0">
              <a:solidFill>
                <a:schemeClr val="dk1"/>
              </a:solidFill>
              <a:effectLst/>
              <a:latin typeface="+mn-lt"/>
              <a:ea typeface="+mn-ea"/>
              <a:cs typeface="+mn-cs"/>
            </a:rPr>
            <a:t> </a:t>
          </a:r>
          <a:r>
            <a:rPr lang="en-IN" sz="1800" b="1" i="0">
              <a:solidFill>
                <a:srgbClr val="FF0000"/>
              </a:solidFill>
              <a:effectLst/>
              <a:latin typeface="+mn-lt"/>
              <a:ea typeface="+mn-ea"/>
              <a:cs typeface="+mn-cs"/>
            </a:rPr>
            <a:t>Campaign with Highest ROI (Engagement vs Ad Spend) :</a:t>
          </a:r>
        </a:p>
        <a:p>
          <a:r>
            <a:rPr lang="en-IN" sz="1800" b="1" i="0">
              <a:solidFill>
                <a:schemeClr val="dk1"/>
              </a:solidFill>
              <a:effectLst/>
              <a:latin typeface="+mn-lt"/>
              <a:ea typeface="+mn-ea"/>
              <a:cs typeface="+mn-cs"/>
            </a:rPr>
            <a:t> Chillvibes achieved the highest ROI, showing a more efficient conversion of ad spend into engagement. Higher budgets did not always lead to proportionally higher returns. This highlights the importance of campaign strategy and targeting.</a:t>
          </a:r>
        </a:p>
        <a:p>
          <a:endParaRPr lang="en-IN" sz="1800" b="1" i="0">
            <a:solidFill>
              <a:schemeClr val="dk1"/>
            </a:solidFill>
            <a:effectLst/>
            <a:latin typeface="+mn-lt"/>
            <a:ea typeface="+mn-ea"/>
            <a:cs typeface="+mn-cs"/>
          </a:endParaRPr>
        </a:p>
        <a:p>
          <a:r>
            <a:rPr lang="en-IN" sz="2000" b="1" i="0">
              <a:solidFill>
                <a:schemeClr val="dk1"/>
              </a:solidFill>
              <a:effectLst/>
              <a:latin typeface="+mn-lt"/>
              <a:ea typeface="+mn-ea"/>
              <a:cs typeface="+mn-cs"/>
            </a:rPr>
            <a:t>4.</a:t>
          </a:r>
          <a:r>
            <a:rPr lang="en-IN" sz="2000" b="1" i="0" baseline="0">
              <a:solidFill>
                <a:schemeClr val="dk1"/>
              </a:solidFill>
              <a:effectLst/>
              <a:latin typeface="+mn-lt"/>
              <a:ea typeface="+mn-ea"/>
              <a:cs typeface="+mn-cs"/>
            </a:rPr>
            <a:t> </a:t>
          </a:r>
          <a:r>
            <a:rPr lang="en-IN" sz="2000" b="1" i="0" baseline="0">
              <a:solidFill>
                <a:srgbClr val="FF0000"/>
              </a:solidFill>
              <a:effectLst/>
              <a:latin typeface="+mn-lt"/>
              <a:ea typeface="+mn-ea"/>
              <a:cs typeface="+mn-cs"/>
            </a:rPr>
            <a:t>Campaign with Strongest Follower / Growth Impact:</a:t>
          </a:r>
        </a:p>
        <a:p>
          <a:r>
            <a:rPr lang="en-IN" sz="2000" b="1" i="0" baseline="0">
              <a:solidFill>
                <a:schemeClr val="dk1"/>
              </a:solidFill>
              <a:effectLst/>
              <a:latin typeface="+mn-lt"/>
              <a:ea typeface="+mn-ea"/>
              <a:cs typeface="+mn-cs"/>
            </a:rPr>
            <a:t>Summerbeats had the highest follower growth, indicating it was more effective at attracting an audience. This suggests that some campaigns are better at promoting long-term community growth instead of just short-term engagement.</a:t>
          </a:r>
          <a:endParaRPr lang="en-IN" sz="1800" b="1" i="0">
            <a:solidFill>
              <a:schemeClr val="dk1"/>
            </a:solidFill>
            <a:effectLst/>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0461eba42148713/Dokumen/Spotify_Social_Media_Analytics_Project/Task%201%20-%20Data%20Cleaning.xlsx.xlsx" TargetMode="External"/><Relationship Id="rId1" Type="http://schemas.openxmlformats.org/officeDocument/2006/relationships/externalLinkPath" Target="Task%201%20-%20Data%20Cleaning.xls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sts"/>
      <sheetName val="Campaign Metadata "/>
      <sheetName val="Engagement Summary"/>
      <sheetName val="hashtag splitting"/>
    </sheetNames>
    <sheetDataSet>
      <sheetData sheetId="0" refreshError="1"/>
      <sheetData sheetId="1">
        <row r="1">
          <cell r="A1" t="str">
            <v>Campaign_Name</v>
          </cell>
          <cell r="B1" t="str">
            <v>Start_Date</v>
          </cell>
          <cell r="C1" t="str">
            <v>End_Date</v>
          </cell>
        </row>
        <row r="2">
          <cell r="A2" t="str">
            <v>Summerbeats</v>
          </cell>
          <cell r="B2">
            <v>45458</v>
          </cell>
          <cell r="C2">
            <v>45488</v>
          </cell>
        </row>
        <row r="3">
          <cell r="A3" t="str">
            <v>Wrapped2024</v>
          </cell>
          <cell r="B3">
            <v>45627</v>
          </cell>
          <cell r="C3">
            <v>45657</v>
          </cell>
        </row>
        <row r="4">
          <cell r="A4" t="str">
            <v>Chillvibes</v>
          </cell>
          <cell r="B4">
            <v>45667</v>
          </cell>
          <cell r="C4">
            <v>45698</v>
          </cell>
        </row>
        <row r="5">
          <cell r="A5" t="str">
            <v>Indiewave</v>
          </cell>
          <cell r="B5">
            <v>45717</v>
          </cell>
          <cell r="C5">
            <v>45747</v>
          </cell>
        </row>
      </sheetData>
      <sheetData sheetId="2" refreshError="1"/>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dabir Lateef" refreshedDate="46073.710100925928" createdVersion="8" refreshedVersion="8" minRefreshableVersion="3" recordCount="301" xr:uid="{15F1DEF3-9D64-4557-B3C7-CE34F1E556D0}">
  <cacheSource type="worksheet">
    <worksheetSource ref="A1:P302" sheet="Posts"/>
  </cacheSource>
  <cacheFields count="16">
    <cacheField name="Post ID" numFmtId="0">
      <sharedItems containsBlank="1"/>
    </cacheField>
    <cacheField name="Platform" numFmtId="49">
      <sharedItems containsBlank="1"/>
    </cacheField>
    <cacheField name="Date" numFmtId="0">
      <sharedItems containsNonDate="0" containsDate="1" containsString="0" containsBlank="1" minDate="2024-01-01T00:00:00" maxDate="2025-07-02T00:00:00"/>
    </cacheField>
    <cacheField name="Content Type" numFmtId="49">
      <sharedItems containsBlank="1"/>
    </cacheField>
    <cacheField name="Post Text" numFmtId="49">
      <sharedItems containsBlank="1"/>
    </cacheField>
    <cacheField name="Likes" numFmtId="1">
      <sharedItems containsString="0" containsBlank="1" containsNumber="1" containsInteger="1" minValue="1010" maxValue="4995"/>
    </cacheField>
    <cacheField name="Shares" numFmtId="1">
      <sharedItems containsString="0" containsBlank="1" containsNumber="1" containsInteger="1" minValue="100" maxValue="499"/>
    </cacheField>
    <cacheField name="Comments" numFmtId="1">
      <sharedItems containsString="0" containsBlank="1" containsNumber="1" containsInteger="1" minValue="51" maxValue="400"/>
    </cacheField>
    <cacheField name="Impressions" numFmtId="1">
      <sharedItems containsString="0" containsBlank="1" containsNumber="1" containsInteger="1" minValue="20368" maxValue="59888"/>
    </cacheField>
    <cacheField name="Reach" numFmtId="1">
      <sharedItems containsString="0" containsBlank="1" containsNumber="1" containsInteger="1" minValue="18091" maxValue="74761"/>
    </cacheField>
    <cacheField name="Clicks" numFmtId="1">
      <sharedItems containsString="0" containsBlank="1" containsNumber="1" containsInteger="1" minValue="80" maxValue="299"/>
    </cacheField>
    <cacheField name="Hashtags Used" numFmtId="49">
      <sharedItems containsBlank="1"/>
    </cacheField>
    <cacheField name="Campaign_Name" numFmtId="0">
      <sharedItems containsBlank="1" count="5">
        <s v="Chillvibes"/>
        <s v="Indiewave"/>
        <s v="Wrapped2024"/>
        <s v="Summerbeats"/>
        <m/>
      </sharedItems>
    </cacheField>
    <cacheField name="Campaign start date " numFmtId="0">
      <sharedItems containsNonDate="0" containsDate="1" containsString="0" containsBlank="1" minDate="2024-06-15T00:00:00" maxDate="2025-03-02T00:00:00"/>
    </cacheField>
    <cacheField name="Campaign end date" numFmtId="0">
      <sharedItems containsNonDate="0" containsDate="1" containsString="0" containsBlank="1" minDate="2024-07-15T00:00:00" maxDate="2025-04-01T00:00:00"/>
    </cacheField>
    <cacheField name="Campaign phase" numFmtId="1">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dabir Lateef" refreshedDate="46073.715007175924" createdVersion="8" refreshedVersion="8" minRefreshableVersion="3" recordCount="300" xr:uid="{5F60B85C-0D5E-44D6-A77C-10BE9FD3ECA0}">
  <cacheSource type="worksheet">
    <worksheetSource name="Table4"/>
  </cacheSource>
  <cacheFields count="18">
    <cacheField name="Post ID" numFmtId="0">
      <sharedItems/>
    </cacheField>
    <cacheField name="Platform" numFmtId="49">
      <sharedItems/>
    </cacheField>
    <cacheField name="Date" numFmtId="14">
      <sharedItems containsSemiMixedTypes="0" containsNonDate="0" containsDate="1" containsString="0" minDate="2024-01-01T00:00:00" maxDate="2025-07-02T00:00:00"/>
    </cacheField>
    <cacheField name="Content Type" numFmtId="49">
      <sharedItems/>
    </cacheField>
    <cacheField name="Post Text" numFmtId="49">
      <sharedItems/>
    </cacheField>
    <cacheField name="Likes" numFmtId="1">
      <sharedItems containsSemiMixedTypes="0" containsString="0" containsNumber="1" containsInteger="1" minValue="1010" maxValue="4995"/>
    </cacheField>
    <cacheField name="Shares" numFmtId="1">
      <sharedItems containsSemiMixedTypes="0" containsString="0" containsNumber="1" containsInteger="1" minValue="100" maxValue="499"/>
    </cacheField>
    <cacheField name="Comments" numFmtId="1">
      <sharedItems containsSemiMixedTypes="0" containsString="0" containsNumber="1" containsInteger="1" minValue="51" maxValue="400"/>
    </cacheField>
    <cacheField name="Impressions" numFmtId="1">
      <sharedItems containsSemiMixedTypes="0" containsString="0" containsNumber="1" containsInteger="1" minValue="20368" maxValue="59888"/>
    </cacheField>
    <cacheField name="Reach" numFmtId="1">
      <sharedItems containsSemiMixedTypes="0" containsString="0" containsNumber="1" containsInteger="1" minValue="18091" maxValue="74761"/>
    </cacheField>
    <cacheField name="Clicks" numFmtId="1">
      <sharedItems containsSemiMixedTypes="0" containsString="0" containsNumber="1" containsInteger="1" minValue="80" maxValue="299"/>
    </cacheField>
    <cacheField name="Hashtags Used" numFmtId="49">
      <sharedItems/>
    </cacheField>
    <cacheField name="Campaign_Name" numFmtId="0">
      <sharedItems count="4">
        <s v="Chillvibes"/>
        <s v="Indiewave"/>
        <s v="Wrapped2024"/>
        <s v="Summerbeats"/>
      </sharedItems>
    </cacheField>
    <cacheField name="Campaign start date " numFmtId="14">
      <sharedItems containsSemiMixedTypes="0" containsNonDate="0" containsDate="1" containsString="0" minDate="2024-06-15T00:00:00" maxDate="2025-03-02T00:00:00"/>
    </cacheField>
    <cacheField name="Campaign end date" numFmtId="14">
      <sharedItems containsSemiMixedTypes="0" containsNonDate="0" containsDate="1" containsString="0" minDate="2024-07-15T00:00:00" maxDate="2025-04-01T00:00:00"/>
    </cacheField>
    <cacheField name="Campaign phase" numFmtId="1">
      <sharedItems count="3">
        <s v="AFTER"/>
        <s v="BEFORE"/>
        <s v="DURING"/>
      </sharedItems>
    </cacheField>
    <cacheField name="Engagement Rate" numFmtId="0">
      <sharedItems containsSemiMixedTypes="0" containsString="0" containsNumber="1" minValue="2.50275284149232E-2" maxValue="0.26064752360763155"/>
    </cacheField>
    <cacheField name="Engagement" numFmtId="1">
      <sharedItems containsSemiMixedTypes="0" containsString="0" containsNumber="1" containsInteger="1" minValue="1341" maxValue="572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dabir Lateef" refreshedDate="46073.733372569448" createdVersion="8" refreshedVersion="8" minRefreshableVersion="3" recordCount="4" xr:uid="{113F0745-F670-41B1-BF9D-EE27F3853AF5}">
  <cacheSource type="worksheet">
    <worksheetSource name="Table3"/>
  </cacheSource>
  <cacheFields count="10">
    <cacheField name="Campaign_Name" numFmtId="49">
      <sharedItems count="4">
        <s v="Summerbeats"/>
        <s v="Wrapped2024"/>
        <s v="Chillvibes"/>
        <s v="Indiewave"/>
      </sharedItems>
    </cacheField>
    <cacheField name="Start_Date" numFmtId="14">
      <sharedItems containsSemiMixedTypes="0" containsNonDate="0" containsDate="1" containsString="0" minDate="2024-06-15T00:00:00" maxDate="2025-03-02T00:00:00"/>
    </cacheField>
    <cacheField name="End_Date" numFmtId="14">
      <sharedItems containsSemiMixedTypes="0" containsNonDate="0" containsDate="1" containsString="0" minDate="2024-07-15T00:00:00" maxDate="2025-04-01T00:00:00"/>
    </cacheField>
    <cacheField name="Objective" numFmtId="0">
      <sharedItems/>
    </cacheField>
    <cacheField name="Objective2" numFmtId="0">
      <sharedItems/>
    </cacheField>
    <cacheField name="Total_Budget" numFmtId="0">
      <sharedItems containsSemiMixedTypes="0" containsString="0" containsNumber="1" containsInteger="1" minValue="160000" maxValue="225000"/>
    </cacheField>
    <cacheField name="Target_Platforms" numFmtId="0">
      <sharedItems/>
    </cacheField>
    <cacheField name="Primary_Hashtags" numFmtId="0">
      <sharedItems/>
    </cacheField>
    <cacheField name="Engagement" numFmtId="0">
      <sharedItems containsSemiMixedTypes="0" containsString="0" containsNumber="1" containsInteger="1" minValue="50687" maxValue="77499"/>
    </cacheField>
    <cacheField name="Followers" numFmtId="0">
      <sharedItems containsSemiMixedTypes="0" containsString="0" containsNumber="1" containsInteger="1" minValue="10142" maxValue="1355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s v="SP001"/>
    <s v="Instagram"/>
    <d v="2025-05-04T00:00:00"/>
    <s v="Text"/>
    <s v="Discover Fresh Beats On Spotify!"/>
    <n v="2414"/>
    <n v="245"/>
    <n v="137"/>
    <n v="21181"/>
    <n v="45292"/>
    <n v="133"/>
    <s v="#Soundtrackoflife,#Nowplaying"/>
    <x v="0"/>
    <d v="2025-01-10T00:00:00"/>
    <d v="2025-02-10T00:00:00"/>
    <s v="AFTER"/>
  </r>
  <r>
    <s v="SP002"/>
    <s v="Instagram"/>
    <d v="2025-02-01T00:00:00"/>
    <s v="Text"/>
    <s v="Explore The Latest Podcasts Now."/>
    <n v="1934"/>
    <n v="210"/>
    <n v="393"/>
    <n v="29129"/>
    <n v="73287"/>
    <n v="273"/>
    <s v="#Discoverweekly"/>
    <x v="1"/>
    <d v="2025-03-01T00:00:00"/>
    <d v="2025-03-31T00:00:00"/>
    <s v="BEFORE"/>
  </r>
  <r>
    <s v="SP003"/>
    <s v="Twitter"/>
    <d v="2024-12-03T00:00:00"/>
    <s v="Story"/>
    <s v="New Music Just Dropped. Hit Play!"/>
    <n v="3092"/>
    <n v="177"/>
    <n v="81"/>
    <n v="47533"/>
    <n v="29220"/>
    <n v="121"/>
    <s v="#Musicforeveryone,#Nowplaying"/>
    <x v="0"/>
    <d v="2025-01-10T00:00:00"/>
    <d v="2025-02-10T00:00:00"/>
    <s v="BEFORE"/>
  </r>
  <r>
    <s v="SP004"/>
    <s v="Instagram"/>
    <d v="2024-12-03T00:00:00"/>
    <s v="Text"/>
    <s v="Wrapped Is Here! Relive Your Top Tracks Ðÿž§"/>
    <n v="3173"/>
    <n v="229"/>
    <n v="197"/>
    <n v="29604"/>
    <n v="21809"/>
    <n v="272"/>
    <s v="#Soundtrackoflife,#Nowplaying"/>
    <x v="0"/>
    <d v="2025-01-10T00:00:00"/>
    <d v="2025-02-10T00:00:00"/>
    <s v="BEFORE"/>
  </r>
  <r>
    <s v="SP005"/>
    <s v="Youtube"/>
    <d v="2024-04-06T00:00:00"/>
    <s v="Text"/>
    <s v="Music That Moves Youâ€”Only On Spotify."/>
    <n v="2748"/>
    <n v="145"/>
    <n v="315"/>
    <n v="24401"/>
    <n v="61182"/>
    <n v="200"/>
    <s v="#Discoverweekly,#Spotifywrapped"/>
    <x v="1"/>
    <d v="2025-03-01T00:00:00"/>
    <d v="2025-03-31T00:00:00"/>
    <s v="BEFORE"/>
  </r>
  <r>
    <s v="SP006"/>
    <s v="Youtube"/>
    <d v="2024-06-13T00:00:00"/>
    <s v="Text"/>
    <s v="Whatâ€™S Your Vibe Today? #Spotifyhits"/>
    <n v="3882"/>
    <n v="239"/>
    <n v="275"/>
    <n v="58748"/>
    <n v="44646"/>
    <n v="149"/>
    <s v="#Discoverweekly,#Spotifywrapped"/>
    <x v="1"/>
    <d v="2025-03-01T00:00:00"/>
    <d v="2025-03-31T00:00:00"/>
    <s v="BEFORE"/>
  </r>
  <r>
    <s v="SP007"/>
    <s v="Twitter"/>
    <d v="2024-12-19T00:00:00"/>
    <s v="Story"/>
    <s v="Get Into The Groove With Our New Drop!"/>
    <n v="4674"/>
    <n v="409"/>
    <n v="327"/>
    <n v="20756"/>
    <n v="63599"/>
    <n v="212"/>
    <s v="#Soundtrackoflife,#Nowplaying"/>
    <x v="0"/>
    <d v="2025-01-10T00:00:00"/>
    <d v="2025-02-10T00:00:00"/>
    <s v="BEFORE"/>
  </r>
  <r>
    <s v="SP008"/>
    <s v="Twitter"/>
    <d v="2024-05-09T00:00:00"/>
    <s v="Story"/>
    <s v="Wrapped Is Here! Relive Your Top Tracks Ðÿž§"/>
    <n v="1428"/>
    <n v="347"/>
    <n v="67"/>
    <n v="21148"/>
    <n v="19712"/>
    <n v="120"/>
    <s v="#Discoverweekly,#Musicforeveryone"/>
    <x v="0"/>
    <d v="2025-01-10T00:00:00"/>
    <d v="2025-02-10T00:00:00"/>
    <s v="BEFORE"/>
  </r>
  <r>
    <s v="SP009"/>
    <s v="Twitter"/>
    <d v="2025-06-15T00:00:00"/>
    <s v="Text"/>
    <s v="Top Trending Tracks Updated Daily!"/>
    <n v="4432"/>
    <n v="223"/>
    <n v="299"/>
    <n v="59016"/>
    <n v="21742"/>
    <n v="171"/>
    <s v="#Nowplaying"/>
    <x v="0"/>
    <d v="2025-01-10T00:00:00"/>
    <d v="2025-02-10T00:00:00"/>
    <s v="AFTER"/>
  </r>
  <r>
    <s v="SP010"/>
    <s v="Twitter"/>
    <d v="2024-12-04T00:00:00"/>
    <s v="Text"/>
    <s v="Wrapped Is Here! Relive Your Top Tracks Ðÿž§"/>
    <n v="2357"/>
    <n v="274"/>
    <n v="172"/>
    <n v="21566"/>
    <n v="66829"/>
    <n v="284"/>
    <s v="#Nowplaying"/>
    <x v="0"/>
    <d v="2025-01-10T00:00:00"/>
    <d v="2025-02-10T00:00:00"/>
    <s v="BEFORE"/>
  </r>
  <r>
    <s v="SP011"/>
    <s v="Twitter"/>
    <d v="2024-03-06T00:00:00"/>
    <s v="Text"/>
    <s v="Discover Fresh Beats On Spotify!"/>
    <n v="1971"/>
    <n v="370"/>
    <n v="306"/>
    <n v="31316"/>
    <n v="27897"/>
    <n v="88"/>
    <s v="#Soundtrackoflife"/>
    <x v="1"/>
    <d v="2025-03-01T00:00:00"/>
    <d v="2025-03-31T00:00:00"/>
    <s v="BEFORE"/>
  </r>
  <r>
    <s v="SP012"/>
    <s v="Instagram"/>
    <d v="2024-05-14T00:00:00"/>
    <s v="Text"/>
    <s v="Discover Fresh Beats On Spotify!"/>
    <n v="1485"/>
    <n v="353"/>
    <n v="244"/>
    <n v="38419"/>
    <n v="38556"/>
    <n v="86"/>
    <s v="#Soundtrackoflife,#Nowplaying"/>
    <x v="0"/>
    <d v="2025-01-10T00:00:00"/>
    <d v="2025-02-10T00:00:00"/>
    <s v="BEFORE"/>
  </r>
  <r>
    <s v="SP013"/>
    <s v="Twitter"/>
    <d v="2025-06-18T00:00:00"/>
    <s v="Story"/>
    <s v="Discover Fresh Beats On Spotify!"/>
    <n v="3956"/>
    <n v="319"/>
    <n v="61"/>
    <n v="58162"/>
    <n v="28720"/>
    <n v="213"/>
    <s v="#Musicforeveryone,#Nowplaying"/>
    <x v="0"/>
    <d v="2025-01-10T00:00:00"/>
    <d v="2025-02-10T00:00:00"/>
    <s v="AFTER"/>
  </r>
  <r>
    <s v="SP014"/>
    <s v="Twitter"/>
    <d v="2024-10-08T00:00:00"/>
    <s v="Text"/>
    <s v="From Pop To Podcasts, Itâ€™S All Here."/>
    <n v="2460"/>
    <n v="409"/>
    <n v="253"/>
    <n v="36702"/>
    <n v="46122"/>
    <n v="264"/>
    <s v="#Nowplaying"/>
    <x v="0"/>
    <d v="2025-01-10T00:00:00"/>
    <d v="2025-02-10T00:00:00"/>
    <s v="BEFORE"/>
  </r>
  <r>
    <s v="SP015"/>
    <s v="Twitter"/>
    <d v="2024-05-06T00:00:00"/>
    <s v="Text"/>
    <s v="Your Weekend Playlist Is Waiting."/>
    <n v="3476"/>
    <n v="355"/>
    <n v="396"/>
    <n v="37492"/>
    <n v="27285"/>
    <n v="179"/>
    <s v="#Nowplaying"/>
    <x v="0"/>
    <d v="2025-01-10T00:00:00"/>
    <d v="2025-02-10T00:00:00"/>
    <s v="BEFORE"/>
  </r>
  <r>
    <s v="SP016"/>
    <s v="Twitter"/>
    <d v="2024-12-29T00:00:00"/>
    <s v="Story"/>
    <s v="New Music Just Dropped. Hit Play!"/>
    <n v="4049"/>
    <n v="377"/>
    <n v="94"/>
    <n v="48182"/>
    <n v="42875"/>
    <n v="172"/>
    <s v="#Musicforeveryone,#Nowplaying"/>
    <x v="0"/>
    <d v="2025-01-10T00:00:00"/>
    <d v="2025-02-10T00:00:00"/>
    <s v="BEFORE"/>
  </r>
  <r>
    <s v="SP017"/>
    <s v="Twitter"/>
    <d v="2024-06-10T00:00:00"/>
    <s v="Text"/>
    <s v="Whatâ€™S Your Vibe Today? #Spotifyhits"/>
    <n v="1514"/>
    <n v="164"/>
    <n v="275"/>
    <n v="41364"/>
    <n v="44389"/>
    <n v="83"/>
    <s v="#Nowplaying"/>
    <x v="0"/>
    <d v="2025-01-10T00:00:00"/>
    <d v="2025-02-10T00:00:00"/>
    <s v="BEFORE"/>
  </r>
  <r>
    <s v="SP018"/>
    <s v="Instagram"/>
    <d v="2024-02-03T00:00:00"/>
    <s v="Story"/>
    <s v="Music That Moves Youâ€”Only On Spotify."/>
    <n v="4281"/>
    <n v="101"/>
    <n v="163"/>
    <n v="32278"/>
    <n v="53382"/>
    <n v="235"/>
    <s v="#Nowplaying"/>
    <x v="2"/>
    <d v="2024-12-01T00:00:00"/>
    <d v="2024-12-31T00:00:00"/>
    <s v="BEFORE"/>
  </r>
  <r>
    <s v="SP019"/>
    <s v="Youtube"/>
    <d v="2024-06-15T00:00:00"/>
    <s v="Reel"/>
    <s v="Get Into The Groove With Our New Drop!"/>
    <n v="1751"/>
    <n v="143"/>
    <n v="151"/>
    <n v="31826"/>
    <n v="47729"/>
    <n v="95"/>
    <s v="#Discoverweekly,#Soundtrackoflife"/>
    <x v="3"/>
    <d v="2024-06-15T00:00:00"/>
    <d v="2024-07-15T00:00:00"/>
    <s v="DURING"/>
  </r>
  <r>
    <s v="SP020"/>
    <s v="Instagram"/>
    <d v="2024-07-05T00:00:00"/>
    <s v="Text"/>
    <s v="Your Weekend Playlist Is Waiting."/>
    <n v="3753"/>
    <n v="411"/>
    <n v="308"/>
    <n v="29138"/>
    <n v="27678"/>
    <n v="90"/>
    <s v="#Discoverweekly"/>
    <x v="1"/>
    <d v="2025-03-01T00:00:00"/>
    <d v="2025-03-31T00:00:00"/>
    <s v="BEFORE"/>
  </r>
  <r>
    <s v="SP021"/>
    <s v="Instagram"/>
    <d v="2024-11-07T00:00:00"/>
    <s v="Story"/>
    <s v="Wrapped Is Here! Relive Your Top Tracks Ðÿž§"/>
    <n v="1678"/>
    <n v="423"/>
    <n v="323"/>
    <n v="55668"/>
    <n v="37945"/>
    <n v="230"/>
    <s v="#Nowplaying"/>
    <x v="2"/>
    <d v="2024-12-01T00:00:00"/>
    <d v="2024-12-31T00:00:00"/>
    <s v="BEFORE"/>
  </r>
  <r>
    <s v="SP022"/>
    <s v="Instagram"/>
    <d v="2025-06-15T00:00:00"/>
    <s v="Text"/>
    <s v="Whatâ€™S Your Vibe Today? #Spotifyhits"/>
    <n v="4896"/>
    <n v="466"/>
    <n v="233"/>
    <n v="28621"/>
    <n v="34270"/>
    <n v="84"/>
    <s v="#Soundtrackoflife,#Nowplaying"/>
    <x v="0"/>
    <d v="2025-01-10T00:00:00"/>
    <d v="2025-02-10T00:00:00"/>
    <s v="AFTER"/>
  </r>
  <r>
    <s v="SP023"/>
    <s v="Youtube"/>
    <d v="2024-06-09T00:00:00"/>
    <s v="Reel"/>
    <s v="From Pop To Podcasts, Itâ€™S All Here."/>
    <n v="2786"/>
    <n v="368"/>
    <n v="208"/>
    <n v="42000"/>
    <n v="39967"/>
    <n v="103"/>
    <s v="#Discoverweekly,#Soundtrackoflife"/>
    <x v="3"/>
    <d v="2024-06-15T00:00:00"/>
    <d v="2024-07-15T00:00:00"/>
    <s v="BEFORE"/>
  </r>
  <r>
    <s v="SP024"/>
    <s v="Twitter"/>
    <d v="2024-10-18T00:00:00"/>
    <s v="Text"/>
    <s v="New Music Just Dropped. Hit Play!"/>
    <n v="2607"/>
    <n v="379"/>
    <n v="180"/>
    <n v="28712"/>
    <n v="61620"/>
    <n v="174"/>
    <s v="#Soundtrackoflife"/>
    <x v="1"/>
    <d v="2025-03-01T00:00:00"/>
    <d v="2025-03-31T00:00:00"/>
    <s v="BEFORE"/>
  </r>
  <r>
    <s v="SP025"/>
    <s v="Youtube"/>
    <d v="2024-10-10T00:00:00"/>
    <s v="Reel"/>
    <s v="From Pop To Podcasts, Itâ€™S All Here."/>
    <n v="4013"/>
    <n v="320"/>
    <n v="92"/>
    <n v="54605"/>
    <n v="60169"/>
    <n v="232"/>
    <s v="#Discoverweekly,#Soundtrackoflife"/>
    <x v="3"/>
    <d v="2024-06-15T00:00:00"/>
    <d v="2024-07-15T00:00:00"/>
    <s v="AFTER"/>
  </r>
  <r>
    <s v="SP026"/>
    <s v="Twitter"/>
    <d v="2025-05-14T00:00:00"/>
    <s v="Story"/>
    <s v="From Pop To Podcasts, Itâ€™S All Here."/>
    <n v="2707"/>
    <n v="103"/>
    <n v="51"/>
    <n v="55302"/>
    <n v="18801"/>
    <n v="147"/>
    <s v="#Discoverweekly,#Musicforeveryone"/>
    <x v="0"/>
    <d v="2025-01-10T00:00:00"/>
    <d v="2025-02-10T00:00:00"/>
    <s v="AFTER"/>
  </r>
  <r>
    <s v="SP027"/>
    <s v="Instagram"/>
    <d v="2024-11-29T00:00:00"/>
    <s v="Text"/>
    <s v="Whatâ€™S Your Vibe Today? #Spotifyhits"/>
    <n v="2824"/>
    <n v="425"/>
    <n v="274"/>
    <n v="31004"/>
    <n v="53488"/>
    <n v="268"/>
    <s v="#Soundtrackoflife,#Nowplaying"/>
    <x v="0"/>
    <d v="2025-01-10T00:00:00"/>
    <d v="2025-02-10T00:00:00"/>
    <s v="BEFORE"/>
  </r>
  <r>
    <s v="SP028"/>
    <s v="Youtube"/>
    <d v="2024-03-05T00:00:00"/>
    <s v="Reel"/>
    <s v="Explore The Latest Podcasts Now."/>
    <n v="3558"/>
    <n v="314"/>
    <n v="199"/>
    <n v="49612"/>
    <n v="53929"/>
    <n v="206"/>
    <s v="#Discoverweekly,#Soundtrackoflife"/>
    <x v="3"/>
    <d v="2024-06-15T00:00:00"/>
    <d v="2024-07-15T00:00:00"/>
    <s v="BEFORE"/>
  </r>
  <r>
    <s v="SP029"/>
    <s v="Twitter"/>
    <d v="2025-03-18T00:00:00"/>
    <s v="Story"/>
    <s v="Explore The Latest Podcasts Now."/>
    <n v="3418"/>
    <n v="188"/>
    <n v="387"/>
    <n v="57431"/>
    <n v="36933"/>
    <n v="202"/>
    <s v="#Musicforeveryone,#Nowplaying"/>
    <x v="0"/>
    <d v="2025-01-10T00:00:00"/>
    <d v="2025-02-10T00:00:00"/>
    <s v="AFTER"/>
  </r>
  <r>
    <s v="SP030"/>
    <s v="Twitter"/>
    <d v="2025-04-26T00:00:00"/>
    <s v="Text"/>
    <s v="Discover Fresh Beats On Spotify!"/>
    <n v="2411"/>
    <n v="194"/>
    <n v="168"/>
    <n v="26665"/>
    <n v="71699"/>
    <n v="197"/>
    <s v="#Nowplaying"/>
    <x v="0"/>
    <d v="2025-01-10T00:00:00"/>
    <d v="2025-02-10T00:00:00"/>
    <s v="AFTER"/>
  </r>
  <r>
    <s v="SP031"/>
    <s v="Instagram"/>
    <d v="2025-01-01T00:00:00"/>
    <s v="Text"/>
    <s v="New Music Just Dropped. Hit Play!"/>
    <n v="4036"/>
    <n v="112"/>
    <n v="382"/>
    <n v="56284"/>
    <n v="29440"/>
    <n v="279"/>
    <s v="#Soundtrackoflife,#Nowplaying"/>
    <x v="0"/>
    <d v="2025-01-10T00:00:00"/>
    <d v="2025-02-10T00:00:00"/>
    <s v="BEFORE"/>
  </r>
  <r>
    <s v="SP032"/>
    <s v="Twitter"/>
    <d v="2024-05-07T00:00:00"/>
    <s v="Story"/>
    <s v="Explore The Latest Podcasts Now."/>
    <n v="2776"/>
    <n v="307"/>
    <n v="178"/>
    <n v="43365"/>
    <n v="48408"/>
    <n v="138"/>
    <s v="#Soundtrackoflife,#Nowplaying"/>
    <x v="0"/>
    <d v="2025-01-10T00:00:00"/>
    <d v="2025-02-10T00:00:00"/>
    <s v="BEFORE"/>
  </r>
  <r>
    <s v="SP033"/>
    <s v="Twitter"/>
    <d v="2024-10-09T00:00:00"/>
    <s v="Story"/>
    <s v="Discover Fresh Beats On Spotify!"/>
    <n v="4929"/>
    <n v="182"/>
    <n v="95"/>
    <n v="32181"/>
    <n v="31084"/>
    <n v="289"/>
    <s v="#Discoverweekly,#Musicforeveryone"/>
    <x v="0"/>
    <d v="2025-01-10T00:00:00"/>
    <d v="2025-02-10T00:00:00"/>
    <s v="BEFORE"/>
  </r>
  <r>
    <s v="SP034"/>
    <s v="Instagram"/>
    <d v="2025-01-09T00:00:00"/>
    <s v="Text"/>
    <s v="New Music Just Dropped. Hit Play!"/>
    <n v="1015"/>
    <n v="366"/>
    <n v="308"/>
    <n v="38127"/>
    <n v="63790"/>
    <n v="287"/>
    <s v="#Soundtrackoflife,#Nowplaying"/>
    <x v="0"/>
    <d v="2025-01-10T00:00:00"/>
    <d v="2025-02-10T00:00:00"/>
    <s v="BEFORE"/>
  </r>
  <r>
    <s v="SP035"/>
    <s v="Twitter"/>
    <d v="2025-05-08T00:00:00"/>
    <s v="Story"/>
    <s v="Your Weekend Playlist Is Waiting."/>
    <n v="3316"/>
    <n v="332"/>
    <n v="268"/>
    <n v="40095"/>
    <n v="36913"/>
    <n v="265"/>
    <s v="#Musicforeveryone,#Nowplaying"/>
    <x v="0"/>
    <d v="2025-01-10T00:00:00"/>
    <d v="2025-02-10T00:00:00"/>
    <s v="AFTER"/>
  </r>
  <r>
    <s v="SP036"/>
    <s v="Instagram"/>
    <d v="2024-05-04T00:00:00"/>
    <s v="Text"/>
    <s v="Wrapped Is Here! Relive Your Top Tracks Ðÿž§"/>
    <n v="2274"/>
    <n v="243"/>
    <n v="222"/>
    <n v="43066"/>
    <n v="59174"/>
    <n v="80"/>
    <s v="#Discoverweekly"/>
    <x v="1"/>
    <d v="2025-03-01T00:00:00"/>
    <d v="2025-03-31T00:00:00"/>
    <s v="BEFORE"/>
  </r>
  <r>
    <s v="SP037"/>
    <s v="Twitter"/>
    <d v="2025-05-27T00:00:00"/>
    <s v="Story"/>
    <s v="Explore The Latest Podcasts Now."/>
    <n v="4095"/>
    <n v="385"/>
    <n v="400"/>
    <n v="45300"/>
    <n v="31795"/>
    <n v="80"/>
    <s v="#Musicforeveryone,#Nowplaying"/>
    <x v="0"/>
    <d v="2025-01-10T00:00:00"/>
    <d v="2025-02-10T00:00:00"/>
    <s v="AFTER"/>
  </r>
  <r>
    <s v="SP038"/>
    <s v="Instagram"/>
    <d v="2024-09-10T00:00:00"/>
    <s v="Story"/>
    <s v="New Music Just Dropped. Hit Play!"/>
    <n v="1230"/>
    <n v="309"/>
    <n v="207"/>
    <n v="44629"/>
    <n v="40699"/>
    <n v="195"/>
    <s v="#Nowplaying"/>
    <x v="2"/>
    <d v="2024-12-01T00:00:00"/>
    <d v="2024-12-31T00:00:00"/>
    <s v="BEFORE"/>
  </r>
  <r>
    <s v="SP039"/>
    <s v="Instagram"/>
    <d v="2024-11-25T00:00:00"/>
    <s v="Text"/>
    <s v="From Pop To Podcasts, Itâ€™S All Here."/>
    <n v="1341"/>
    <n v="472"/>
    <n v="238"/>
    <n v="51386"/>
    <n v="51706"/>
    <n v="133"/>
    <s v="#Discoverweekly"/>
    <x v="1"/>
    <d v="2025-03-01T00:00:00"/>
    <d v="2025-03-31T00:00:00"/>
    <s v="BEFORE"/>
  </r>
  <r>
    <s v="SP040"/>
    <s v="Twitter"/>
    <d v="2025-06-10T00:00:00"/>
    <s v="Text"/>
    <s v="Explore The Latest Podcasts Now."/>
    <n v="3615"/>
    <n v="192"/>
    <n v="162"/>
    <n v="27492"/>
    <n v="35341"/>
    <n v="125"/>
    <s v="#Nowplaying"/>
    <x v="0"/>
    <d v="2025-01-10T00:00:00"/>
    <d v="2025-02-10T00:00:00"/>
    <s v="AFTER"/>
  </r>
  <r>
    <s v="SP041"/>
    <s v="Instagram"/>
    <d v="2024-04-19T00:00:00"/>
    <s v="Text"/>
    <s v="New Music Just Dropped. Hit Play!"/>
    <n v="4001"/>
    <n v="353"/>
    <n v="129"/>
    <n v="41265"/>
    <n v="37279"/>
    <n v="275"/>
    <s v="#Soundtrackoflife,#Nowplaying"/>
    <x v="0"/>
    <d v="2025-01-10T00:00:00"/>
    <d v="2025-02-10T00:00:00"/>
    <s v="BEFORE"/>
  </r>
  <r>
    <s v="SP042"/>
    <s v="Instagram"/>
    <d v="2025-01-26T00:00:00"/>
    <s v="Story"/>
    <s v="Whatâ€™S Your Vibe Today? #Spotifyhits"/>
    <n v="3451"/>
    <n v="363"/>
    <n v="393"/>
    <n v="44853"/>
    <n v="69032"/>
    <n v="211"/>
    <s v="#Nowplaying"/>
    <x v="2"/>
    <d v="2024-12-01T00:00:00"/>
    <d v="2024-12-31T00:00:00"/>
    <s v="AFTER"/>
  </r>
  <r>
    <s v="SP043"/>
    <s v="Instagram"/>
    <d v="2025-02-14T00:00:00"/>
    <s v="Text"/>
    <s v="Top Trending Tracks Updated Daily!"/>
    <n v="4891"/>
    <n v="450"/>
    <n v="387"/>
    <n v="48746"/>
    <n v="37312"/>
    <n v="154"/>
    <s v="#Soundtrackoflife,#Nowplaying"/>
    <x v="0"/>
    <d v="2025-01-10T00:00:00"/>
    <d v="2025-02-10T00:00:00"/>
    <s v="AFTER"/>
  </r>
  <r>
    <s v="SP044"/>
    <s v="Instagram"/>
    <d v="2024-09-06T00:00:00"/>
    <s v="Text"/>
    <s v="New Music Just Dropped. Hit Play!"/>
    <n v="1452"/>
    <n v="281"/>
    <n v="326"/>
    <n v="51556"/>
    <n v="62599"/>
    <n v="290"/>
    <s v="#Discoverweekly"/>
    <x v="1"/>
    <d v="2025-03-01T00:00:00"/>
    <d v="2025-03-31T00:00:00"/>
    <s v="BEFORE"/>
  </r>
  <r>
    <s v="SP045"/>
    <s v="Youtube"/>
    <d v="2024-07-14T00:00:00"/>
    <s v="Text"/>
    <s v="Your Weekend Playlist Is Waiting."/>
    <n v="3806"/>
    <n v="114"/>
    <n v="278"/>
    <n v="36148"/>
    <n v="24209"/>
    <n v="201"/>
    <s v="#Discoverweekly,#Spotifywrapped"/>
    <x v="1"/>
    <d v="2025-03-01T00:00:00"/>
    <d v="2025-03-31T00:00:00"/>
    <s v="BEFORE"/>
  </r>
  <r>
    <s v="SP046"/>
    <s v="Instagram"/>
    <d v="2024-02-12T00:00:00"/>
    <s v="Text"/>
    <s v="Explore The Latest Podcasts Now."/>
    <n v="2923"/>
    <n v="330"/>
    <n v="250"/>
    <n v="23993"/>
    <n v="74590"/>
    <n v="92"/>
    <s v="#Discoverweekly"/>
    <x v="1"/>
    <d v="2025-03-01T00:00:00"/>
    <d v="2025-03-31T00:00:00"/>
    <s v="BEFORE"/>
  </r>
  <r>
    <s v="SP047"/>
    <s v="Youtube"/>
    <d v="2024-03-14T00:00:00"/>
    <s v="Reel"/>
    <s v="From Pop To Podcasts, Itâ€™S All Here."/>
    <n v="3361"/>
    <n v="188"/>
    <n v="358"/>
    <n v="39838"/>
    <n v="24536"/>
    <n v="120"/>
    <s v="#Discoverweekly,#Soundtrackoflife"/>
    <x v="3"/>
    <d v="2024-06-15T00:00:00"/>
    <d v="2024-07-15T00:00:00"/>
    <s v="BEFORE"/>
  </r>
  <r>
    <s v="SP048"/>
    <s v="Instagram"/>
    <d v="2025-02-05T00:00:00"/>
    <s v="Story"/>
    <s v="Music That Moves Youâ€”Only On Spotify."/>
    <n v="3074"/>
    <n v="371"/>
    <n v="348"/>
    <n v="24104"/>
    <n v="57803"/>
    <n v="213"/>
    <s v="#Nowplaying"/>
    <x v="2"/>
    <d v="2024-12-01T00:00:00"/>
    <d v="2024-12-31T00:00:00"/>
    <s v="AFTER"/>
  </r>
  <r>
    <s v="SP049"/>
    <s v="Twitter"/>
    <d v="2024-08-29T00:00:00"/>
    <s v="Story"/>
    <s v="Get Into The Groove With Our New Drop!"/>
    <n v="4276"/>
    <n v="227"/>
    <n v="223"/>
    <n v="43443"/>
    <n v="41005"/>
    <n v="191"/>
    <s v="#Discoverweekly,#Musicforeveryone"/>
    <x v="0"/>
    <d v="2025-01-10T00:00:00"/>
    <d v="2025-02-10T00:00:00"/>
    <s v="BEFORE"/>
  </r>
  <r>
    <s v="SP050"/>
    <s v="Twitter"/>
    <d v="2025-04-22T00:00:00"/>
    <s v="Text"/>
    <s v="Discover Fresh Beats On Spotify!"/>
    <n v="4401"/>
    <n v="421"/>
    <n v="216"/>
    <n v="24890"/>
    <n v="54361"/>
    <n v="148"/>
    <s v="#Nowplaying"/>
    <x v="0"/>
    <d v="2025-01-10T00:00:00"/>
    <d v="2025-02-10T00:00:00"/>
    <s v="AFTER"/>
  </r>
  <r>
    <s v="SP051"/>
    <s v="Youtube"/>
    <d v="2024-05-13T00:00:00"/>
    <s v="Reel"/>
    <s v="Explore The Latest Podcasts Now."/>
    <n v="4161"/>
    <n v="481"/>
    <n v="61"/>
    <n v="45884"/>
    <n v="48955"/>
    <n v="215"/>
    <s v="#Discoverweekly,#Soundtrackoflife"/>
    <x v="3"/>
    <d v="2024-06-15T00:00:00"/>
    <d v="2024-07-15T00:00:00"/>
    <s v="BEFORE"/>
  </r>
  <r>
    <s v="SP052"/>
    <s v="Twitter"/>
    <d v="2024-09-04T00:00:00"/>
    <s v="Story"/>
    <s v="New Music Just Dropped. Hit Play!"/>
    <n v="2613"/>
    <n v="455"/>
    <n v="228"/>
    <n v="21645"/>
    <n v="61334"/>
    <n v="261"/>
    <s v="#Discoverweekly,#Musicforeveryone"/>
    <x v="0"/>
    <d v="2025-01-10T00:00:00"/>
    <d v="2025-02-10T00:00:00"/>
    <s v="BEFORE"/>
  </r>
  <r>
    <s v="SP053"/>
    <s v="Twitter"/>
    <d v="2024-08-12T00:00:00"/>
    <s v="Story"/>
    <s v="Whatâ€™S Your Vibe Today? #Spotifyhits"/>
    <n v="2842"/>
    <n v="213"/>
    <n v="331"/>
    <n v="57660"/>
    <n v="68606"/>
    <n v="87"/>
    <s v="#Musicforeveryone,#Nowplaying"/>
    <x v="0"/>
    <d v="2025-01-10T00:00:00"/>
    <d v="2025-02-10T00:00:00"/>
    <s v="BEFORE"/>
  </r>
  <r>
    <s v="SP054"/>
    <s v="Instagram"/>
    <d v="2025-03-06T00:00:00"/>
    <s v="Text"/>
    <s v="Get Into The Groove With Our New Drop!"/>
    <n v="4851"/>
    <n v="460"/>
    <n v="212"/>
    <n v="58075"/>
    <n v="59574"/>
    <n v="239"/>
    <s v="#Discoverweekly"/>
    <x v="1"/>
    <d v="2025-03-01T00:00:00"/>
    <d v="2025-03-31T00:00:00"/>
    <s v="DURING"/>
  </r>
  <r>
    <s v="SP055"/>
    <s v="Twitter"/>
    <d v="2024-05-08T00:00:00"/>
    <s v="Text"/>
    <s v="Explore The Latest Podcasts Now."/>
    <n v="1828"/>
    <n v="450"/>
    <n v="214"/>
    <n v="52115"/>
    <n v="19166"/>
    <n v="190"/>
    <s v="#Nowplaying"/>
    <x v="0"/>
    <d v="2025-01-10T00:00:00"/>
    <d v="2025-02-10T00:00:00"/>
    <s v="BEFORE"/>
  </r>
  <r>
    <s v="SP056"/>
    <s v="Instagram"/>
    <d v="2025-02-19T00:00:00"/>
    <s v="Story"/>
    <s v="From Pop To Podcasts, Itâ€™S All Here."/>
    <n v="2422"/>
    <n v="455"/>
    <n v="376"/>
    <n v="23428"/>
    <n v="46775"/>
    <n v="259"/>
    <s v="#Nowplaying"/>
    <x v="2"/>
    <d v="2024-12-01T00:00:00"/>
    <d v="2024-12-31T00:00:00"/>
    <s v="AFTER"/>
  </r>
  <r>
    <s v="SP057"/>
    <s v="Instagram"/>
    <d v="2024-01-08T00:00:00"/>
    <s v="Text"/>
    <s v="Top Trending Tracks Updated Daily!"/>
    <n v="2683"/>
    <n v="405"/>
    <n v="223"/>
    <n v="31233"/>
    <n v="58106"/>
    <n v="291"/>
    <s v="#Discoverweekly"/>
    <x v="1"/>
    <d v="2025-03-01T00:00:00"/>
    <d v="2025-03-31T00:00:00"/>
    <s v="BEFORE"/>
  </r>
  <r>
    <s v="SP058"/>
    <s v="Youtube"/>
    <d v="2024-07-17T00:00:00"/>
    <s v="Text"/>
    <s v="Top Trending Tracks Updated Daily!"/>
    <n v="3135"/>
    <n v="110"/>
    <n v="215"/>
    <n v="39192"/>
    <n v="24744"/>
    <n v="177"/>
    <s v="#Discoverweekly,#Spotifywrapped"/>
    <x v="1"/>
    <d v="2025-03-01T00:00:00"/>
    <d v="2025-03-31T00:00:00"/>
    <s v="BEFORE"/>
  </r>
  <r>
    <s v="SP059"/>
    <s v="Youtube"/>
    <d v="2024-08-10T00:00:00"/>
    <s v="Text"/>
    <s v="From Pop To Podcasts, Itâ€™S All Here."/>
    <n v="1105"/>
    <n v="181"/>
    <n v="55"/>
    <n v="53581"/>
    <n v="74048"/>
    <n v="220"/>
    <s v="#Discoverweekly,#Spotifywrapped"/>
    <x v="1"/>
    <d v="2025-03-01T00:00:00"/>
    <d v="2025-03-31T00:00:00"/>
    <s v="BEFORE"/>
  </r>
  <r>
    <s v="SP060"/>
    <s v="Youtube"/>
    <d v="2024-04-16T00:00:00"/>
    <s v="Text"/>
    <s v="Discover Fresh Beats On Spotify!"/>
    <n v="4674"/>
    <n v="326"/>
    <n v="62"/>
    <n v="45503"/>
    <n v="46814"/>
    <n v="116"/>
    <s v="#Discoverweekly,#Spotifywrapped"/>
    <x v="1"/>
    <d v="2025-03-01T00:00:00"/>
    <d v="2025-03-31T00:00:00"/>
    <s v="BEFORE"/>
  </r>
  <r>
    <s v="SP061"/>
    <s v="Youtube"/>
    <d v="2024-01-01T00:00:00"/>
    <s v="Reel"/>
    <s v="Explore The Latest Podcasts Now."/>
    <n v="3437"/>
    <n v="129"/>
    <n v="359"/>
    <n v="44558"/>
    <n v="30854"/>
    <n v="171"/>
    <s v="#Discoverweekly,#Soundtrackoflife"/>
    <x v="3"/>
    <d v="2024-06-15T00:00:00"/>
    <d v="2024-07-15T00:00:00"/>
    <s v="BEFORE"/>
  </r>
  <r>
    <s v="SP062"/>
    <s v="Twitter"/>
    <d v="2024-11-03T00:00:00"/>
    <s v="Story"/>
    <s v="Wrapped Is Here! Relive Your Top Tracks Ðÿž§"/>
    <n v="1959"/>
    <n v="316"/>
    <n v="82"/>
    <n v="54036"/>
    <n v="69015"/>
    <n v="182"/>
    <s v="#Musicforeveryone,#Nowplaying"/>
    <x v="0"/>
    <d v="2025-01-10T00:00:00"/>
    <d v="2025-02-10T00:00:00"/>
    <s v="BEFORE"/>
  </r>
  <r>
    <s v="SP063"/>
    <s v="Twitter"/>
    <d v="2024-07-07T00:00:00"/>
    <s v="Text"/>
    <s v="New Music Just Dropped. Hit Play!"/>
    <n v="1035"/>
    <n v="137"/>
    <n v="184"/>
    <n v="37302"/>
    <n v="68953"/>
    <n v="237"/>
    <s v="#Soundtrackoflife"/>
    <x v="1"/>
    <d v="2025-03-01T00:00:00"/>
    <d v="2025-03-31T00:00:00"/>
    <s v="BEFORE"/>
  </r>
  <r>
    <s v="SP064"/>
    <s v="Twitter"/>
    <d v="2025-01-22T00:00:00"/>
    <s v="Story"/>
    <s v="New Music Just Dropped. Hit Play!"/>
    <n v="4478"/>
    <n v="101"/>
    <n v="121"/>
    <n v="51035"/>
    <n v="58207"/>
    <n v="205"/>
    <s v="#Musicforeveryone,#Nowplaying"/>
    <x v="0"/>
    <d v="2025-01-10T00:00:00"/>
    <d v="2025-02-10T00:00:00"/>
    <s v="DURING"/>
  </r>
  <r>
    <s v="SP065"/>
    <s v="Youtube"/>
    <d v="2024-05-26T00:00:00"/>
    <s v="Text"/>
    <s v="From Pop To Podcasts, Itâ€™S All Here."/>
    <n v="1488"/>
    <n v="327"/>
    <n v="110"/>
    <n v="53805"/>
    <n v="30239"/>
    <n v="109"/>
    <s v="#Discoverweekly,#Spotifywrapped"/>
    <x v="1"/>
    <d v="2025-03-01T00:00:00"/>
    <d v="2025-03-31T00:00:00"/>
    <s v="BEFORE"/>
  </r>
  <r>
    <s v="SP066"/>
    <s v="Instagram"/>
    <d v="2025-04-16T00:00:00"/>
    <s v="Text"/>
    <s v="Wrapped Is Here! Relive Your Top Tracks Ðÿž§"/>
    <n v="4836"/>
    <n v="331"/>
    <n v="140"/>
    <n v="58792"/>
    <n v="47711"/>
    <n v="227"/>
    <s v="#Soundtrackoflife,#Nowplaying"/>
    <x v="0"/>
    <d v="2025-01-10T00:00:00"/>
    <d v="2025-02-10T00:00:00"/>
    <s v="AFTER"/>
  </r>
  <r>
    <s v="SP067"/>
    <s v="Youtube"/>
    <d v="2024-04-02T00:00:00"/>
    <s v="Reel"/>
    <s v="Your Weekend Playlist Is Waiting."/>
    <n v="4563"/>
    <n v="488"/>
    <n v="356"/>
    <n v="30619"/>
    <n v="23328"/>
    <n v="267"/>
    <s v="#Discoverweekly,#Soundtrackoflife"/>
    <x v="3"/>
    <d v="2024-06-15T00:00:00"/>
    <d v="2024-07-15T00:00:00"/>
    <s v="BEFORE"/>
  </r>
  <r>
    <s v="SP068"/>
    <s v="Twitter"/>
    <d v="2024-03-28T00:00:00"/>
    <s v="Text"/>
    <s v="Music That Moves Youâ€”Only On Spotify."/>
    <n v="3276"/>
    <n v="421"/>
    <n v="114"/>
    <n v="20580"/>
    <n v="30324"/>
    <n v="221"/>
    <s v="#Soundtrackoflife"/>
    <x v="1"/>
    <d v="2025-03-01T00:00:00"/>
    <d v="2025-03-31T00:00:00"/>
    <s v="BEFORE"/>
  </r>
  <r>
    <s v="SP069"/>
    <s v="Twitter"/>
    <d v="2024-12-17T00:00:00"/>
    <s v="Story"/>
    <s v="Music That Moves Youâ€”Only On Spotify."/>
    <n v="1316"/>
    <n v="472"/>
    <n v="286"/>
    <n v="44692"/>
    <n v="53343"/>
    <n v="227"/>
    <s v="#Discoverweekly,#Musicforeveryone"/>
    <x v="0"/>
    <d v="2025-01-10T00:00:00"/>
    <d v="2025-02-10T00:00:00"/>
    <s v="BEFORE"/>
  </r>
  <r>
    <s v="SP070"/>
    <s v="Twitter"/>
    <d v="2025-01-05T00:00:00"/>
    <s v="Text"/>
    <s v="Wrapped Is Here! Relive Your Top Tracks Ðÿž§"/>
    <n v="4811"/>
    <n v="473"/>
    <n v="254"/>
    <n v="51964"/>
    <n v="68795"/>
    <n v="107"/>
    <s v="#Nowplaying"/>
    <x v="0"/>
    <d v="2025-01-10T00:00:00"/>
    <d v="2025-02-10T00:00:00"/>
    <s v="BEFORE"/>
  </r>
  <r>
    <s v="SP071"/>
    <s v="Twitter"/>
    <d v="2024-01-11T00:00:00"/>
    <s v="Text"/>
    <s v="Whatâ€™S Your Vibe Today? #Spotifyhits"/>
    <n v="4218"/>
    <n v="247"/>
    <n v="183"/>
    <n v="28914"/>
    <n v="18310"/>
    <n v="135"/>
    <s v="#Soundtrackoflife"/>
    <x v="1"/>
    <d v="2025-03-01T00:00:00"/>
    <d v="2025-03-31T00:00:00"/>
    <s v="BEFORE"/>
  </r>
  <r>
    <s v="SP072"/>
    <s v="Instagram"/>
    <d v="2024-10-11T00:00:00"/>
    <s v="Text"/>
    <s v="From Pop To Podcasts, Itâ€™S All Here."/>
    <n v="1360"/>
    <n v="249"/>
    <n v="52"/>
    <n v="20368"/>
    <n v="42152"/>
    <n v="193"/>
    <s v="#Discoverweekly"/>
    <x v="1"/>
    <d v="2025-03-01T00:00:00"/>
    <d v="2025-03-31T00:00:00"/>
    <s v="BEFORE"/>
  </r>
  <r>
    <s v="SP073"/>
    <s v="Youtube"/>
    <d v="2025-05-06T00:00:00"/>
    <s v="Reel"/>
    <s v="Discover Fresh Beats On Spotify!"/>
    <n v="1085"/>
    <n v="496"/>
    <n v="320"/>
    <n v="36528"/>
    <n v="38599"/>
    <n v="270"/>
    <s v="#Discoverweekly,#Soundtrackoflife"/>
    <x v="3"/>
    <d v="2024-06-15T00:00:00"/>
    <d v="2024-07-15T00:00:00"/>
    <s v="AFTER"/>
  </r>
  <r>
    <s v="SP074"/>
    <s v="Twitter"/>
    <d v="2024-05-19T00:00:00"/>
    <s v="Story"/>
    <s v="Get Into The Groove With Our New Drop!"/>
    <n v="1763"/>
    <n v="206"/>
    <n v="187"/>
    <n v="53342"/>
    <n v="25095"/>
    <n v="88"/>
    <s v="#Discoverweekly,#Musicforeveryone"/>
    <x v="0"/>
    <d v="2025-01-10T00:00:00"/>
    <d v="2025-02-10T00:00:00"/>
    <s v="BEFORE"/>
  </r>
  <r>
    <s v="SP075"/>
    <s v="Twitter"/>
    <d v="2024-01-22T00:00:00"/>
    <s v="Story"/>
    <s v="From Pop To Podcasts, Itâ€™S All Here."/>
    <n v="1554"/>
    <n v="455"/>
    <n v="158"/>
    <n v="41947"/>
    <n v="48578"/>
    <n v="101"/>
    <s v="#Soundtrackoflife,#Nowplaying"/>
    <x v="0"/>
    <d v="2025-01-10T00:00:00"/>
    <d v="2025-02-10T00:00:00"/>
    <s v="BEFORE"/>
  </r>
  <r>
    <s v="SP076"/>
    <s v="Instagram"/>
    <d v="2024-07-14T00:00:00"/>
    <s v="Text"/>
    <s v="Wrapped Is Here! Relive Your Top Tracks Ðÿž§"/>
    <n v="2464"/>
    <n v="401"/>
    <n v="78"/>
    <n v="38665"/>
    <n v="73593"/>
    <n v="207"/>
    <s v="#Discoverweekly"/>
    <x v="1"/>
    <d v="2025-03-01T00:00:00"/>
    <d v="2025-03-31T00:00:00"/>
    <s v="BEFORE"/>
  </r>
  <r>
    <s v="SP077"/>
    <s v="Twitter"/>
    <d v="2025-05-28T00:00:00"/>
    <s v="Text"/>
    <s v="From Pop To Podcasts, Itâ€™S All Here."/>
    <n v="2418"/>
    <n v="161"/>
    <n v="360"/>
    <n v="30589"/>
    <n v="41383"/>
    <n v="88"/>
    <s v="#Nowplaying"/>
    <x v="0"/>
    <d v="2025-01-10T00:00:00"/>
    <d v="2025-02-10T00:00:00"/>
    <s v="AFTER"/>
  </r>
  <r>
    <s v="SP078"/>
    <s v="Twitter"/>
    <d v="2025-01-21T00:00:00"/>
    <s v="Story"/>
    <s v="Discover Fresh Beats On Spotify!"/>
    <n v="2494"/>
    <n v="494"/>
    <n v="55"/>
    <n v="22580"/>
    <n v="22214"/>
    <n v="109"/>
    <s v="#Musicforeveryone,#Nowplaying"/>
    <x v="0"/>
    <d v="2025-01-10T00:00:00"/>
    <d v="2025-02-10T00:00:00"/>
    <s v="DURING"/>
  </r>
  <r>
    <s v="SP079"/>
    <s v="Youtube"/>
    <d v="2024-01-13T00:00:00"/>
    <s v="Reel"/>
    <s v="New Music Just Dropped. Hit Play!"/>
    <n v="4781"/>
    <n v="191"/>
    <n v="122"/>
    <n v="35535"/>
    <n v="50777"/>
    <n v="128"/>
    <s v="#Discoverweekly,#Soundtrackoflife"/>
    <x v="3"/>
    <d v="2024-06-15T00:00:00"/>
    <d v="2024-07-15T00:00:00"/>
    <s v="BEFORE"/>
  </r>
  <r>
    <s v="SP080"/>
    <s v="Instagram"/>
    <d v="2025-06-17T00:00:00"/>
    <s v="Text"/>
    <s v="Music That Moves Youâ€”Only On Spotify."/>
    <n v="2284"/>
    <n v="187"/>
    <n v="260"/>
    <n v="37400"/>
    <n v="65014"/>
    <n v="157"/>
    <s v="#Soundtrackoflife,#Nowplaying"/>
    <x v="0"/>
    <d v="2025-01-10T00:00:00"/>
    <d v="2025-02-10T00:00:00"/>
    <s v="AFTER"/>
  </r>
  <r>
    <s v="SP081"/>
    <s v="Twitter"/>
    <d v="2025-03-07T00:00:00"/>
    <s v="Text"/>
    <s v="Get Into The Groove With Our New Drop!"/>
    <n v="4234"/>
    <n v="486"/>
    <n v="276"/>
    <n v="56623"/>
    <n v="41343"/>
    <n v="184"/>
    <s v="#Soundtrackoflife"/>
    <x v="1"/>
    <d v="2025-03-01T00:00:00"/>
    <d v="2025-03-31T00:00:00"/>
    <s v="DURING"/>
  </r>
  <r>
    <s v="SP082"/>
    <s v="Instagram"/>
    <d v="2024-08-26T00:00:00"/>
    <s v="Text"/>
    <s v="Your Weekend Playlist Is Waiting."/>
    <n v="2102"/>
    <n v="181"/>
    <n v="306"/>
    <n v="43650"/>
    <n v="50079"/>
    <n v="182"/>
    <s v="#Discoverweekly"/>
    <x v="1"/>
    <d v="2025-03-01T00:00:00"/>
    <d v="2025-03-31T00:00:00"/>
    <s v="BEFORE"/>
  </r>
  <r>
    <s v="SP083"/>
    <s v="Twitter"/>
    <d v="2025-01-03T00:00:00"/>
    <s v="Story"/>
    <s v="Get Into The Groove With Our New Drop!"/>
    <n v="4845"/>
    <n v="158"/>
    <n v="84"/>
    <n v="34578"/>
    <n v="51480"/>
    <n v="180"/>
    <s v="#Soundtrackoflife,#Nowplaying"/>
    <x v="0"/>
    <d v="2025-01-10T00:00:00"/>
    <d v="2025-02-10T00:00:00"/>
    <s v="BEFORE"/>
  </r>
  <r>
    <s v="SP084"/>
    <s v="Twitter"/>
    <d v="2024-08-03T00:00:00"/>
    <s v="Text"/>
    <s v="Your Weekend Playlist Is Waiting."/>
    <n v="4247"/>
    <n v="390"/>
    <n v="213"/>
    <n v="29785"/>
    <n v="57768"/>
    <n v="122"/>
    <s v="#Nowplaying"/>
    <x v="0"/>
    <d v="2025-01-10T00:00:00"/>
    <d v="2025-02-10T00:00:00"/>
    <s v="BEFORE"/>
  </r>
  <r>
    <s v="SP085"/>
    <s v="Instagram"/>
    <d v="2024-08-18T00:00:00"/>
    <s v="Text"/>
    <s v="Explore The Latest Podcasts Now."/>
    <n v="2965"/>
    <n v="328"/>
    <n v="171"/>
    <n v="57685"/>
    <n v="67536"/>
    <n v="264"/>
    <s v="#Soundtrackoflife,#Nowplaying"/>
    <x v="0"/>
    <d v="2025-01-10T00:00:00"/>
    <d v="2025-02-10T00:00:00"/>
    <s v="BEFORE"/>
  </r>
  <r>
    <s v="SP086"/>
    <s v="Twitter"/>
    <d v="2025-05-14T00:00:00"/>
    <s v="Story"/>
    <s v="Wrapped Is Here! Relive Your Top Tracks Ðÿž§"/>
    <n v="1371"/>
    <n v="139"/>
    <n v="96"/>
    <n v="36140"/>
    <n v="39395"/>
    <n v="169"/>
    <s v="#Soundtrackoflife,#Nowplaying"/>
    <x v="0"/>
    <d v="2025-01-10T00:00:00"/>
    <d v="2025-02-10T00:00:00"/>
    <s v="AFTER"/>
  </r>
  <r>
    <s v="SP087"/>
    <s v="Twitter"/>
    <d v="2024-04-23T00:00:00"/>
    <s v="Story"/>
    <s v="Discover Fresh Beats On Spotify!"/>
    <n v="2683"/>
    <n v="496"/>
    <n v="89"/>
    <n v="53435"/>
    <n v="30334"/>
    <n v="160"/>
    <s v="#Soundtrackoflife,#Nowplaying"/>
    <x v="0"/>
    <d v="2025-01-10T00:00:00"/>
    <d v="2025-02-10T00:00:00"/>
    <s v="BEFORE"/>
  </r>
  <r>
    <s v="SP088"/>
    <s v="Twitter"/>
    <d v="2025-02-17T00:00:00"/>
    <s v="Story"/>
    <s v="Whatâ€™S Your Vibe Today? #Spotifyhits"/>
    <n v="4796"/>
    <n v="427"/>
    <n v="339"/>
    <n v="30752"/>
    <n v="33870"/>
    <n v="298"/>
    <s v="#Soundtrackoflife,#Nowplaying"/>
    <x v="0"/>
    <d v="2025-01-10T00:00:00"/>
    <d v="2025-02-10T00:00:00"/>
    <s v="AFTER"/>
  </r>
  <r>
    <s v="SP089"/>
    <s v="Instagram"/>
    <d v="2024-12-04T00:00:00"/>
    <s v="Text"/>
    <s v="Wrapped Is Here! Relive Your Top Tracks Ðÿž§"/>
    <n v="2601"/>
    <n v="336"/>
    <n v="260"/>
    <n v="32368"/>
    <n v="49028"/>
    <n v="120"/>
    <s v="#Soundtrackoflife,#Nowplaying"/>
    <x v="0"/>
    <d v="2025-01-10T00:00:00"/>
    <d v="2025-02-10T00:00:00"/>
    <s v="BEFORE"/>
  </r>
  <r>
    <s v="SP090"/>
    <s v="Twitter"/>
    <d v="2024-07-22T00:00:00"/>
    <s v="Story"/>
    <s v="Wrapped Is Here! Relive Your Top Tracks Ðÿž§"/>
    <n v="3336"/>
    <n v="229"/>
    <n v="337"/>
    <n v="22117"/>
    <n v="26205"/>
    <n v="160"/>
    <s v="#Musicforeveryone,#Nowplaying"/>
    <x v="0"/>
    <d v="2025-01-10T00:00:00"/>
    <d v="2025-02-10T00:00:00"/>
    <s v="BEFORE"/>
  </r>
  <r>
    <s v="SP091"/>
    <s v="Twitter"/>
    <d v="2025-04-27T00:00:00"/>
    <s v="Text"/>
    <s v="Explore The Latest Podcasts Now."/>
    <n v="1165"/>
    <n v="294"/>
    <n v="163"/>
    <n v="20659"/>
    <n v="45926"/>
    <n v="111"/>
    <s v="#Soundtrackoflife"/>
    <x v="1"/>
    <d v="2025-03-01T00:00:00"/>
    <d v="2025-03-31T00:00:00"/>
    <s v="AFTER"/>
  </r>
  <r>
    <s v="SP092"/>
    <s v="Youtube"/>
    <d v="2024-03-25T00:00:00"/>
    <s v="Reel"/>
    <s v="Explore The Latest Podcasts Now."/>
    <n v="1948"/>
    <n v="155"/>
    <n v="315"/>
    <n v="30321"/>
    <n v="57121"/>
    <n v="82"/>
    <s v="#Discoverweekly,#Soundtrackoflife"/>
    <x v="3"/>
    <d v="2024-06-15T00:00:00"/>
    <d v="2024-07-15T00:00:00"/>
    <s v="BEFORE"/>
  </r>
  <r>
    <s v="SP093"/>
    <s v="Instagram"/>
    <d v="2024-02-29T00:00:00"/>
    <s v="Text"/>
    <s v="From Pop To Podcasts, Itâ€™S All Here."/>
    <n v="1100"/>
    <n v="229"/>
    <n v="312"/>
    <n v="25641"/>
    <n v="34601"/>
    <n v="169"/>
    <s v="#Discoverweekly"/>
    <x v="1"/>
    <d v="2025-03-01T00:00:00"/>
    <d v="2025-03-31T00:00:00"/>
    <s v="BEFORE"/>
  </r>
  <r>
    <s v="SP094"/>
    <s v="Twitter"/>
    <d v="2024-11-13T00:00:00"/>
    <s v="Story"/>
    <s v="Top Trending Tracks Updated Daily!"/>
    <n v="4628"/>
    <n v="257"/>
    <n v="397"/>
    <n v="36686"/>
    <n v="54683"/>
    <n v="98"/>
    <s v="#Soundtrackoflife,#Nowplaying"/>
    <x v="0"/>
    <d v="2025-01-10T00:00:00"/>
    <d v="2025-02-10T00:00:00"/>
    <s v="BEFORE"/>
  </r>
  <r>
    <s v="SP095"/>
    <s v="Instagram"/>
    <d v="2024-03-22T00:00:00"/>
    <s v="Story"/>
    <s v="Discover Fresh Beats On Spotify!"/>
    <n v="2319"/>
    <n v="484"/>
    <n v="193"/>
    <n v="21202"/>
    <n v="18091"/>
    <n v="241"/>
    <s v="#Nowplaying"/>
    <x v="2"/>
    <d v="2024-12-01T00:00:00"/>
    <d v="2024-12-31T00:00:00"/>
    <s v="BEFORE"/>
  </r>
  <r>
    <s v="SP096"/>
    <s v="Twitter"/>
    <d v="2024-03-16T00:00:00"/>
    <s v="Story"/>
    <s v="Wrapped Is Here! Relive Your Top Tracks Ðÿž§"/>
    <n v="2895"/>
    <n v="292"/>
    <n v="90"/>
    <n v="24223"/>
    <n v="54626"/>
    <n v="114"/>
    <s v="#Soundtrackoflife,#Nowplaying"/>
    <x v="0"/>
    <d v="2025-01-10T00:00:00"/>
    <d v="2025-02-10T00:00:00"/>
    <s v="BEFORE"/>
  </r>
  <r>
    <s v="SP097"/>
    <s v="Instagram"/>
    <d v="2024-01-26T00:00:00"/>
    <s v="Text"/>
    <s v="Whatâ€™S Your Vibe Today? #Spotifyhits"/>
    <n v="3878"/>
    <n v="431"/>
    <n v="97"/>
    <n v="41763"/>
    <n v="29729"/>
    <n v="191"/>
    <s v="#Discoverweekly"/>
    <x v="1"/>
    <d v="2025-03-01T00:00:00"/>
    <d v="2025-03-31T00:00:00"/>
    <s v="BEFORE"/>
  </r>
  <r>
    <s v="SP098"/>
    <s v="Twitter"/>
    <d v="2024-03-15T00:00:00"/>
    <s v="Story"/>
    <s v="Get Into The Groove With Our New Drop!"/>
    <n v="4969"/>
    <n v="433"/>
    <n v="237"/>
    <n v="59552"/>
    <n v="23885"/>
    <n v="157"/>
    <s v="#Discoverweekly,#Musicforeveryone"/>
    <x v="0"/>
    <d v="2025-01-10T00:00:00"/>
    <d v="2025-02-10T00:00:00"/>
    <s v="BEFORE"/>
  </r>
  <r>
    <s v="SP099"/>
    <s v="Twitter"/>
    <d v="2024-10-15T00:00:00"/>
    <s v="Text"/>
    <s v="Wrapped Is Here! Relive Your Top Tracks Ðÿž§"/>
    <n v="1984"/>
    <n v="481"/>
    <n v="356"/>
    <n v="40681"/>
    <n v="63111"/>
    <n v="258"/>
    <s v="#Nowplaying"/>
    <x v="0"/>
    <d v="2025-01-10T00:00:00"/>
    <d v="2025-02-10T00:00:00"/>
    <s v="BEFORE"/>
  </r>
  <r>
    <s v="SP100"/>
    <s v="Instagram"/>
    <d v="2024-07-21T00:00:00"/>
    <s v="Text"/>
    <s v="Discover Fresh Beats On Spotify!"/>
    <n v="3004"/>
    <n v="415"/>
    <n v="218"/>
    <n v="36090"/>
    <n v="37073"/>
    <n v="181"/>
    <s v="#Discoverweekly"/>
    <x v="1"/>
    <d v="2025-03-01T00:00:00"/>
    <d v="2025-03-31T00:00:00"/>
    <s v="BEFORE"/>
  </r>
  <r>
    <s v="SP101"/>
    <s v="Twitter"/>
    <d v="2024-10-12T00:00:00"/>
    <s v="Text"/>
    <s v="Get Into The Groove With Our New Drop!"/>
    <n v="3169"/>
    <n v="386"/>
    <n v="175"/>
    <n v="45012"/>
    <n v="38508"/>
    <n v="218"/>
    <s v="#Nowplaying"/>
    <x v="0"/>
    <d v="2025-01-10T00:00:00"/>
    <d v="2025-02-10T00:00:00"/>
    <s v="BEFORE"/>
  </r>
  <r>
    <s v="SP102"/>
    <s v="Twitter"/>
    <d v="2024-10-26T00:00:00"/>
    <s v="Text"/>
    <s v="Discover Fresh Beats On Spotify!"/>
    <n v="3036"/>
    <n v="293"/>
    <n v="115"/>
    <n v="23776"/>
    <n v="46386"/>
    <n v="282"/>
    <s v="#Nowplaying"/>
    <x v="0"/>
    <d v="2025-01-10T00:00:00"/>
    <d v="2025-02-10T00:00:00"/>
    <s v="BEFORE"/>
  </r>
  <r>
    <s v="SP103"/>
    <s v="Instagram"/>
    <d v="2024-02-14T00:00:00"/>
    <s v="Text"/>
    <s v="Music That Moves Youâ€”Only On Spotify."/>
    <n v="1830"/>
    <n v="112"/>
    <n v="181"/>
    <n v="31870"/>
    <n v="55742"/>
    <n v="263"/>
    <s v="#Soundtrackoflife,#Nowplaying"/>
    <x v="0"/>
    <d v="2025-01-10T00:00:00"/>
    <d v="2025-02-10T00:00:00"/>
    <s v="BEFORE"/>
  </r>
  <r>
    <s v="SP104"/>
    <s v="Twitter"/>
    <d v="2024-05-01T00:00:00"/>
    <s v="Story"/>
    <s v="Whatâ€™S Your Vibe Today? #Spotifyhits"/>
    <n v="2587"/>
    <n v="447"/>
    <n v="183"/>
    <n v="36266"/>
    <n v="32877"/>
    <n v="132"/>
    <s v="#Discoverweekly,#Musicforeveryone"/>
    <x v="0"/>
    <d v="2025-01-10T00:00:00"/>
    <d v="2025-02-10T00:00:00"/>
    <s v="BEFORE"/>
  </r>
  <r>
    <s v="SP105"/>
    <s v="Twitter"/>
    <d v="2024-09-18T00:00:00"/>
    <s v="Text"/>
    <s v="Discover Fresh Beats On Spotify!"/>
    <n v="2878"/>
    <n v="265"/>
    <n v="91"/>
    <n v="52090"/>
    <n v="28924"/>
    <n v="133"/>
    <s v="#Nowplaying"/>
    <x v="0"/>
    <d v="2025-01-10T00:00:00"/>
    <d v="2025-02-10T00:00:00"/>
    <s v="BEFORE"/>
  </r>
  <r>
    <s v="SP106"/>
    <s v="Twitter"/>
    <d v="2025-01-20T00:00:00"/>
    <s v="Story"/>
    <s v="New Music Just Dropped. Hit Play!"/>
    <n v="4619"/>
    <n v="272"/>
    <n v="57"/>
    <n v="21334"/>
    <n v="46292"/>
    <n v="91"/>
    <s v="#Soundtrackoflife,#Nowplaying"/>
    <x v="0"/>
    <d v="2025-01-10T00:00:00"/>
    <d v="2025-02-10T00:00:00"/>
    <s v="DURING"/>
  </r>
  <r>
    <s v="SP107"/>
    <s v="Twitter"/>
    <d v="2025-01-13T00:00:00"/>
    <s v="Text"/>
    <s v="Music That Moves Youâ€”Only On Spotify."/>
    <n v="4090"/>
    <n v="209"/>
    <n v="278"/>
    <n v="52853"/>
    <n v="57084"/>
    <n v="102"/>
    <s v="#Soundtrackoflife"/>
    <x v="1"/>
    <d v="2025-03-01T00:00:00"/>
    <d v="2025-03-31T00:00:00"/>
    <s v="BEFORE"/>
  </r>
  <r>
    <s v="SP108"/>
    <s v="Youtube"/>
    <d v="2024-09-07T00:00:00"/>
    <s v="Reel"/>
    <s v="Music That Moves Youâ€”Only On Spotify."/>
    <n v="3882"/>
    <n v="342"/>
    <n v="374"/>
    <n v="41991"/>
    <n v="48554"/>
    <n v="118"/>
    <s v="#Discoverweekly,#Soundtrackoflife"/>
    <x v="3"/>
    <d v="2024-06-15T00:00:00"/>
    <d v="2024-07-15T00:00:00"/>
    <s v="AFTER"/>
  </r>
  <r>
    <s v="SP109"/>
    <s v="Instagram"/>
    <d v="2024-11-21T00:00:00"/>
    <s v="Text"/>
    <s v="Music That Moves Youâ€”Only On Spotify."/>
    <n v="4581"/>
    <n v="181"/>
    <n v="112"/>
    <n v="35221"/>
    <n v="28797"/>
    <n v="164"/>
    <s v="#Soundtrackoflife,#Nowplaying"/>
    <x v="0"/>
    <d v="2025-01-10T00:00:00"/>
    <d v="2025-02-10T00:00:00"/>
    <s v="BEFORE"/>
  </r>
  <r>
    <s v="SP110"/>
    <s v="Instagram"/>
    <d v="2024-06-26T00:00:00"/>
    <s v="Text"/>
    <s v="New Music Just Dropped. Hit Play!"/>
    <n v="3253"/>
    <n v="483"/>
    <n v="336"/>
    <n v="25397"/>
    <n v="51485"/>
    <n v="131"/>
    <s v="#Discoverweekly"/>
    <x v="1"/>
    <d v="2025-03-01T00:00:00"/>
    <d v="2025-03-31T00:00:00"/>
    <s v="BEFORE"/>
  </r>
  <r>
    <s v="SP111"/>
    <s v="Youtube"/>
    <d v="2024-07-20T00:00:00"/>
    <s v="Reel"/>
    <s v="Music That Moves Youâ€”Only On Spotify."/>
    <n v="4955"/>
    <n v="299"/>
    <n v="345"/>
    <n v="33644"/>
    <n v="43547"/>
    <n v="194"/>
    <s v="#Discoverweekly,#Soundtrackoflife"/>
    <x v="3"/>
    <d v="2024-06-15T00:00:00"/>
    <d v="2024-07-15T00:00:00"/>
    <s v="AFTER"/>
  </r>
  <r>
    <s v="SP112"/>
    <s v="Instagram"/>
    <d v="2025-02-16T00:00:00"/>
    <s v="Text"/>
    <s v="Your Weekend Playlist Is Waiting."/>
    <n v="1333"/>
    <n v="286"/>
    <n v="298"/>
    <n v="36174"/>
    <n v="34517"/>
    <n v="170"/>
    <s v="#Soundtrackoflife,#Nowplaying"/>
    <x v="0"/>
    <d v="2025-01-10T00:00:00"/>
    <d v="2025-02-10T00:00:00"/>
    <s v="AFTER"/>
  </r>
  <r>
    <s v="SP113"/>
    <s v="Instagram"/>
    <d v="2024-09-09T00:00:00"/>
    <s v="Text"/>
    <s v="New Music Just Dropped. Hit Play!"/>
    <n v="1616"/>
    <n v="360"/>
    <n v="180"/>
    <n v="54342"/>
    <n v="18796"/>
    <n v="282"/>
    <s v="#Soundtrackoflife,#Nowplaying"/>
    <x v="0"/>
    <d v="2025-01-10T00:00:00"/>
    <d v="2025-02-10T00:00:00"/>
    <s v="BEFORE"/>
  </r>
  <r>
    <s v="SP114"/>
    <s v="Twitter"/>
    <d v="2024-07-16T00:00:00"/>
    <s v="Text"/>
    <s v="Top Trending Tracks Updated Daily!"/>
    <n v="1803"/>
    <n v="273"/>
    <n v="287"/>
    <n v="46176"/>
    <n v="25488"/>
    <n v="141"/>
    <s v="#Nowplaying"/>
    <x v="0"/>
    <d v="2025-01-10T00:00:00"/>
    <d v="2025-02-10T00:00:00"/>
    <s v="BEFORE"/>
  </r>
  <r>
    <s v="SP115"/>
    <s v="Instagram"/>
    <d v="2025-04-15T00:00:00"/>
    <s v="Text"/>
    <s v="Explore The Latest Podcasts Now."/>
    <n v="4177"/>
    <n v="489"/>
    <n v="331"/>
    <n v="57451"/>
    <n v="73793"/>
    <n v="251"/>
    <s v="#Discoverweekly"/>
    <x v="1"/>
    <d v="2025-03-01T00:00:00"/>
    <d v="2025-03-31T00:00:00"/>
    <s v="AFTER"/>
  </r>
  <r>
    <s v="SP116"/>
    <s v="Instagram"/>
    <d v="2025-05-04T00:00:00"/>
    <s v="Story"/>
    <s v="New Music Just Dropped. Hit Play!"/>
    <n v="1311"/>
    <n v="181"/>
    <n v="361"/>
    <n v="37148"/>
    <n v="44875"/>
    <n v="245"/>
    <s v="#Nowplaying"/>
    <x v="2"/>
    <d v="2024-12-01T00:00:00"/>
    <d v="2024-12-31T00:00:00"/>
    <s v="AFTER"/>
  </r>
  <r>
    <s v="SP117"/>
    <s v="Instagram"/>
    <d v="2024-02-18T00:00:00"/>
    <s v="Story"/>
    <s v="From Pop To Podcasts, Itâ€™S All Here."/>
    <n v="1516"/>
    <n v="215"/>
    <n v="332"/>
    <n v="58981"/>
    <n v="36118"/>
    <n v="211"/>
    <s v="#Nowplaying"/>
    <x v="2"/>
    <d v="2024-12-01T00:00:00"/>
    <d v="2024-12-31T00:00:00"/>
    <s v="BEFORE"/>
  </r>
  <r>
    <s v="SP118"/>
    <s v="Twitter"/>
    <d v="2024-05-16T00:00:00"/>
    <s v="Story"/>
    <s v="Music That Moves Youâ€”Only On Spotify."/>
    <n v="2023"/>
    <n v="124"/>
    <n v="99"/>
    <n v="54524"/>
    <n v="34790"/>
    <n v="195"/>
    <s v="#Discoverweekly,#Musicforeveryone"/>
    <x v="0"/>
    <d v="2025-01-10T00:00:00"/>
    <d v="2025-02-10T00:00:00"/>
    <s v="BEFORE"/>
  </r>
  <r>
    <s v="SP119"/>
    <s v="Twitter"/>
    <d v="2025-05-29T00:00:00"/>
    <s v="Story"/>
    <s v="Music That Moves Youâ€”Only On Spotify."/>
    <n v="2134"/>
    <n v="322"/>
    <n v="114"/>
    <n v="44338"/>
    <n v="52165"/>
    <n v="176"/>
    <s v="#Musicforeveryone,#Nowplaying"/>
    <x v="0"/>
    <d v="2025-01-10T00:00:00"/>
    <d v="2025-02-10T00:00:00"/>
    <s v="AFTER"/>
  </r>
  <r>
    <s v="SP120"/>
    <s v="Instagram"/>
    <d v="2025-01-17T00:00:00"/>
    <s v="Text"/>
    <s v="Top Trending Tracks Updated Daily!"/>
    <n v="2266"/>
    <n v="126"/>
    <n v="140"/>
    <n v="53759"/>
    <n v="46834"/>
    <n v="277"/>
    <s v="#Discoverweekly"/>
    <x v="1"/>
    <d v="2025-03-01T00:00:00"/>
    <d v="2025-03-31T00:00:00"/>
    <s v="BEFORE"/>
  </r>
  <r>
    <s v="SP121"/>
    <s v="Instagram"/>
    <d v="2025-04-30T00:00:00"/>
    <s v="Story"/>
    <s v="New Music Just Dropped. Hit Play!"/>
    <n v="3916"/>
    <n v="459"/>
    <n v="229"/>
    <n v="48989"/>
    <n v="39768"/>
    <n v="200"/>
    <s v="#Nowplaying"/>
    <x v="2"/>
    <d v="2024-12-01T00:00:00"/>
    <d v="2024-12-31T00:00:00"/>
    <s v="AFTER"/>
  </r>
  <r>
    <s v="SP122"/>
    <s v="Twitter"/>
    <d v="2024-02-24T00:00:00"/>
    <s v="Story"/>
    <s v="Music That Moves Youâ€”Only On Spotify."/>
    <n v="1022"/>
    <n v="463"/>
    <n v="360"/>
    <n v="51468"/>
    <n v="24279"/>
    <n v="230"/>
    <s v="#Discoverweekly,#Musicforeveryone"/>
    <x v="0"/>
    <d v="2025-01-10T00:00:00"/>
    <d v="2025-02-10T00:00:00"/>
    <s v="BEFORE"/>
  </r>
  <r>
    <s v="SP123"/>
    <s v="Youtube"/>
    <d v="2024-05-12T00:00:00"/>
    <s v="Text"/>
    <s v="From Pop To Podcasts, Itâ€™S All Here."/>
    <n v="2911"/>
    <n v="467"/>
    <n v="94"/>
    <n v="59083"/>
    <n v="49762"/>
    <n v="236"/>
    <s v="#Discoverweekly,#Spotifywrapped"/>
    <x v="1"/>
    <d v="2025-03-01T00:00:00"/>
    <d v="2025-03-31T00:00:00"/>
    <s v="BEFORE"/>
  </r>
  <r>
    <s v="SP124"/>
    <s v="Twitter"/>
    <d v="2024-05-09T00:00:00"/>
    <s v="Story"/>
    <s v="New Music Just Dropped. Hit Play!"/>
    <n v="3277"/>
    <n v="423"/>
    <n v="259"/>
    <n v="46328"/>
    <n v="44293"/>
    <n v="299"/>
    <s v="#Soundtrackoflife,#Nowplaying"/>
    <x v="0"/>
    <d v="2025-01-10T00:00:00"/>
    <d v="2025-02-10T00:00:00"/>
    <s v="BEFORE"/>
  </r>
  <r>
    <s v="SP125"/>
    <s v="Twitter"/>
    <d v="2024-11-06T00:00:00"/>
    <s v="Text"/>
    <s v="From Pop To Podcasts, Itâ€™S All Here."/>
    <n v="2956"/>
    <n v="381"/>
    <n v="345"/>
    <n v="33347"/>
    <n v="22558"/>
    <n v="173"/>
    <s v="#Nowplaying"/>
    <x v="0"/>
    <d v="2025-01-10T00:00:00"/>
    <d v="2025-02-10T00:00:00"/>
    <s v="BEFORE"/>
  </r>
  <r>
    <s v="SP126"/>
    <s v="Twitter"/>
    <d v="2024-01-04T00:00:00"/>
    <s v="Story"/>
    <s v="Whatâ€™S Your Vibe Today? #Spotifyhits"/>
    <n v="3208"/>
    <n v="476"/>
    <n v="277"/>
    <n v="56072"/>
    <n v="21061"/>
    <n v="113"/>
    <s v="#Musicforeveryone,#Nowplaying"/>
    <x v="0"/>
    <d v="2025-01-10T00:00:00"/>
    <d v="2025-02-10T00:00:00"/>
    <s v="BEFORE"/>
  </r>
  <r>
    <s v="SP127"/>
    <s v="Twitter"/>
    <d v="2024-01-28T00:00:00"/>
    <s v="Text"/>
    <s v="Music That Moves Youâ€”Only On Spotify."/>
    <n v="1456"/>
    <n v="265"/>
    <n v="137"/>
    <n v="53485"/>
    <n v="59729"/>
    <n v="145"/>
    <s v="#Soundtrackoflife"/>
    <x v="1"/>
    <d v="2025-03-01T00:00:00"/>
    <d v="2025-03-31T00:00:00"/>
    <s v="BEFORE"/>
  </r>
  <r>
    <s v="SP128"/>
    <s v="Instagram"/>
    <d v="2024-02-22T00:00:00"/>
    <s v="Text"/>
    <s v="New Music Just Dropped. Hit Play!"/>
    <n v="1902"/>
    <n v="394"/>
    <n v="279"/>
    <n v="24615"/>
    <n v="51330"/>
    <n v="176"/>
    <s v="#Soundtrackoflife,#Nowplaying"/>
    <x v="0"/>
    <d v="2025-01-10T00:00:00"/>
    <d v="2025-02-10T00:00:00"/>
    <s v="BEFORE"/>
  </r>
  <r>
    <s v="SP129"/>
    <s v="Twitter"/>
    <d v="2025-07-01T00:00:00"/>
    <s v="Story"/>
    <s v="Explore The Latest Podcasts Now."/>
    <n v="3219"/>
    <n v="424"/>
    <n v="267"/>
    <n v="48879"/>
    <n v="37691"/>
    <n v="224"/>
    <s v="#Discoverweekly,#Musicforeveryone"/>
    <x v="0"/>
    <d v="2025-01-10T00:00:00"/>
    <d v="2025-02-10T00:00:00"/>
    <s v="AFTER"/>
  </r>
  <r>
    <s v="SP130"/>
    <s v="Youtube"/>
    <d v="2024-01-10T00:00:00"/>
    <s v="Text"/>
    <s v="Explore The Latest Podcasts Now."/>
    <n v="1261"/>
    <n v="190"/>
    <n v="233"/>
    <n v="59888"/>
    <n v="51449"/>
    <n v="205"/>
    <s v="#Discoverweekly,#Spotifywrapped"/>
    <x v="1"/>
    <d v="2025-03-01T00:00:00"/>
    <d v="2025-03-31T00:00:00"/>
    <s v="BEFORE"/>
  </r>
  <r>
    <s v="SP131"/>
    <s v="Twitter"/>
    <d v="2025-03-20T00:00:00"/>
    <s v="Text"/>
    <s v="Your Weekend Playlist Is Waiting."/>
    <n v="1564"/>
    <n v="362"/>
    <n v="371"/>
    <n v="42075"/>
    <n v="66659"/>
    <n v="205"/>
    <s v="#Soundtrackoflife"/>
    <x v="1"/>
    <d v="2025-03-01T00:00:00"/>
    <d v="2025-03-31T00:00:00"/>
    <s v="DURING"/>
  </r>
  <r>
    <s v="SP132"/>
    <s v="Twitter"/>
    <d v="2024-09-28T00:00:00"/>
    <s v="Text"/>
    <s v="Whatâ€™S Your Vibe Today? #Spotifyhits"/>
    <n v="4006"/>
    <n v="420"/>
    <n v="194"/>
    <n v="49964"/>
    <n v="20685"/>
    <n v="148"/>
    <s v="#Nowplaying"/>
    <x v="0"/>
    <d v="2025-01-10T00:00:00"/>
    <d v="2025-02-10T00:00:00"/>
    <s v="BEFORE"/>
  </r>
  <r>
    <s v="SP133"/>
    <s v="Youtube"/>
    <d v="2024-01-27T00:00:00"/>
    <s v="Text"/>
    <s v="Your Weekend Playlist Is Waiting."/>
    <n v="1976"/>
    <n v="262"/>
    <n v="218"/>
    <n v="51696"/>
    <n v="44846"/>
    <n v="139"/>
    <s v="#Discoverweekly,#Spotifywrapped"/>
    <x v="1"/>
    <d v="2025-03-01T00:00:00"/>
    <d v="2025-03-31T00:00:00"/>
    <s v="BEFORE"/>
  </r>
  <r>
    <s v="SP134"/>
    <s v="Twitter"/>
    <d v="2025-05-15T00:00:00"/>
    <s v="Text"/>
    <s v="New Music Just Dropped. Hit Play!"/>
    <n v="1583"/>
    <n v="433"/>
    <n v="249"/>
    <n v="30256"/>
    <n v="47066"/>
    <n v="196"/>
    <s v="#Nowplaying"/>
    <x v="0"/>
    <d v="2025-01-10T00:00:00"/>
    <d v="2025-02-10T00:00:00"/>
    <s v="AFTER"/>
  </r>
  <r>
    <s v="SP135"/>
    <s v="Twitter"/>
    <d v="2024-10-04T00:00:00"/>
    <s v="Story"/>
    <s v="Explore The Latest Podcasts Now."/>
    <n v="2870"/>
    <n v="380"/>
    <n v="393"/>
    <n v="37621"/>
    <n v="71794"/>
    <n v="127"/>
    <s v="#Musicforeveryone,#Nowplaying"/>
    <x v="0"/>
    <d v="2025-01-10T00:00:00"/>
    <d v="2025-02-10T00:00:00"/>
    <s v="BEFORE"/>
  </r>
  <r>
    <s v="SP136"/>
    <s v="Twitter"/>
    <d v="2024-11-19T00:00:00"/>
    <s v="Text"/>
    <s v="Top Trending Tracks Updated Daily!"/>
    <n v="3728"/>
    <n v="271"/>
    <n v="275"/>
    <n v="22827"/>
    <n v="37034"/>
    <n v="199"/>
    <s v="#Nowplaying"/>
    <x v="0"/>
    <d v="2025-01-10T00:00:00"/>
    <d v="2025-02-10T00:00:00"/>
    <s v="BEFORE"/>
  </r>
  <r>
    <s v="SP137"/>
    <s v="Twitter"/>
    <d v="2024-04-05T00:00:00"/>
    <s v="Story"/>
    <s v="New Music Just Dropped. Hit Play!"/>
    <n v="4965"/>
    <n v="175"/>
    <n v="307"/>
    <n v="32793"/>
    <n v="43412"/>
    <n v="296"/>
    <s v="#Soundtrackoflife,#Nowplaying"/>
    <x v="0"/>
    <d v="2025-01-10T00:00:00"/>
    <d v="2025-02-10T00:00:00"/>
    <s v="BEFORE"/>
  </r>
  <r>
    <s v="SP138"/>
    <s v="Twitter"/>
    <d v="2024-11-28T00:00:00"/>
    <s v="Story"/>
    <s v="New Music Just Dropped. Hit Play!"/>
    <n v="1131"/>
    <n v="100"/>
    <n v="116"/>
    <n v="48437"/>
    <n v="72704"/>
    <n v="236"/>
    <s v="#Discoverweekly,#Musicforeveryone"/>
    <x v="0"/>
    <d v="2025-01-10T00:00:00"/>
    <d v="2025-02-10T00:00:00"/>
    <s v="BEFORE"/>
  </r>
  <r>
    <s v="SP139"/>
    <s v="Twitter"/>
    <d v="2025-03-09T00:00:00"/>
    <s v="Text"/>
    <s v="Your Weekend Playlist Is Waiting."/>
    <n v="2754"/>
    <n v="215"/>
    <n v="264"/>
    <n v="27762"/>
    <n v="70203"/>
    <n v="289"/>
    <s v="#Nowplaying"/>
    <x v="0"/>
    <d v="2025-01-10T00:00:00"/>
    <d v="2025-02-10T00:00:00"/>
    <s v="AFTER"/>
  </r>
  <r>
    <s v="SP140"/>
    <s v="Twitter"/>
    <d v="2024-08-27T00:00:00"/>
    <s v="Story"/>
    <s v="New Music Just Dropped. Hit Play!"/>
    <n v="1856"/>
    <n v="357"/>
    <n v="348"/>
    <n v="29428"/>
    <n v="70206"/>
    <n v="236"/>
    <s v="#Musicforeveryone,#Nowplaying"/>
    <x v="0"/>
    <d v="2025-01-10T00:00:00"/>
    <d v="2025-02-10T00:00:00"/>
    <s v="BEFORE"/>
  </r>
  <r>
    <s v="SP141"/>
    <s v="Youtube"/>
    <d v="2024-10-01T00:00:00"/>
    <s v="Reel"/>
    <s v="Explore The Latest Podcasts Now."/>
    <n v="3543"/>
    <n v="334"/>
    <n v="218"/>
    <n v="58007"/>
    <n v="24792"/>
    <n v="273"/>
    <s v="#Discoverweekly,#Soundtrackoflife"/>
    <x v="3"/>
    <d v="2024-06-15T00:00:00"/>
    <d v="2024-07-15T00:00:00"/>
    <s v="AFTER"/>
  </r>
  <r>
    <s v="SP142"/>
    <s v="Instagram"/>
    <d v="2024-12-21T00:00:00"/>
    <s v="Story"/>
    <s v="New Music Just Dropped. Hit Play!"/>
    <n v="4563"/>
    <n v="398"/>
    <n v="163"/>
    <n v="43679"/>
    <n v="48760"/>
    <n v="92"/>
    <s v="#Nowplaying"/>
    <x v="2"/>
    <d v="2024-12-01T00:00:00"/>
    <d v="2024-12-31T00:00:00"/>
    <s v="DURING"/>
  </r>
  <r>
    <s v="SP143"/>
    <s v="Instagram"/>
    <d v="2024-06-17T00:00:00"/>
    <s v="Text"/>
    <s v="Discover Fresh Beats On Spotify!"/>
    <n v="4283"/>
    <n v="471"/>
    <n v="156"/>
    <n v="53004"/>
    <n v="25678"/>
    <n v="105"/>
    <s v="#Discoverweekly"/>
    <x v="1"/>
    <d v="2025-03-01T00:00:00"/>
    <d v="2025-03-31T00:00:00"/>
    <s v="BEFORE"/>
  </r>
  <r>
    <s v="SP144"/>
    <s v="Instagram"/>
    <d v="2025-02-14T00:00:00"/>
    <s v="Text"/>
    <s v="Discover Fresh Beats On Spotify!"/>
    <n v="2329"/>
    <n v="373"/>
    <n v="291"/>
    <n v="49577"/>
    <n v="28002"/>
    <n v="82"/>
    <s v="#Soundtrackoflife,#Nowplaying"/>
    <x v="0"/>
    <d v="2025-01-10T00:00:00"/>
    <d v="2025-02-10T00:00:00"/>
    <s v="AFTER"/>
  </r>
  <r>
    <s v="SP145"/>
    <s v="Twitter"/>
    <d v="2025-05-28T00:00:00"/>
    <s v="Story"/>
    <s v="Top Trending Tracks Updated Daily!"/>
    <n v="4287"/>
    <n v="273"/>
    <n v="122"/>
    <n v="40792"/>
    <n v="23878"/>
    <n v="277"/>
    <s v="#Musicforeveryone,#Nowplaying"/>
    <x v="0"/>
    <d v="2025-01-10T00:00:00"/>
    <d v="2025-02-10T00:00:00"/>
    <s v="AFTER"/>
  </r>
  <r>
    <s v="SP146"/>
    <s v="Instagram"/>
    <d v="2025-05-22T00:00:00"/>
    <s v="Text"/>
    <s v="Discover Fresh Beats On Spotify!"/>
    <n v="2633"/>
    <n v="318"/>
    <n v="380"/>
    <n v="40869"/>
    <n v="64474"/>
    <n v="245"/>
    <s v="#Discoverweekly"/>
    <x v="1"/>
    <d v="2025-03-01T00:00:00"/>
    <d v="2025-03-31T00:00:00"/>
    <s v="AFTER"/>
  </r>
  <r>
    <s v="SP147"/>
    <s v="Twitter"/>
    <d v="2024-01-21T00:00:00"/>
    <s v="Story"/>
    <s v="Discover Fresh Beats On Spotify!"/>
    <n v="2383"/>
    <n v="136"/>
    <n v="302"/>
    <n v="39187"/>
    <n v="22133"/>
    <n v="208"/>
    <s v="#Musicforeveryone,#Nowplaying"/>
    <x v="0"/>
    <d v="2025-01-10T00:00:00"/>
    <d v="2025-02-10T00:00:00"/>
    <s v="BEFORE"/>
  </r>
  <r>
    <s v="SP148"/>
    <s v="Twitter"/>
    <d v="2025-02-08T00:00:00"/>
    <s v="Story"/>
    <s v="Your Weekend Playlist Is Waiting."/>
    <n v="4752"/>
    <n v="334"/>
    <n v="56"/>
    <n v="48017"/>
    <n v="55534"/>
    <n v="270"/>
    <s v="#Discoverweekly,#Musicforeveryone"/>
    <x v="0"/>
    <d v="2025-01-10T00:00:00"/>
    <d v="2025-02-10T00:00:00"/>
    <s v="DURING"/>
  </r>
  <r>
    <s v="SP149"/>
    <s v="Twitter"/>
    <d v="2025-04-13T00:00:00"/>
    <s v="Text"/>
    <s v="From Pop To Podcasts, Itâ€™S All Here."/>
    <n v="3890"/>
    <n v="408"/>
    <n v="338"/>
    <n v="56994"/>
    <n v="32621"/>
    <n v="286"/>
    <s v="#Soundtrackoflife"/>
    <x v="1"/>
    <d v="2025-03-01T00:00:00"/>
    <d v="2025-03-31T00:00:00"/>
    <s v="AFTER"/>
  </r>
  <r>
    <s v="SP150"/>
    <s v="Twitter"/>
    <d v="2024-05-30T00:00:00"/>
    <s v="Story"/>
    <s v="Your Weekend Playlist Is Waiting."/>
    <n v="2311"/>
    <n v="207"/>
    <n v="363"/>
    <n v="30349"/>
    <n v="32925"/>
    <n v="88"/>
    <s v="#Musicforeveryone,#Nowplaying"/>
    <x v="0"/>
    <d v="2025-01-10T00:00:00"/>
    <d v="2025-02-10T00:00:00"/>
    <s v="BEFORE"/>
  </r>
  <r>
    <s v="SP151"/>
    <s v="Instagram"/>
    <d v="2024-08-12T00:00:00"/>
    <s v="Story"/>
    <s v="Discover Fresh Beats On Spotify!"/>
    <n v="2962"/>
    <n v="400"/>
    <n v="280"/>
    <n v="52508"/>
    <n v="58329"/>
    <n v="219"/>
    <s v="#Nowplaying"/>
    <x v="2"/>
    <d v="2024-12-01T00:00:00"/>
    <d v="2024-12-31T00:00:00"/>
    <s v="BEFORE"/>
  </r>
  <r>
    <s v="SP152"/>
    <s v="Instagram"/>
    <d v="2024-09-27T00:00:00"/>
    <s v="Text"/>
    <s v="Discover Fresh Beats On Spotify!"/>
    <n v="3118"/>
    <n v="116"/>
    <n v="195"/>
    <n v="37100"/>
    <n v="62629"/>
    <n v="272"/>
    <s v="#Discoverweekly"/>
    <x v="1"/>
    <d v="2025-03-01T00:00:00"/>
    <d v="2025-03-31T00:00:00"/>
    <s v="BEFORE"/>
  </r>
  <r>
    <s v="SP153"/>
    <s v="Twitter"/>
    <d v="2025-06-11T00:00:00"/>
    <s v="Story"/>
    <s v="Explore The Latest Podcasts Now."/>
    <n v="3805"/>
    <n v="453"/>
    <n v="63"/>
    <n v="52395"/>
    <n v="72934"/>
    <n v="87"/>
    <s v="#Discoverweekly,#Musicforeveryone"/>
    <x v="0"/>
    <d v="2025-01-10T00:00:00"/>
    <d v="2025-02-10T00:00:00"/>
    <s v="AFTER"/>
  </r>
  <r>
    <s v="SP154"/>
    <s v="Instagram"/>
    <d v="2024-11-19T00:00:00"/>
    <s v="Text"/>
    <s v="Whatâ€™S Your Vibe Today? #Spotifyhits"/>
    <n v="2525"/>
    <n v="272"/>
    <n v="294"/>
    <n v="51875"/>
    <n v="24732"/>
    <n v="92"/>
    <s v="#Discoverweekly"/>
    <x v="1"/>
    <d v="2025-03-01T00:00:00"/>
    <d v="2025-03-31T00:00:00"/>
    <s v="BEFORE"/>
  </r>
  <r>
    <s v="SP155"/>
    <s v="Instagram"/>
    <d v="2024-04-25T00:00:00"/>
    <s v="Text"/>
    <s v="Music That Moves Youâ€”Only On Spotify."/>
    <n v="3563"/>
    <n v="483"/>
    <n v="227"/>
    <n v="41085"/>
    <n v="26393"/>
    <n v="236"/>
    <s v="#Soundtrackoflife,#Nowplaying"/>
    <x v="0"/>
    <d v="2025-01-10T00:00:00"/>
    <d v="2025-02-10T00:00:00"/>
    <s v="BEFORE"/>
  </r>
  <r>
    <s v="SP156"/>
    <s v="Youtube"/>
    <d v="2024-09-03T00:00:00"/>
    <s v="Reel"/>
    <s v="Whatâ€™S Your Vibe Today? #Spotifyhits"/>
    <n v="1437"/>
    <n v="494"/>
    <n v="129"/>
    <n v="53048"/>
    <n v="44090"/>
    <n v="230"/>
    <s v="#Discoverweekly,#Soundtrackoflife"/>
    <x v="3"/>
    <d v="2024-06-15T00:00:00"/>
    <d v="2024-07-15T00:00:00"/>
    <s v="AFTER"/>
  </r>
  <r>
    <s v="SP157"/>
    <s v="Youtube"/>
    <d v="2025-03-02T00:00:00"/>
    <s v="Text"/>
    <s v="From Pop To Podcasts, Itâ€™S All Here."/>
    <n v="4425"/>
    <n v="185"/>
    <n v="162"/>
    <n v="24610"/>
    <n v="21342"/>
    <n v="158"/>
    <s v="#Discoverweekly,#Spotifywrapped"/>
    <x v="1"/>
    <d v="2025-03-01T00:00:00"/>
    <d v="2025-03-31T00:00:00"/>
    <s v="DURING"/>
  </r>
  <r>
    <s v="SP158"/>
    <s v="Twitter"/>
    <d v="2025-03-21T00:00:00"/>
    <s v="Story"/>
    <s v="New Music Just Dropped. Hit Play!"/>
    <n v="4609"/>
    <n v="427"/>
    <n v="395"/>
    <n v="33698"/>
    <n v="29259"/>
    <n v="216"/>
    <s v="#Discoverweekly,#Musicforeveryone"/>
    <x v="0"/>
    <d v="2025-01-10T00:00:00"/>
    <d v="2025-02-10T00:00:00"/>
    <s v="AFTER"/>
  </r>
  <r>
    <s v="SP159"/>
    <s v="Instagram"/>
    <d v="2024-04-12T00:00:00"/>
    <s v="Story"/>
    <s v="Get Into The Groove With Our New Drop!"/>
    <n v="1558"/>
    <n v="352"/>
    <n v="202"/>
    <n v="25405"/>
    <n v="69941"/>
    <n v="219"/>
    <s v="#Nowplaying"/>
    <x v="2"/>
    <d v="2024-12-01T00:00:00"/>
    <d v="2024-12-31T00:00:00"/>
    <s v="BEFORE"/>
  </r>
  <r>
    <s v="SP160"/>
    <s v="Youtube"/>
    <d v="2024-02-08T00:00:00"/>
    <s v="Reel"/>
    <s v="Top Trending Tracks Updated Daily!"/>
    <n v="1889"/>
    <n v="298"/>
    <n v="122"/>
    <n v="46225"/>
    <n v="74305"/>
    <n v="293"/>
    <s v="#Discoverweekly,#Soundtrackoflife"/>
    <x v="3"/>
    <d v="2024-06-15T00:00:00"/>
    <d v="2024-07-15T00:00:00"/>
    <s v="BEFORE"/>
  </r>
  <r>
    <s v="SP161"/>
    <s v="Instagram"/>
    <d v="2025-05-26T00:00:00"/>
    <s v="Text"/>
    <s v="Discover Fresh Beats On Spotify!"/>
    <n v="3086"/>
    <n v="148"/>
    <n v="310"/>
    <n v="22824"/>
    <n v="58103"/>
    <n v="275"/>
    <s v="#Discoverweekly"/>
    <x v="1"/>
    <d v="2025-03-01T00:00:00"/>
    <d v="2025-03-31T00:00:00"/>
    <s v="AFTER"/>
  </r>
  <r>
    <s v="SP162"/>
    <s v="Instagram"/>
    <d v="2024-11-14T00:00:00"/>
    <s v="Text"/>
    <s v="Music That Moves Youâ€”Only On Spotify."/>
    <n v="2422"/>
    <n v="318"/>
    <n v="118"/>
    <n v="25386"/>
    <n v="20873"/>
    <n v="100"/>
    <s v="#Soundtrackoflife,#Nowplaying"/>
    <x v="0"/>
    <d v="2025-01-10T00:00:00"/>
    <d v="2025-02-10T00:00:00"/>
    <s v="BEFORE"/>
  </r>
  <r>
    <s v="SP163"/>
    <s v="Youtube"/>
    <d v="2024-08-09T00:00:00"/>
    <s v="Reel"/>
    <s v="From Pop To Podcasts, Itâ€™S All Here."/>
    <n v="3414"/>
    <n v="154"/>
    <n v="204"/>
    <n v="34146"/>
    <n v="44633"/>
    <n v="256"/>
    <s v="#Discoverweekly,#Soundtrackoflife"/>
    <x v="3"/>
    <d v="2024-06-15T00:00:00"/>
    <d v="2024-07-15T00:00:00"/>
    <s v="AFTER"/>
  </r>
  <r>
    <s v="SP164"/>
    <s v="Instagram"/>
    <d v="2025-06-27T00:00:00"/>
    <s v="Story"/>
    <s v="Whatâ€™S Your Vibe Today? #Spotifyhits"/>
    <n v="1342"/>
    <n v="332"/>
    <n v="163"/>
    <n v="51712"/>
    <n v="57922"/>
    <n v="168"/>
    <s v="#Nowplaying"/>
    <x v="2"/>
    <d v="2024-12-01T00:00:00"/>
    <d v="2024-12-31T00:00:00"/>
    <s v="AFTER"/>
  </r>
  <r>
    <s v="SP165"/>
    <s v="Instagram"/>
    <d v="2024-05-08T00:00:00"/>
    <s v="Story"/>
    <s v="Music That Moves Youâ€”Only On Spotify."/>
    <n v="2414"/>
    <n v="220"/>
    <n v="280"/>
    <n v="27355"/>
    <n v="50562"/>
    <n v="258"/>
    <s v="#Nowplaying"/>
    <x v="2"/>
    <d v="2024-12-01T00:00:00"/>
    <d v="2024-12-31T00:00:00"/>
    <s v="BEFORE"/>
  </r>
  <r>
    <s v="SP166"/>
    <s v="Instagram"/>
    <d v="2024-04-05T00:00:00"/>
    <s v="Text"/>
    <s v="New Music Just Dropped. Hit Play!"/>
    <n v="4383"/>
    <n v="352"/>
    <n v="176"/>
    <n v="53239"/>
    <n v="34168"/>
    <n v="288"/>
    <s v="#Discoverweekly"/>
    <x v="1"/>
    <d v="2025-03-01T00:00:00"/>
    <d v="2025-03-31T00:00:00"/>
    <s v="BEFORE"/>
  </r>
  <r>
    <s v="SP167"/>
    <s v="Youtube"/>
    <d v="2025-01-27T00:00:00"/>
    <s v="Text"/>
    <s v="Wrapped Is Here! Relive Your Top Tracks Ðÿž§"/>
    <n v="4294"/>
    <n v="423"/>
    <n v="93"/>
    <n v="29828"/>
    <n v="73144"/>
    <n v="298"/>
    <s v="#Discoverweekly,#Spotifywrapped"/>
    <x v="1"/>
    <d v="2025-03-01T00:00:00"/>
    <d v="2025-03-31T00:00:00"/>
    <s v="BEFORE"/>
  </r>
  <r>
    <s v="SP168"/>
    <s v="Instagram"/>
    <d v="2024-04-03T00:00:00"/>
    <s v="Text"/>
    <s v="Top Trending Tracks Updated Daily!"/>
    <n v="2762"/>
    <n v="339"/>
    <n v="323"/>
    <n v="33757"/>
    <n v="68511"/>
    <n v="121"/>
    <s v="#Soundtrackoflife,#Nowplaying"/>
    <x v="0"/>
    <d v="2025-01-10T00:00:00"/>
    <d v="2025-02-10T00:00:00"/>
    <s v="BEFORE"/>
  </r>
  <r>
    <s v="SP169"/>
    <s v="Youtube"/>
    <d v="2025-01-03T00:00:00"/>
    <s v="Text"/>
    <s v="New Music Just Dropped. Hit Play!"/>
    <n v="3782"/>
    <n v="484"/>
    <n v="144"/>
    <n v="52172"/>
    <n v="59386"/>
    <n v="175"/>
    <s v="#Discoverweekly,#Spotifywrapped"/>
    <x v="1"/>
    <d v="2025-03-01T00:00:00"/>
    <d v="2025-03-31T00:00:00"/>
    <s v="BEFORE"/>
  </r>
  <r>
    <s v="SP170"/>
    <s v="Twitter"/>
    <d v="2024-11-23T00:00:00"/>
    <s v="Text"/>
    <s v="New Music Just Dropped. Hit Play!"/>
    <n v="4318"/>
    <n v="371"/>
    <n v="329"/>
    <n v="32347"/>
    <n v="68956"/>
    <n v="259"/>
    <s v="#Soundtrackoflife"/>
    <x v="1"/>
    <d v="2025-03-01T00:00:00"/>
    <d v="2025-03-31T00:00:00"/>
    <s v="BEFORE"/>
  </r>
  <r>
    <s v="SP171"/>
    <s v="Instagram"/>
    <d v="2024-09-01T00:00:00"/>
    <s v="Story"/>
    <s v="Wrapped Is Here! Relive Your Top Tracks Ðÿž§"/>
    <n v="2335"/>
    <n v="150"/>
    <n v="75"/>
    <n v="26114"/>
    <n v="57549"/>
    <n v="135"/>
    <s v="#Nowplaying"/>
    <x v="2"/>
    <d v="2024-12-01T00:00:00"/>
    <d v="2024-12-31T00:00:00"/>
    <s v="BEFORE"/>
  </r>
  <r>
    <s v="SP172"/>
    <s v="Youtube"/>
    <d v="2024-04-18T00:00:00"/>
    <s v="Text"/>
    <s v="Explore The Latest Podcasts Now."/>
    <n v="4023"/>
    <n v="293"/>
    <n v="91"/>
    <n v="26795"/>
    <n v="28924"/>
    <n v="278"/>
    <s v="#Discoverweekly,#Spotifywrapped"/>
    <x v="1"/>
    <d v="2025-03-01T00:00:00"/>
    <d v="2025-03-31T00:00:00"/>
    <s v="BEFORE"/>
  </r>
  <r>
    <s v="SP173"/>
    <s v="Instagram"/>
    <d v="2024-06-04T00:00:00"/>
    <s v="Text"/>
    <s v="Get Into The Groove With Our New Drop!"/>
    <n v="3948"/>
    <n v="151"/>
    <n v="249"/>
    <n v="43147"/>
    <n v="63136"/>
    <n v="230"/>
    <s v="#Discoverweekly"/>
    <x v="1"/>
    <d v="2025-03-01T00:00:00"/>
    <d v="2025-03-31T00:00:00"/>
    <s v="BEFORE"/>
  </r>
  <r>
    <s v="SP174"/>
    <s v="Youtube"/>
    <d v="2025-04-02T00:00:00"/>
    <s v="Text"/>
    <s v="Wrapped Is Here! Relive Your Top Tracks Ðÿž§"/>
    <n v="4598"/>
    <n v="455"/>
    <n v="378"/>
    <n v="52952"/>
    <n v="58504"/>
    <n v="269"/>
    <s v="#Discoverweekly,#Spotifywrapped"/>
    <x v="1"/>
    <d v="2025-03-01T00:00:00"/>
    <d v="2025-03-31T00:00:00"/>
    <s v="AFTER"/>
  </r>
  <r>
    <s v="SP175"/>
    <s v="Twitter"/>
    <d v="2025-04-01T00:00:00"/>
    <s v="Story"/>
    <s v="Music That Moves Youâ€”Only On Spotify."/>
    <n v="2665"/>
    <n v="143"/>
    <n v="315"/>
    <n v="54808"/>
    <n v="29818"/>
    <n v="98"/>
    <s v="#Discoverweekly,#Musicforeveryone"/>
    <x v="0"/>
    <d v="2025-01-10T00:00:00"/>
    <d v="2025-02-10T00:00:00"/>
    <s v="AFTER"/>
  </r>
  <r>
    <s v="SP176"/>
    <s v="Instagram"/>
    <d v="2024-07-02T00:00:00"/>
    <s v="Text"/>
    <s v="Top Trending Tracks Updated Daily!"/>
    <n v="3469"/>
    <n v="371"/>
    <n v="76"/>
    <n v="46493"/>
    <n v="26906"/>
    <n v="150"/>
    <s v="#Soundtrackoflife,#Nowplaying"/>
    <x v="0"/>
    <d v="2025-01-10T00:00:00"/>
    <d v="2025-02-10T00:00:00"/>
    <s v="BEFORE"/>
  </r>
  <r>
    <s v="SP177"/>
    <s v="Twitter"/>
    <d v="2024-11-10T00:00:00"/>
    <s v="Text"/>
    <s v="Explore The Latest Podcasts Now."/>
    <n v="4823"/>
    <n v="489"/>
    <n v="302"/>
    <n v="32470"/>
    <n v="31861"/>
    <n v="178"/>
    <s v="#Soundtrackoflife"/>
    <x v="1"/>
    <d v="2025-03-01T00:00:00"/>
    <d v="2025-03-31T00:00:00"/>
    <s v="BEFORE"/>
  </r>
  <r>
    <s v="SP178"/>
    <s v="Instagram"/>
    <d v="2024-12-14T00:00:00"/>
    <s v="Story"/>
    <s v="From Pop To Podcasts, Itâ€™S All Here."/>
    <n v="3812"/>
    <n v="321"/>
    <n v="289"/>
    <n v="59838"/>
    <n v="36337"/>
    <n v="161"/>
    <s v="#Nowplaying"/>
    <x v="2"/>
    <d v="2024-12-01T00:00:00"/>
    <d v="2024-12-31T00:00:00"/>
    <s v="DURING"/>
  </r>
  <r>
    <s v="SP179"/>
    <s v="Twitter"/>
    <d v="2024-11-19T00:00:00"/>
    <s v="Text"/>
    <s v="Explore The Latest Podcasts Now."/>
    <n v="2387"/>
    <n v="353"/>
    <n v="78"/>
    <n v="39745"/>
    <n v="69226"/>
    <n v="208"/>
    <s v="#Soundtrackoflife"/>
    <x v="1"/>
    <d v="2025-03-01T00:00:00"/>
    <d v="2025-03-31T00:00:00"/>
    <s v="BEFORE"/>
  </r>
  <r>
    <s v="SP180"/>
    <s v="Twitter"/>
    <d v="2025-04-30T00:00:00"/>
    <s v="Story"/>
    <s v="Wrapped Is Here! Relive Your Top Tracks Ðÿž§"/>
    <n v="3929"/>
    <n v="275"/>
    <n v="330"/>
    <n v="58329"/>
    <n v="33196"/>
    <n v="85"/>
    <s v="#Musicforeveryone,#Nowplaying"/>
    <x v="0"/>
    <d v="2025-01-10T00:00:00"/>
    <d v="2025-02-10T00:00:00"/>
    <s v="AFTER"/>
  </r>
  <r>
    <s v="SP181"/>
    <s v="Twitter"/>
    <d v="2024-03-19T00:00:00"/>
    <s v="Text"/>
    <s v="From Pop To Podcasts, Itâ€™S All Here."/>
    <n v="2191"/>
    <n v="288"/>
    <n v="83"/>
    <n v="59606"/>
    <n v="24765"/>
    <n v="281"/>
    <s v="#Soundtrackoflife"/>
    <x v="1"/>
    <d v="2025-03-01T00:00:00"/>
    <d v="2025-03-31T00:00:00"/>
    <s v="BEFORE"/>
  </r>
  <r>
    <s v="SP182"/>
    <s v="Instagram"/>
    <d v="2024-03-19T00:00:00"/>
    <s v="Text"/>
    <s v="From Pop To Podcasts, Itâ€™S All Here."/>
    <n v="2878"/>
    <n v="278"/>
    <n v="255"/>
    <n v="47235"/>
    <n v="57922"/>
    <n v="112"/>
    <s v="#Soundtrackoflife,#Nowplaying"/>
    <x v="0"/>
    <d v="2025-01-10T00:00:00"/>
    <d v="2025-02-10T00:00:00"/>
    <s v="BEFORE"/>
  </r>
  <r>
    <s v="SP183"/>
    <s v="Twitter"/>
    <d v="2024-07-23T00:00:00"/>
    <s v="Text"/>
    <s v="Top Trending Tracks Updated Daily!"/>
    <n v="3204"/>
    <n v="398"/>
    <n v="85"/>
    <n v="22020"/>
    <n v="58353"/>
    <n v="286"/>
    <s v="#Soundtrackoflife"/>
    <x v="1"/>
    <d v="2025-03-01T00:00:00"/>
    <d v="2025-03-31T00:00:00"/>
    <s v="BEFORE"/>
  </r>
  <r>
    <s v="SP184"/>
    <s v="Twitter"/>
    <d v="2024-07-13T00:00:00"/>
    <s v="Story"/>
    <s v="Get Into The Groove With Our New Drop!"/>
    <n v="2408"/>
    <n v="323"/>
    <n v="251"/>
    <n v="47599"/>
    <n v="35543"/>
    <n v="287"/>
    <s v="#Musicforeveryone,#Nowplaying"/>
    <x v="0"/>
    <d v="2025-01-10T00:00:00"/>
    <d v="2025-02-10T00:00:00"/>
    <s v="BEFORE"/>
  </r>
  <r>
    <s v="SP185"/>
    <s v="Youtube"/>
    <d v="2025-04-22T00:00:00"/>
    <s v="Reel"/>
    <s v="New Music Just Dropped. Hit Play!"/>
    <n v="2733"/>
    <n v="297"/>
    <n v="235"/>
    <n v="37980"/>
    <n v="33058"/>
    <n v="219"/>
    <s v="#Discoverweekly,#Soundtrackoflife"/>
    <x v="3"/>
    <d v="2024-06-15T00:00:00"/>
    <d v="2024-07-15T00:00:00"/>
    <s v="AFTER"/>
  </r>
  <r>
    <s v="SP186"/>
    <s v="Twitter"/>
    <d v="2024-06-16T00:00:00"/>
    <s v="Story"/>
    <s v="Explore The Latest Podcasts Now."/>
    <n v="4618"/>
    <n v="312"/>
    <n v="254"/>
    <n v="22571"/>
    <n v="29453"/>
    <n v="197"/>
    <s v="#Musicforeveryone,#Nowplaying"/>
    <x v="0"/>
    <d v="2025-01-10T00:00:00"/>
    <d v="2025-02-10T00:00:00"/>
    <s v="BEFORE"/>
  </r>
  <r>
    <s v="SP187"/>
    <s v="Youtube"/>
    <d v="2025-05-18T00:00:00"/>
    <s v="Reel"/>
    <s v="Wrapped Is Here! Relive Your Top Tracks Ðÿž§"/>
    <n v="4210"/>
    <n v="319"/>
    <n v="350"/>
    <n v="37762"/>
    <n v="55162"/>
    <n v="204"/>
    <s v="#Discoverweekly,#Soundtrackoflife"/>
    <x v="3"/>
    <d v="2024-06-15T00:00:00"/>
    <d v="2024-07-15T00:00:00"/>
    <s v="AFTER"/>
  </r>
  <r>
    <s v="SP188"/>
    <s v="Instagram"/>
    <d v="2025-06-06T00:00:00"/>
    <s v="Text"/>
    <s v="Wrapped Is Here! Relive Your Top Tracks Ðÿž§"/>
    <n v="3987"/>
    <n v="171"/>
    <n v="274"/>
    <n v="45122"/>
    <n v="65431"/>
    <n v="168"/>
    <s v="#Discoverweekly"/>
    <x v="1"/>
    <d v="2025-03-01T00:00:00"/>
    <d v="2025-03-31T00:00:00"/>
    <s v="AFTER"/>
  </r>
  <r>
    <s v="SP189"/>
    <s v="Youtube"/>
    <d v="2025-02-20T00:00:00"/>
    <s v="Reel"/>
    <s v="Get Into The Groove With Our New Drop!"/>
    <n v="4957"/>
    <n v="262"/>
    <n v="365"/>
    <n v="49199"/>
    <n v="40314"/>
    <n v="216"/>
    <s v="#Discoverweekly,#Soundtrackoflife"/>
    <x v="3"/>
    <d v="2024-06-15T00:00:00"/>
    <d v="2024-07-15T00:00:00"/>
    <s v="AFTER"/>
  </r>
  <r>
    <s v="SP190"/>
    <s v="Instagram"/>
    <d v="2025-01-16T00:00:00"/>
    <s v="Text"/>
    <s v="Music That Moves Youâ€”Only On Spotify."/>
    <n v="2605"/>
    <n v="282"/>
    <n v="148"/>
    <n v="32201"/>
    <n v="49583"/>
    <n v="241"/>
    <s v="#Soundtrackoflife,#Nowplaying"/>
    <x v="0"/>
    <d v="2025-01-10T00:00:00"/>
    <d v="2025-02-10T00:00:00"/>
    <s v="DURING"/>
  </r>
  <r>
    <s v="SP191"/>
    <s v="Youtube"/>
    <d v="2024-02-24T00:00:00"/>
    <s v="Reel"/>
    <s v="Discover Fresh Beats On Spotify!"/>
    <n v="4221"/>
    <n v="307"/>
    <n v="58"/>
    <n v="45080"/>
    <n v="37214"/>
    <n v="240"/>
    <s v="#Discoverweekly,#Soundtrackoflife"/>
    <x v="3"/>
    <d v="2024-06-15T00:00:00"/>
    <d v="2024-07-15T00:00:00"/>
    <s v="BEFORE"/>
  </r>
  <r>
    <s v="SP192"/>
    <s v="Twitter"/>
    <d v="2024-09-16T00:00:00"/>
    <s v="Story"/>
    <s v="Whatâ€™S Your Vibe Today? #Spotifyhits"/>
    <n v="4422"/>
    <n v="434"/>
    <n v="156"/>
    <n v="56165"/>
    <n v="52431"/>
    <n v="173"/>
    <s v="#Discoverweekly,#Musicforeveryone"/>
    <x v="0"/>
    <d v="2025-01-10T00:00:00"/>
    <d v="2025-02-10T00:00:00"/>
    <s v="BEFORE"/>
  </r>
  <r>
    <s v="SP193"/>
    <s v="Youtube"/>
    <d v="2024-06-04T00:00:00"/>
    <s v="Reel"/>
    <s v="Wrapped Is Here! Relive Your Top Tracks Ðÿž§"/>
    <n v="1211"/>
    <n v="431"/>
    <n v="83"/>
    <n v="26532"/>
    <n v="47305"/>
    <n v="232"/>
    <s v="#Discoverweekly,#Soundtrackoflife"/>
    <x v="3"/>
    <d v="2024-06-15T00:00:00"/>
    <d v="2024-07-15T00:00:00"/>
    <s v="BEFORE"/>
  </r>
  <r>
    <s v="SP194"/>
    <s v="Twitter"/>
    <d v="2024-05-10T00:00:00"/>
    <s v="Story"/>
    <s v="Explore The Latest Podcasts Now."/>
    <n v="2784"/>
    <n v="111"/>
    <n v="399"/>
    <n v="58366"/>
    <n v="69512"/>
    <n v="269"/>
    <s v="#Musicforeveryone,#Nowplaying"/>
    <x v="0"/>
    <d v="2025-01-10T00:00:00"/>
    <d v="2025-02-10T00:00:00"/>
    <s v="BEFORE"/>
  </r>
  <r>
    <s v="SP195"/>
    <s v="Youtube"/>
    <d v="2024-01-14T00:00:00"/>
    <s v="Text"/>
    <s v="New Music Just Dropped. Hit Play!"/>
    <n v="3634"/>
    <n v="280"/>
    <n v="399"/>
    <n v="40256"/>
    <n v="52605"/>
    <n v="213"/>
    <s v="#Discoverweekly,#Spotifywrapped"/>
    <x v="1"/>
    <d v="2025-03-01T00:00:00"/>
    <d v="2025-03-31T00:00:00"/>
    <s v="BEFORE"/>
  </r>
  <r>
    <s v="SP196"/>
    <s v="Instagram"/>
    <d v="2025-01-12T00:00:00"/>
    <s v="Text"/>
    <s v="From Pop To Podcasts, Itâ€™S All Here."/>
    <n v="1771"/>
    <n v="487"/>
    <n v="272"/>
    <n v="48810"/>
    <n v="48084"/>
    <n v="272"/>
    <s v="#Soundtrackoflife,#Nowplaying"/>
    <x v="0"/>
    <d v="2025-01-10T00:00:00"/>
    <d v="2025-02-10T00:00:00"/>
    <s v="DURING"/>
  </r>
  <r>
    <s v="SP197"/>
    <s v="Youtube"/>
    <d v="2024-12-08T00:00:00"/>
    <s v="Text"/>
    <s v="Top Trending Tracks Updated Daily!"/>
    <n v="1424"/>
    <n v="396"/>
    <n v="312"/>
    <n v="59517"/>
    <n v="46102"/>
    <n v="239"/>
    <s v="#Discoverweekly,#Spotifywrapped"/>
    <x v="1"/>
    <d v="2025-03-01T00:00:00"/>
    <d v="2025-03-31T00:00:00"/>
    <s v="BEFORE"/>
  </r>
  <r>
    <s v="SP198"/>
    <s v="Twitter"/>
    <d v="2025-02-01T00:00:00"/>
    <s v="Story"/>
    <s v="Top Trending Tracks Updated Daily!"/>
    <n v="1079"/>
    <n v="265"/>
    <n v="190"/>
    <n v="43786"/>
    <n v="72428"/>
    <n v="222"/>
    <s v="#Soundtrackoflife,#Nowplaying"/>
    <x v="0"/>
    <d v="2025-01-10T00:00:00"/>
    <d v="2025-02-10T00:00:00"/>
    <s v="DURING"/>
  </r>
  <r>
    <s v="SP199"/>
    <s v="Twitter"/>
    <d v="2024-07-11T00:00:00"/>
    <s v="Story"/>
    <s v="Get Into The Groove With Our New Drop!"/>
    <n v="4247"/>
    <n v="179"/>
    <n v="175"/>
    <n v="32991"/>
    <n v="70120"/>
    <n v="276"/>
    <s v="#Soundtrackoflife,#Nowplaying"/>
    <x v="0"/>
    <d v="2025-01-10T00:00:00"/>
    <d v="2025-02-10T00:00:00"/>
    <s v="BEFORE"/>
  </r>
  <r>
    <s v="SP200"/>
    <s v="Twitter"/>
    <d v="2024-03-18T00:00:00"/>
    <s v="Text"/>
    <s v="New Music Just Dropped. Hit Play!"/>
    <n v="2033"/>
    <n v="420"/>
    <n v="94"/>
    <n v="56290"/>
    <n v="57391"/>
    <n v="196"/>
    <s v="#Nowplaying"/>
    <x v="0"/>
    <d v="2025-01-10T00:00:00"/>
    <d v="2025-02-10T00:00:00"/>
    <s v="BEFORE"/>
  </r>
  <r>
    <s v="SP201"/>
    <s v="Twitter"/>
    <d v="2024-09-12T00:00:00"/>
    <s v="Story"/>
    <s v="Wrapped Is Here! Relive Your Top Tracks Ðÿž§"/>
    <n v="1839"/>
    <n v="223"/>
    <n v="171"/>
    <n v="35459"/>
    <n v="69988"/>
    <n v="114"/>
    <s v="#Musicforeveryone,#Nowplaying"/>
    <x v="0"/>
    <d v="2025-01-10T00:00:00"/>
    <d v="2025-02-10T00:00:00"/>
    <s v="BEFORE"/>
  </r>
  <r>
    <s v="SP202"/>
    <s v="Twitter"/>
    <d v="2024-01-11T00:00:00"/>
    <s v="Story"/>
    <s v="Wrapped Is Here! Relive Your Top Tracks Ðÿž§"/>
    <n v="2340"/>
    <n v="141"/>
    <n v="206"/>
    <n v="24916"/>
    <n v="30582"/>
    <n v="157"/>
    <s v="#Soundtrackoflife,#Nowplaying"/>
    <x v="0"/>
    <d v="2025-01-10T00:00:00"/>
    <d v="2025-02-10T00:00:00"/>
    <s v="BEFORE"/>
  </r>
  <r>
    <s v="SP203"/>
    <s v="Instagram"/>
    <d v="2024-10-06T00:00:00"/>
    <s v="Text"/>
    <s v="Top Trending Tracks Updated Daily!"/>
    <n v="2080"/>
    <n v="389"/>
    <n v="92"/>
    <n v="30971"/>
    <n v="25347"/>
    <n v="111"/>
    <s v="#Discoverweekly"/>
    <x v="1"/>
    <d v="2025-03-01T00:00:00"/>
    <d v="2025-03-31T00:00:00"/>
    <s v="BEFORE"/>
  </r>
  <r>
    <s v="SP204"/>
    <s v="Twitter"/>
    <d v="2024-12-30T00:00:00"/>
    <s v="Text"/>
    <s v="Get Into The Groove With Our New Drop!"/>
    <n v="4214"/>
    <n v="286"/>
    <n v="127"/>
    <n v="47293"/>
    <n v="27184"/>
    <n v="232"/>
    <s v="#Nowplaying"/>
    <x v="0"/>
    <d v="2025-01-10T00:00:00"/>
    <d v="2025-02-10T00:00:00"/>
    <s v="BEFORE"/>
  </r>
  <r>
    <s v="SP205"/>
    <s v="Twitter"/>
    <d v="2025-04-16T00:00:00"/>
    <s v="Text"/>
    <s v="Wrapped Is Here! Relive Your Top Tracks Ðÿž§"/>
    <n v="3792"/>
    <n v="315"/>
    <n v="120"/>
    <n v="54592"/>
    <n v="67886"/>
    <n v="117"/>
    <s v="#Soundtrackoflife"/>
    <x v="1"/>
    <d v="2025-03-01T00:00:00"/>
    <d v="2025-03-31T00:00:00"/>
    <s v="AFTER"/>
  </r>
  <r>
    <s v="SP206"/>
    <s v="Twitter"/>
    <d v="2024-08-21T00:00:00"/>
    <s v="Story"/>
    <s v="Explore The Latest Podcasts Now."/>
    <n v="3989"/>
    <n v="476"/>
    <n v="128"/>
    <n v="57569"/>
    <n v="40193"/>
    <n v="222"/>
    <s v="#Discoverweekly,#Musicforeveryone"/>
    <x v="0"/>
    <d v="2025-01-10T00:00:00"/>
    <d v="2025-02-10T00:00:00"/>
    <s v="BEFORE"/>
  </r>
  <r>
    <s v="SP207"/>
    <s v="Twitter"/>
    <d v="2024-04-05T00:00:00"/>
    <s v="Story"/>
    <s v="Wrapped Is Here! Relive Your Top Tracks Ðÿž§"/>
    <n v="2857"/>
    <n v="443"/>
    <n v="359"/>
    <n v="51519"/>
    <n v="28256"/>
    <n v="155"/>
    <s v="#Soundtrackoflife,#Nowplaying"/>
    <x v="0"/>
    <d v="2025-01-10T00:00:00"/>
    <d v="2025-02-10T00:00:00"/>
    <s v="BEFORE"/>
  </r>
  <r>
    <s v="SP208"/>
    <s v="Twitter"/>
    <d v="2025-04-07T00:00:00"/>
    <s v="Text"/>
    <s v="From Pop To Podcasts, Itâ€™S All Here."/>
    <n v="1403"/>
    <n v="385"/>
    <n v="344"/>
    <n v="54223"/>
    <n v="72595"/>
    <n v="239"/>
    <s v="#Soundtrackoflife"/>
    <x v="1"/>
    <d v="2025-03-01T00:00:00"/>
    <d v="2025-03-31T00:00:00"/>
    <s v="AFTER"/>
  </r>
  <r>
    <s v="SP209"/>
    <s v="Twitter"/>
    <d v="2024-07-19T00:00:00"/>
    <s v="Story"/>
    <s v="Whatâ€™S Your Vibe Today? #Spotifyhits"/>
    <n v="3071"/>
    <n v="126"/>
    <n v="200"/>
    <n v="44013"/>
    <n v="44679"/>
    <n v="118"/>
    <s v="#Discoverweekly,#Musicforeveryone"/>
    <x v="0"/>
    <d v="2025-01-10T00:00:00"/>
    <d v="2025-02-10T00:00:00"/>
    <s v="BEFORE"/>
  </r>
  <r>
    <s v="SP210"/>
    <s v="Twitter"/>
    <d v="2025-05-03T00:00:00"/>
    <s v="Story"/>
    <s v="Top Trending Tracks Updated Daily!"/>
    <n v="1010"/>
    <n v="361"/>
    <n v="240"/>
    <n v="47229"/>
    <n v="72573"/>
    <n v="275"/>
    <s v="#Soundtrackoflife,#Nowplaying"/>
    <x v="0"/>
    <d v="2025-01-10T00:00:00"/>
    <d v="2025-02-10T00:00:00"/>
    <s v="AFTER"/>
  </r>
  <r>
    <s v="SP211"/>
    <s v="Twitter"/>
    <d v="2024-04-14T00:00:00"/>
    <s v="Story"/>
    <s v="Discover Fresh Beats On Spotify!"/>
    <n v="1295"/>
    <n v="153"/>
    <n v="81"/>
    <n v="48350"/>
    <n v="61033"/>
    <n v="232"/>
    <s v="#Discoverweekly,#Musicforeveryone"/>
    <x v="0"/>
    <d v="2025-01-10T00:00:00"/>
    <d v="2025-02-10T00:00:00"/>
    <s v="BEFORE"/>
  </r>
  <r>
    <s v="SP212"/>
    <s v="Twitter"/>
    <d v="2025-06-19T00:00:00"/>
    <s v="Story"/>
    <s v="Whatâ€™S Your Vibe Today? #Spotifyhits"/>
    <n v="1433"/>
    <n v="452"/>
    <n v="305"/>
    <n v="54541"/>
    <n v="63700"/>
    <n v="296"/>
    <s v="#Discoverweekly,#Musicforeveryone"/>
    <x v="0"/>
    <d v="2025-01-10T00:00:00"/>
    <d v="2025-02-10T00:00:00"/>
    <s v="AFTER"/>
  </r>
  <r>
    <s v="SP213"/>
    <s v="Instagram"/>
    <d v="2025-06-24T00:00:00"/>
    <s v="Story"/>
    <s v="Get Into The Groove With Our New Drop!"/>
    <n v="4902"/>
    <n v="422"/>
    <n v="376"/>
    <n v="31674"/>
    <n v="53225"/>
    <n v="147"/>
    <s v="#Nowplaying"/>
    <x v="2"/>
    <d v="2024-12-01T00:00:00"/>
    <d v="2024-12-31T00:00:00"/>
    <s v="AFTER"/>
  </r>
  <r>
    <s v="SP214"/>
    <s v="Twitter"/>
    <d v="2024-10-09T00:00:00"/>
    <s v="Text"/>
    <s v="Wrapped Is Here! Relive Your Top Tracks Ðÿž§"/>
    <n v="2659"/>
    <n v="167"/>
    <n v="73"/>
    <n v="23090"/>
    <n v="25872"/>
    <n v="293"/>
    <s v="#Soundtrackoflife"/>
    <x v="1"/>
    <d v="2025-03-01T00:00:00"/>
    <d v="2025-03-31T00:00:00"/>
    <s v="BEFORE"/>
  </r>
  <r>
    <s v="SP215"/>
    <s v="Youtube"/>
    <d v="2025-01-15T00:00:00"/>
    <s v="Text"/>
    <s v="Your Weekend Playlist Is Waiting."/>
    <n v="2599"/>
    <n v="324"/>
    <n v="182"/>
    <n v="37525"/>
    <n v="37216"/>
    <n v="186"/>
    <s v="#Discoverweekly,#Spotifywrapped"/>
    <x v="1"/>
    <d v="2025-03-01T00:00:00"/>
    <d v="2025-03-31T00:00:00"/>
    <s v="BEFORE"/>
  </r>
  <r>
    <s v="SP216"/>
    <s v="Twitter"/>
    <d v="2025-01-12T00:00:00"/>
    <s v="Text"/>
    <s v="Music That Moves Youâ€”Only On Spotify."/>
    <n v="1765"/>
    <n v="285"/>
    <n v="100"/>
    <n v="41313"/>
    <n v="56575"/>
    <n v="174"/>
    <s v="#Soundtrackoflife"/>
    <x v="1"/>
    <d v="2025-03-01T00:00:00"/>
    <d v="2025-03-31T00:00:00"/>
    <s v="BEFORE"/>
  </r>
  <r>
    <s v="SP217"/>
    <s v="Instagram"/>
    <d v="2025-05-31T00:00:00"/>
    <s v="Text"/>
    <s v="Whatâ€™S Your Vibe Today? #Spotifyhits"/>
    <n v="2169"/>
    <n v="240"/>
    <n v="57"/>
    <n v="26109"/>
    <n v="46667"/>
    <n v="133"/>
    <s v="#Soundtrackoflife,#Nowplaying"/>
    <x v="0"/>
    <d v="2025-01-10T00:00:00"/>
    <d v="2025-02-10T00:00:00"/>
    <s v="AFTER"/>
  </r>
  <r>
    <s v="SP218"/>
    <s v="Twitter"/>
    <d v="2024-10-14T00:00:00"/>
    <s v="Story"/>
    <s v="Explore The Latest Podcasts Now."/>
    <n v="4303"/>
    <n v="306"/>
    <n v="302"/>
    <n v="39575"/>
    <n v="33762"/>
    <n v="265"/>
    <s v="#Discoverweekly,#Musicforeveryone"/>
    <x v="0"/>
    <d v="2025-01-10T00:00:00"/>
    <d v="2025-02-10T00:00:00"/>
    <s v="BEFORE"/>
  </r>
  <r>
    <s v="SP219"/>
    <s v="Twitter"/>
    <d v="2024-02-10T00:00:00"/>
    <s v="Text"/>
    <s v="From Pop To Podcasts, Itâ€™S All Here."/>
    <n v="1519"/>
    <n v="456"/>
    <n v="379"/>
    <n v="51611"/>
    <n v="45880"/>
    <n v="176"/>
    <s v="#Soundtrackoflife"/>
    <x v="1"/>
    <d v="2025-03-01T00:00:00"/>
    <d v="2025-03-31T00:00:00"/>
    <s v="BEFORE"/>
  </r>
  <r>
    <s v="SP220"/>
    <s v="Youtube"/>
    <d v="2024-12-10T00:00:00"/>
    <s v="Text"/>
    <s v="Whatâ€™S Your Vibe Today? #Spotifyhits"/>
    <n v="2569"/>
    <n v="140"/>
    <n v="375"/>
    <n v="38372"/>
    <n v="22102"/>
    <n v="255"/>
    <s v="#Discoverweekly,#Spotifywrapped"/>
    <x v="1"/>
    <d v="2025-03-01T00:00:00"/>
    <d v="2025-03-31T00:00:00"/>
    <s v="BEFORE"/>
  </r>
  <r>
    <s v="SP221"/>
    <s v="Twitter"/>
    <d v="2025-05-09T00:00:00"/>
    <s v="Story"/>
    <s v="Music That Moves Youâ€”Only On Spotify."/>
    <n v="2778"/>
    <n v="241"/>
    <n v="317"/>
    <n v="26247"/>
    <n v="20677"/>
    <n v="282"/>
    <s v="#Musicforeveryone,#Nowplaying"/>
    <x v="0"/>
    <d v="2025-01-10T00:00:00"/>
    <d v="2025-02-10T00:00:00"/>
    <s v="AFTER"/>
  </r>
  <r>
    <s v="SP222"/>
    <s v="Twitter"/>
    <d v="2025-06-21T00:00:00"/>
    <s v="Text"/>
    <s v="Explore The Latest Podcasts Now."/>
    <n v="3611"/>
    <n v="127"/>
    <n v="139"/>
    <n v="44768"/>
    <n v="29435"/>
    <n v="178"/>
    <s v="#Nowplaying"/>
    <x v="0"/>
    <d v="2025-01-10T00:00:00"/>
    <d v="2025-02-10T00:00:00"/>
    <s v="AFTER"/>
  </r>
  <r>
    <s v="SP223"/>
    <s v="Twitter"/>
    <d v="2024-06-19T00:00:00"/>
    <s v="Text"/>
    <s v="Whatâ€™S Your Vibe Today? #Spotifyhits"/>
    <n v="1224"/>
    <n v="168"/>
    <n v="199"/>
    <n v="54232"/>
    <n v="52844"/>
    <n v="271"/>
    <s v="#Soundtrackoflife"/>
    <x v="1"/>
    <d v="2025-03-01T00:00:00"/>
    <d v="2025-03-31T00:00:00"/>
    <s v="BEFORE"/>
  </r>
  <r>
    <s v="SP224"/>
    <s v="Twitter"/>
    <d v="2024-12-10T00:00:00"/>
    <s v="Text"/>
    <s v="From Pop To Podcasts, Itâ€™S All Here."/>
    <n v="4673"/>
    <n v="270"/>
    <n v="93"/>
    <n v="45260"/>
    <n v="57513"/>
    <n v="103"/>
    <s v="#Nowplaying"/>
    <x v="0"/>
    <d v="2025-01-10T00:00:00"/>
    <d v="2025-02-10T00:00:00"/>
    <s v="BEFORE"/>
  </r>
  <r>
    <s v="SP225"/>
    <s v="Youtube"/>
    <d v="2024-02-01T00:00:00"/>
    <s v="Text"/>
    <s v="Wrapped Is Here! Relive Your Top Tracks Ðÿž§"/>
    <n v="1432"/>
    <n v="437"/>
    <n v="267"/>
    <n v="40634"/>
    <n v="54511"/>
    <n v="197"/>
    <s v="#Discoverweekly,#Spotifywrapped"/>
    <x v="1"/>
    <d v="2025-03-01T00:00:00"/>
    <d v="2025-03-31T00:00:00"/>
    <s v="BEFORE"/>
  </r>
  <r>
    <s v="SP226"/>
    <s v="Twitter"/>
    <d v="2024-01-17T00:00:00"/>
    <s v="Story"/>
    <s v="New Music Just Dropped. Hit Play!"/>
    <n v="2174"/>
    <n v="499"/>
    <n v="212"/>
    <n v="54938"/>
    <n v="27190"/>
    <n v="265"/>
    <s v="#Musicforeveryone,#Nowplaying"/>
    <x v="0"/>
    <d v="2025-01-10T00:00:00"/>
    <d v="2025-02-10T00:00:00"/>
    <s v="BEFORE"/>
  </r>
  <r>
    <s v="SP227"/>
    <s v="Youtube"/>
    <d v="2025-03-22T00:00:00"/>
    <s v="Text"/>
    <s v="Music That Moves Youâ€”Only On Spotify."/>
    <n v="4308"/>
    <n v="171"/>
    <n v="106"/>
    <n v="36955"/>
    <n v="23949"/>
    <n v="294"/>
    <s v="#Discoverweekly,#Spotifywrapped"/>
    <x v="1"/>
    <d v="2025-03-01T00:00:00"/>
    <d v="2025-03-31T00:00:00"/>
    <s v="DURING"/>
  </r>
  <r>
    <s v="SP228"/>
    <s v="Youtube"/>
    <d v="2024-05-30T00:00:00"/>
    <s v="Reel"/>
    <s v="Whatâ€™S Your Vibe Today? #Spotifyhits"/>
    <n v="1060"/>
    <n v="442"/>
    <n v="319"/>
    <n v="57194"/>
    <n v="24258"/>
    <n v="101"/>
    <s v="#Discoverweekly,#Soundtrackoflife"/>
    <x v="3"/>
    <d v="2024-06-15T00:00:00"/>
    <d v="2024-07-15T00:00:00"/>
    <s v="BEFORE"/>
  </r>
  <r>
    <s v="SP229"/>
    <s v="Youtube"/>
    <d v="2024-02-24T00:00:00"/>
    <s v="Text"/>
    <s v="Music That Moves Youâ€”Only On Spotify."/>
    <n v="4653"/>
    <n v="226"/>
    <n v="349"/>
    <n v="56876"/>
    <n v="28452"/>
    <n v="257"/>
    <s v="#Discoverweekly,#Spotifywrapped"/>
    <x v="1"/>
    <d v="2025-03-01T00:00:00"/>
    <d v="2025-03-31T00:00:00"/>
    <s v="BEFORE"/>
  </r>
  <r>
    <s v="SP230"/>
    <s v="Youtube"/>
    <d v="2025-05-14T00:00:00"/>
    <s v="Text"/>
    <s v="Discover Fresh Beats On Spotify!"/>
    <n v="1701"/>
    <n v="272"/>
    <n v="385"/>
    <n v="47496"/>
    <n v="40832"/>
    <n v="246"/>
    <s v="#Discoverweekly,#Spotifywrapped"/>
    <x v="1"/>
    <d v="2025-03-01T00:00:00"/>
    <d v="2025-03-31T00:00:00"/>
    <s v="AFTER"/>
  </r>
  <r>
    <s v="SP231"/>
    <s v="Instagram"/>
    <d v="2024-03-28T00:00:00"/>
    <s v="Text"/>
    <s v="Whatâ€™S Your Vibe Today? #Spotifyhits"/>
    <n v="1673"/>
    <n v="280"/>
    <n v="67"/>
    <n v="29847"/>
    <n v="48016"/>
    <n v="213"/>
    <s v="#Soundtrackoflife,#Nowplaying"/>
    <x v="0"/>
    <d v="2025-01-10T00:00:00"/>
    <d v="2025-02-10T00:00:00"/>
    <s v="BEFORE"/>
  </r>
  <r>
    <s v="SP232"/>
    <s v="Youtube"/>
    <d v="2025-03-07T00:00:00"/>
    <s v="Text"/>
    <s v="Top Trending Tracks Updated Daily!"/>
    <n v="4310"/>
    <n v="284"/>
    <n v="306"/>
    <n v="44606"/>
    <n v="42604"/>
    <n v="290"/>
    <s v="#Discoverweekly,#Spotifywrapped"/>
    <x v="1"/>
    <d v="2025-03-01T00:00:00"/>
    <d v="2025-03-31T00:00:00"/>
    <s v="DURING"/>
  </r>
  <r>
    <s v="SP233"/>
    <s v="Twitter"/>
    <d v="2024-10-20T00:00:00"/>
    <s v="Text"/>
    <s v="From Pop To Podcasts, Itâ€™S All Here."/>
    <n v="2752"/>
    <n v="309"/>
    <n v="91"/>
    <n v="39038"/>
    <n v="28095"/>
    <n v="277"/>
    <s v="#Nowplaying"/>
    <x v="0"/>
    <d v="2025-01-10T00:00:00"/>
    <d v="2025-02-10T00:00:00"/>
    <s v="BEFORE"/>
  </r>
  <r>
    <s v="SP234"/>
    <s v="Twitter"/>
    <d v="2024-02-02T00:00:00"/>
    <s v="Text"/>
    <s v="From Pop To Podcasts, Itâ€™S All Here."/>
    <n v="3818"/>
    <n v="115"/>
    <n v="286"/>
    <n v="25127"/>
    <n v="22277"/>
    <n v="263"/>
    <s v="#Nowplaying"/>
    <x v="0"/>
    <d v="2025-01-10T00:00:00"/>
    <d v="2025-02-10T00:00:00"/>
    <s v="BEFORE"/>
  </r>
  <r>
    <s v="SP235"/>
    <s v="Youtube"/>
    <d v="2024-09-07T00:00:00"/>
    <s v="Text"/>
    <s v="Your Weekend Playlist Is Waiting."/>
    <n v="2101"/>
    <n v="411"/>
    <n v="190"/>
    <n v="41791"/>
    <n v="57090"/>
    <n v="172"/>
    <s v="#Discoverweekly,#Spotifywrapped"/>
    <x v="1"/>
    <d v="2025-03-01T00:00:00"/>
    <d v="2025-03-31T00:00:00"/>
    <s v="BEFORE"/>
  </r>
  <r>
    <s v="SP236"/>
    <s v="Instagram"/>
    <d v="2024-12-20T00:00:00"/>
    <s v="Text"/>
    <s v="Discover Fresh Beats On Spotify!"/>
    <n v="2519"/>
    <n v="202"/>
    <n v="239"/>
    <n v="36245"/>
    <n v="48606"/>
    <n v="145"/>
    <s v="#Discoverweekly"/>
    <x v="1"/>
    <d v="2025-03-01T00:00:00"/>
    <d v="2025-03-31T00:00:00"/>
    <s v="BEFORE"/>
  </r>
  <r>
    <s v="SP237"/>
    <s v="Youtube"/>
    <d v="2024-01-14T00:00:00"/>
    <s v="Text"/>
    <s v="Whatâ€™S Your Vibe Today? #Spotifyhits"/>
    <n v="4502"/>
    <n v="238"/>
    <n v="386"/>
    <n v="39198"/>
    <n v="25050"/>
    <n v="297"/>
    <s v="#Discoverweekly,#Spotifywrapped"/>
    <x v="1"/>
    <d v="2025-03-01T00:00:00"/>
    <d v="2025-03-31T00:00:00"/>
    <s v="BEFORE"/>
  </r>
  <r>
    <s v="SP238"/>
    <s v="Instagram"/>
    <d v="2025-06-15T00:00:00"/>
    <s v="Text"/>
    <s v="Explore The Latest Podcasts Now."/>
    <n v="2478"/>
    <n v="427"/>
    <n v="242"/>
    <n v="59272"/>
    <n v="37833"/>
    <n v="214"/>
    <s v="#Soundtrackoflife,#Nowplaying"/>
    <x v="0"/>
    <d v="2025-01-10T00:00:00"/>
    <d v="2025-02-10T00:00:00"/>
    <s v="AFTER"/>
  </r>
  <r>
    <s v="SP239"/>
    <s v="Twitter"/>
    <d v="2024-12-13T00:00:00"/>
    <s v="Story"/>
    <s v="New Music Just Dropped. Hit Play!"/>
    <n v="4984"/>
    <n v="300"/>
    <n v="338"/>
    <n v="32900"/>
    <n v="31691"/>
    <n v="160"/>
    <s v="#Musicforeveryone,#Nowplaying"/>
    <x v="0"/>
    <d v="2025-01-10T00:00:00"/>
    <d v="2025-02-10T00:00:00"/>
    <s v="BEFORE"/>
  </r>
  <r>
    <s v="SP240"/>
    <s v="Youtube"/>
    <d v="2024-08-29T00:00:00"/>
    <s v="Text"/>
    <s v="Wrapped Is Here! Relive Your Top Tracks Ðÿž§"/>
    <n v="4774"/>
    <n v="389"/>
    <n v="358"/>
    <n v="52346"/>
    <n v="30518"/>
    <n v="277"/>
    <s v="#Discoverweekly,#Spotifywrapped"/>
    <x v="1"/>
    <d v="2025-03-01T00:00:00"/>
    <d v="2025-03-31T00:00:00"/>
    <s v="BEFORE"/>
  </r>
  <r>
    <s v="SP241"/>
    <s v="Twitter"/>
    <d v="2024-09-15T00:00:00"/>
    <s v="Text"/>
    <s v="Get Into The Groove With Our New Drop!"/>
    <n v="2145"/>
    <n v="340"/>
    <n v="85"/>
    <n v="53323"/>
    <n v="49938"/>
    <n v="104"/>
    <s v="#Nowplaying"/>
    <x v="0"/>
    <d v="2025-01-10T00:00:00"/>
    <d v="2025-02-10T00:00:00"/>
    <s v="BEFORE"/>
  </r>
  <r>
    <s v="SP242"/>
    <s v="Twitter"/>
    <d v="2025-04-12T00:00:00"/>
    <s v="Story"/>
    <s v="From Pop To Podcasts, Itâ€™S All Here."/>
    <n v="4315"/>
    <n v="208"/>
    <n v="273"/>
    <n v="35780"/>
    <n v="44349"/>
    <n v="133"/>
    <s v="#Discoverweekly,#Musicforeveryone"/>
    <x v="0"/>
    <d v="2025-01-10T00:00:00"/>
    <d v="2025-02-10T00:00:00"/>
    <s v="AFTER"/>
  </r>
  <r>
    <s v="SP243"/>
    <s v="Twitter"/>
    <d v="2024-12-10T00:00:00"/>
    <s v="Story"/>
    <s v="Wrapped Is Here! Relive Your Top Tracks Ðÿž§"/>
    <n v="2267"/>
    <n v="230"/>
    <n v="243"/>
    <n v="27904"/>
    <n v="69771"/>
    <n v="255"/>
    <s v="#Discoverweekly,#Musicforeveryone"/>
    <x v="0"/>
    <d v="2025-01-10T00:00:00"/>
    <d v="2025-02-10T00:00:00"/>
    <s v="BEFORE"/>
  </r>
  <r>
    <s v="SP244"/>
    <s v="Youtube"/>
    <d v="2025-06-08T00:00:00"/>
    <s v="Text"/>
    <s v="Music That Moves Youâ€”Only On Spotify."/>
    <n v="4375"/>
    <n v="303"/>
    <n v="294"/>
    <n v="57468"/>
    <n v="53397"/>
    <n v="159"/>
    <s v="#Discoverweekly,#Spotifywrapped"/>
    <x v="1"/>
    <d v="2025-03-01T00:00:00"/>
    <d v="2025-03-31T00:00:00"/>
    <s v="AFTER"/>
  </r>
  <r>
    <s v="SP245"/>
    <s v="Twitter"/>
    <d v="2025-01-09T00:00:00"/>
    <s v="Story"/>
    <s v="Your Weekend Playlist Is Waiting."/>
    <n v="3817"/>
    <n v="284"/>
    <n v="204"/>
    <n v="46434"/>
    <n v="53396"/>
    <n v="104"/>
    <s v="#Musicforeveryone,#Nowplaying"/>
    <x v="0"/>
    <d v="2025-01-10T00:00:00"/>
    <d v="2025-02-10T00:00:00"/>
    <s v="BEFORE"/>
  </r>
  <r>
    <s v="SP246"/>
    <s v="Twitter"/>
    <d v="2024-07-08T00:00:00"/>
    <s v="Story"/>
    <s v="Top Trending Tracks Updated Daily!"/>
    <n v="2981"/>
    <n v="258"/>
    <n v="168"/>
    <n v="20677"/>
    <n v="68290"/>
    <n v="130"/>
    <s v="#Soundtrackoflife,#Nowplaying"/>
    <x v="0"/>
    <d v="2025-01-10T00:00:00"/>
    <d v="2025-02-10T00:00:00"/>
    <s v="BEFORE"/>
  </r>
  <r>
    <s v="SP247"/>
    <s v="Twitter"/>
    <d v="2024-09-16T00:00:00"/>
    <s v="Story"/>
    <s v="Your Weekend Playlist Is Waiting."/>
    <n v="3300"/>
    <n v="354"/>
    <n v="397"/>
    <n v="56773"/>
    <n v="72110"/>
    <n v="163"/>
    <s v="#Discoverweekly,#Musicforeveryone"/>
    <x v="0"/>
    <d v="2025-01-10T00:00:00"/>
    <d v="2025-02-10T00:00:00"/>
    <s v="BEFORE"/>
  </r>
  <r>
    <s v="SP248"/>
    <s v="Youtube"/>
    <d v="2024-06-14T00:00:00"/>
    <s v="Reel"/>
    <s v="Wrapped Is Here! Relive Your Top Tracks Ðÿž§"/>
    <n v="4722"/>
    <n v="310"/>
    <n v="344"/>
    <n v="27911"/>
    <n v="19000"/>
    <n v="225"/>
    <s v="#Discoverweekly,#Soundtrackoflife"/>
    <x v="3"/>
    <d v="2024-06-15T00:00:00"/>
    <d v="2024-07-15T00:00:00"/>
    <s v="BEFORE"/>
  </r>
  <r>
    <s v="SP249"/>
    <s v="Instagram"/>
    <d v="2024-03-06T00:00:00"/>
    <s v="Text"/>
    <s v="Whatâ€™S Your Vibe Today? #Spotifyhits"/>
    <n v="3529"/>
    <n v="263"/>
    <n v="107"/>
    <n v="26570"/>
    <n v="19367"/>
    <n v="96"/>
    <s v="#Discoverweekly"/>
    <x v="1"/>
    <d v="2025-03-01T00:00:00"/>
    <d v="2025-03-31T00:00:00"/>
    <s v="BEFORE"/>
  </r>
  <r>
    <s v="SP250"/>
    <s v="Twitter"/>
    <d v="2025-05-15T00:00:00"/>
    <s v="Text"/>
    <s v="Your Weekend Playlist Is Waiting."/>
    <n v="4782"/>
    <n v="210"/>
    <n v="311"/>
    <n v="29793"/>
    <n v="37543"/>
    <n v="145"/>
    <s v="#Nowplaying"/>
    <x v="0"/>
    <d v="2025-01-10T00:00:00"/>
    <d v="2025-02-10T00:00:00"/>
    <s v="AFTER"/>
  </r>
  <r>
    <s v="SP251"/>
    <s v="Twitter"/>
    <d v="2024-07-07T00:00:00"/>
    <s v="Text"/>
    <s v="Whatâ€™S Your Vibe Today? #Spotifyhits"/>
    <n v="1848"/>
    <n v="417"/>
    <n v="294"/>
    <n v="57819"/>
    <n v="19798"/>
    <n v="262"/>
    <s v="#Soundtrackoflife"/>
    <x v="1"/>
    <d v="2025-03-01T00:00:00"/>
    <d v="2025-03-31T00:00:00"/>
    <s v="BEFORE"/>
  </r>
  <r>
    <s v="SP252"/>
    <s v="Youtube"/>
    <d v="2024-10-26T00:00:00"/>
    <s v="Text"/>
    <s v="New Music Just Dropped. Hit Play!"/>
    <n v="4676"/>
    <n v="211"/>
    <n v="55"/>
    <n v="45917"/>
    <n v="73503"/>
    <n v="248"/>
    <s v="#Discoverweekly,#Spotifywrapped"/>
    <x v="1"/>
    <d v="2025-03-01T00:00:00"/>
    <d v="2025-03-31T00:00:00"/>
    <s v="BEFORE"/>
  </r>
  <r>
    <s v="SP253"/>
    <s v="Youtube"/>
    <d v="2024-08-08T00:00:00"/>
    <s v="Text"/>
    <s v="From Pop To Podcasts, Itâ€™S All Here."/>
    <n v="1994"/>
    <n v="197"/>
    <n v="290"/>
    <n v="49500"/>
    <n v="23343"/>
    <n v="160"/>
    <s v="#Discoverweekly,#Spotifywrapped"/>
    <x v="1"/>
    <d v="2025-03-01T00:00:00"/>
    <d v="2025-03-31T00:00:00"/>
    <s v="BEFORE"/>
  </r>
  <r>
    <s v="SP254"/>
    <s v="Twitter"/>
    <d v="2025-02-03T00:00:00"/>
    <s v="Text"/>
    <s v="Whatâ€™S Your Vibe Today? #Spotifyhits"/>
    <n v="4995"/>
    <n v="231"/>
    <n v="94"/>
    <n v="34431"/>
    <n v="32560"/>
    <n v="262"/>
    <s v="#Nowplaying"/>
    <x v="0"/>
    <d v="2025-01-10T00:00:00"/>
    <d v="2025-02-10T00:00:00"/>
    <s v="DURING"/>
  </r>
  <r>
    <s v="SP255"/>
    <s v="Twitter"/>
    <d v="2024-04-03T00:00:00"/>
    <s v="Story"/>
    <s v="Top Trending Tracks Updated Daily!"/>
    <n v="2291"/>
    <n v="146"/>
    <n v="399"/>
    <n v="49319"/>
    <n v="28056"/>
    <n v="90"/>
    <s v="#Discoverweekly,#Musicforeveryone"/>
    <x v="0"/>
    <d v="2025-01-10T00:00:00"/>
    <d v="2025-02-10T00:00:00"/>
    <s v="BEFORE"/>
  </r>
  <r>
    <s v="SP256"/>
    <s v="Twitter"/>
    <d v="2024-07-08T00:00:00"/>
    <s v="Story"/>
    <s v="Wrapped Is Here! Relive Your Top Tracks Ðÿž§"/>
    <n v="2304"/>
    <n v="289"/>
    <n v="161"/>
    <n v="52645"/>
    <n v="66262"/>
    <n v="146"/>
    <s v="#Musicforeveryone,#Nowplaying"/>
    <x v="0"/>
    <d v="2025-01-10T00:00:00"/>
    <d v="2025-02-10T00:00:00"/>
    <s v="BEFORE"/>
  </r>
  <r>
    <s v="SP257"/>
    <s v="Twitter"/>
    <d v="2024-06-08T00:00:00"/>
    <s v="Story"/>
    <s v="Top Trending Tracks Updated Daily!"/>
    <n v="3413"/>
    <n v="326"/>
    <n v="86"/>
    <n v="44680"/>
    <n v="52719"/>
    <n v="272"/>
    <s v="#Discoverweekly,#Musicforeveryone"/>
    <x v="0"/>
    <d v="2025-01-10T00:00:00"/>
    <d v="2025-02-10T00:00:00"/>
    <s v="BEFORE"/>
  </r>
  <r>
    <s v="SP258"/>
    <s v="Youtube"/>
    <d v="2025-03-20T00:00:00"/>
    <s v="Reel"/>
    <s v="From Pop To Podcasts, Itâ€™S All Here."/>
    <n v="1453"/>
    <n v="156"/>
    <n v="178"/>
    <n v="52980"/>
    <n v="57180"/>
    <n v="286"/>
    <s v="#Discoverweekly,#Soundtrackoflife"/>
    <x v="3"/>
    <d v="2024-06-15T00:00:00"/>
    <d v="2024-07-15T00:00:00"/>
    <s v="AFTER"/>
  </r>
  <r>
    <s v="SP259"/>
    <s v="Twitter"/>
    <d v="2025-01-19T00:00:00"/>
    <s v="Story"/>
    <s v="Music That Moves Youâ€”Only On Spotify."/>
    <n v="1651"/>
    <n v="480"/>
    <n v="282"/>
    <n v="32140"/>
    <n v="70560"/>
    <n v="138"/>
    <s v="#Soundtrackoflife,#Nowplaying"/>
    <x v="0"/>
    <d v="2025-01-10T00:00:00"/>
    <d v="2025-02-10T00:00:00"/>
    <s v="DURING"/>
  </r>
  <r>
    <s v="SP260"/>
    <s v="Twitter"/>
    <d v="2025-01-05T00:00:00"/>
    <s v="Story"/>
    <s v="Explore The Latest Podcasts Now."/>
    <n v="3341"/>
    <n v="154"/>
    <n v="123"/>
    <n v="43369"/>
    <n v="49035"/>
    <n v="128"/>
    <s v="#Musicforeveryone,#Nowplaying"/>
    <x v="0"/>
    <d v="2025-01-10T00:00:00"/>
    <d v="2025-02-10T00:00:00"/>
    <s v="BEFORE"/>
  </r>
  <r>
    <s v="SP261"/>
    <s v="Twitter"/>
    <d v="2024-11-16T00:00:00"/>
    <s v="Text"/>
    <s v="From Pop To Podcasts, Itâ€™S All Here."/>
    <n v="2972"/>
    <n v="263"/>
    <n v="308"/>
    <n v="51740"/>
    <n v="28214"/>
    <n v="190"/>
    <s v="#Soundtrackoflife"/>
    <x v="1"/>
    <d v="2025-03-01T00:00:00"/>
    <d v="2025-03-31T00:00:00"/>
    <s v="BEFORE"/>
  </r>
  <r>
    <s v="SP262"/>
    <s v="Twitter"/>
    <d v="2024-11-30T00:00:00"/>
    <s v="Story"/>
    <s v="Explore The Latest Podcasts Now."/>
    <n v="4963"/>
    <n v="255"/>
    <n v="193"/>
    <n v="44386"/>
    <n v="28415"/>
    <n v="174"/>
    <s v="#Musicforeveryone,#Nowplaying"/>
    <x v="0"/>
    <d v="2025-01-10T00:00:00"/>
    <d v="2025-02-10T00:00:00"/>
    <s v="BEFORE"/>
  </r>
  <r>
    <s v="SP263"/>
    <s v="Youtube"/>
    <d v="2024-03-27T00:00:00"/>
    <s v="Text"/>
    <s v="Music That Moves Youâ€”Only On Spotify."/>
    <n v="2399"/>
    <n v="191"/>
    <n v="221"/>
    <n v="51603"/>
    <n v="40033"/>
    <n v="173"/>
    <s v="#Discoverweekly,#Spotifywrapped"/>
    <x v="1"/>
    <d v="2025-03-01T00:00:00"/>
    <d v="2025-03-31T00:00:00"/>
    <s v="BEFORE"/>
  </r>
  <r>
    <s v="SP264"/>
    <s v="Youtube"/>
    <d v="2025-05-31T00:00:00"/>
    <s v="Reel"/>
    <s v="Get Into The Groove With Our New Drop!"/>
    <n v="2162"/>
    <n v="318"/>
    <n v="83"/>
    <n v="46719"/>
    <n v="20482"/>
    <n v="185"/>
    <s v="#Discoverweekly,#Soundtrackoflife"/>
    <x v="3"/>
    <d v="2024-06-15T00:00:00"/>
    <d v="2024-07-15T00:00:00"/>
    <s v="AFTER"/>
  </r>
  <r>
    <s v="SP265"/>
    <s v="Twitter"/>
    <d v="2025-06-17T00:00:00"/>
    <s v="Story"/>
    <s v="Explore The Latest Podcasts Now."/>
    <n v="4341"/>
    <n v="141"/>
    <n v="63"/>
    <n v="50081"/>
    <n v="27507"/>
    <n v="221"/>
    <s v="#Discoverweekly,#Musicforeveryone"/>
    <x v="0"/>
    <d v="2025-01-10T00:00:00"/>
    <d v="2025-02-10T00:00:00"/>
    <s v="AFTER"/>
  </r>
  <r>
    <s v="SP266"/>
    <s v="Instagram"/>
    <d v="2024-05-30T00:00:00"/>
    <s v="Story"/>
    <s v="Get Into The Groove With Our New Drop!"/>
    <n v="2448"/>
    <n v="464"/>
    <n v="98"/>
    <n v="25737"/>
    <n v="48545"/>
    <n v="246"/>
    <s v="#Nowplaying"/>
    <x v="2"/>
    <d v="2024-12-01T00:00:00"/>
    <d v="2024-12-31T00:00:00"/>
    <s v="BEFORE"/>
  </r>
  <r>
    <s v="SP267"/>
    <s v="Youtube"/>
    <d v="2024-11-08T00:00:00"/>
    <s v="Text"/>
    <s v="Top Trending Tracks Updated Daily!"/>
    <n v="2471"/>
    <n v="166"/>
    <n v="320"/>
    <n v="48254"/>
    <n v="46900"/>
    <n v="111"/>
    <s v="#Discoverweekly,#Spotifywrapped"/>
    <x v="1"/>
    <d v="2025-03-01T00:00:00"/>
    <d v="2025-03-31T00:00:00"/>
    <s v="BEFORE"/>
  </r>
  <r>
    <s v="SP268"/>
    <s v="Youtube"/>
    <d v="2024-03-17T00:00:00"/>
    <s v="Reel"/>
    <s v="Explore The Latest Podcasts Now."/>
    <n v="2692"/>
    <n v="446"/>
    <n v="216"/>
    <n v="45818"/>
    <n v="62723"/>
    <n v="85"/>
    <s v="#Discoverweekly,#Soundtrackoflife"/>
    <x v="3"/>
    <d v="2024-06-15T00:00:00"/>
    <d v="2024-07-15T00:00:00"/>
    <s v="BEFORE"/>
  </r>
  <r>
    <s v="SP269"/>
    <s v="Youtube"/>
    <d v="2024-06-21T00:00:00"/>
    <s v="Reel"/>
    <s v="Music That Moves Youâ€”Only On Spotify."/>
    <n v="4621"/>
    <n v="374"/>
    <n v="298"/>
    <n v="56979"/>
    <n v="24098"/>
    <n v="205"/>
    <s v="#Discoverweekly,#Soundtrackoflife"/>
    <x v="3"/>
    <d v="2024-06-15T00:00:00"/>
    <d v="2024-07-15T00:00:00"/>
    <s v="DURING"/>
  </r>
  <r>
    <s v="SP270"/>
    <s v="Twitter"/>
    <d v="2024-11-13T00:00:00"/>
    <s v="Story"/>
    <s v="New Music Just Dropped. Hit Play!"/>
    <n v="1409"/>
    <n v="466"/>
    <n v="105"/>
    <n v="58923"/>
    <n v="38753"/>
    <n v="265"/>
    <s v="#Discoverweekly,#Musicforeveryone"/>
    <x v="0"/>
    <d v="2025-01-10T00:00:00"/>
    <d v="2025-02-10T00:00:00"/>
    <s v="BEFORE"/>
  </r>
  <r>
    <s v="SP271"/>
    <s v="Twitter"/>
    <d v="2025-02-05T00:00:00"/>
    <s v="Story"/>
    <s v="Discover Fresh Beats On Spotify!"/>
    <n v="3029"/>
    <n v="440"/>
    <n v="66"/>
    <n v="23815"/>
    <n v="47895"/>
    <n v="210"/>
    <s v="#Discoverweekly,#Musicforeveryone"/>
    <x v="0"/>
    <d v="2025-01-10T00:00:00"/>
    <d v="2025-02-10T00:00:00"/>
    <s v="DURING"/>
  </r>
  <r>
    <s v="SP272"/>
    <s v="Twitter"/>
    <d v="2024-11-07T00:00:00"/>
    <s v="Text"/>
    <s v="Explore The Latest Podcasts Now."/>
    <n v="2229"/>
    <n v="395"/>
    <n v="328"/>
    <n v="56921"/>
    <n v="37176"/>
    <n v="126"/>
    <s v="#Soundtrackoflife"/>
    <x v="1"/>
    <d v="2025-03-01T00:00:00"/>
    <d v="2025-03-31T00:00:00"/>
    <s v="BEFORE"/>
  </r>
  <r>
    <s v="SP273"/>
    <s v="Twitter"/>
    <d v="2024-02-12T00:00:00"/>
    <s v="Text"/>
    <s v="Explore The Latest Podcasts Now."/>
    <n v="2691"/>
    <n v="486"/>
    <n v="206"/>
    <n v="51133"/>
    <n v="44583"/>
    <n v="276"/>
    <s v="#Nowplaying"/>
    <x v="0"/>
    <d v="2025-01-10T00:00:00"/>
    <d v="2025-02-10T00:00:00"/>
    <s v="BEFORE"/>
  </r>
  <r>
    <s v="SP274"/>
    <s v="Instagram"/>
    <d v="2024-10-08T00:00:00"/>
    <s v="Text"/>
    <s v="Explore The Latest Podcasts Now."/>
    <n v="2110"/>
    <n v="384"/>
    <n v="236"/>
    <n v="49965"/>
    <n v="61555"/>
    <n v="195"/>
    <s v="#Discoverweekly"/>
    <x v="1"/>
    <d v="2025-03-01T00:00:00"/>
    <d v="2025-03-31T00:00:00"/>
    <s v="BEFORE"/>
  </r>
  <r>
    <s v="SP275"/>
    <s v="Instagram"/>
    <d v="2024-02-19T00:00:00"/>
    <s v="Text"/>
    <s v="Wrapped Is Here! Relive Your Top Tracks Ðÿž§"/>
    <n v="4752"/>
    <n v="449"/>
    <n v="309"/>
    <n v="58530"/>
    <n v="26630"/>
    <n v="234"/>
    <s v="#Discoverweekly"/>
    <x v="1"/>
    <d v="2025-03-01T00:00:00"/>
    <d v="2025-03-31T00:00:00"/>
    <s v="BEFORE"/>
  </r>
  <r>
    <s v="SP276"/>
    <s v="Twitter"/>
    <d v="2025-03-04T00:00:00"/>
    <s v="Text"/>
    <s v="Discover Fresh Beats On Spotify!"/>
    <n v="2177"/>
    <n v="258"/>
    <n v="292"/>
    <n v="47276"/>
    <n v="51324"/>
    <n v="143"/>
    <s v="#Nowplaying"/>
    <x v="0"/>
    <d v="2025-01-10T00:00:00"/>
    <d v="2025-02-10T00:00:00"/>
    <s v="AFTER"/>
  </r>
  <r>
    <s v="SP277"/>
    <s v="Instagram"/>
    <d v="2025-02-03T00:00:00"/>
    <s v="Story"/>
    <s v="New Music Just Dropped. Hit Play!"/>
    <n v="1205"/>
    <n v="486"/>
    <n v="269"/>
    <n v="23341"/>
    <n v="42411"/>
    <n v="184"/>
    <s v="#Nowplaying"/>
    <x v="2"/>
    <d v="2024-12-01T00:00:00"/>
    <d v="2024-12-31T00:00:00"/>
    <s v="AFTER"/>
  </r>
  <r>
    <s v="SP278"/>
    <s v="Instagram"/>
    <d v="2024-12-02T00:00:00"/>
    <s v="Text"/>
    <s v="Top Trending Tracks Updated Daily!"/>
    <n v="3194"/>
    <n v="292"/>
    <n v="245"/>
    <n v="56371"/>
    <n v="65597"/>
    <n v="163"/>
    <s v="#Soundtrackoflife,#Nowplaying"/>
    <x v="0"/>
    <d v="2025-01-10T00:00:00"/>
    <d v="2025-02-10T00:00:00"/>
    <s v="BEFORE"/>
  </r>
  <r>
    <s v="SP279"/>
    <s v="Twitter"/>
    <d v="2025-01-19T00:00:00"/>
    <s v="Story"/>
    <s v="New Music Just Dropped. Hit Play!"/>
    <n v="3507"/>
    <n v="295"/>
    <n v="371"/>
    <n v="20410"/>
    <n v="53965"/>
    <n v="212"/>
    <s v="#Soundtrackoflife,#Nowplaying"/>
    <x v="0"/>
    <d v="2025-01-10T00:00:00"/>
    <d v="2025-02-10T00:00:00"/>
    <s v="DURING"/>
  </r>
  <r>
    <s v="SP280"/>
    <s v="Twitter"/>
    <d v="2024-09-28T00:00:00"/>
    <s v="Story"/>
    <s v="Wrapped Is Here! Relive Your Top Tracks Ðÿž§"/>
    <n v="4471"/>
    <n v="317"/>
    <n v="249"/>
    <n v="44862"/>
    <n v="33365"/>
    <n v="184"/>
    <s v="#Discoverweekly,#Musicforeveryone"/>
    <x v="0"/>
    <d v="2025-01-10T00:00:00"/>
    <d v="2025-02-10T00:00:00"/>
    <s v="BEFORE"/>
  </r>
  <r>
    <s v="SP281"/>
    <s v="Instagram"/>
    <d v="2024-01-07T00:00:00"/>
    <s v="Text"/>
    <s v="Top Trending Tracks Updated Daily!"/>
    <n v="4931"/>
    <n v="469"/>
    <n v="193"/>
    <n v="56701"/>
    <n v="69437"/>
    <n v="291"/>
    <s v="#Soundtrackoflife,#Nowplaying"/>
    <x v="0"/>
    <d v="2025-01-10T00:00:00"/>
    <d v="2025-02-10T00:00:00"/>
    <s v="BEFORE"/>
  </r>
  <r>
    <s v="SP282"/>
    <s v="Twitter"/>
    <d v="2024-02-21T00:00:00"/>
    <s v="Story"/>
    <s v="Get Into The Groove With Our New Drop!"/>
    <n v="2604"/>
    <n v="439"/>
    <n v="148"/>
    <n v="58468"/>
    <n v="39629"/>
    <n v="163"/>
    <s v="#Musicforeveryone,#Nowplaying"/>
    <x v="0"/>
    <d v="2025-01-10T00:00:00"/>
    <d v="2025-02-10T00:00:00"/>
    <s v="BEFORE"/>
  </r>
  <r>
    <s v="SP283"/>
    <s v="Instagram"/>
    <d v="2024-08-27T00:00:00"/>
    <s v="Text"/>
    <s v="Music That Moves Youâ€”Only On Spotify."/>
    <n v="4197"/>
    <n v="359"/>
    <n v="280"/>
    <n v="56048"/>
    <n v="70930"/>
    <n v="295"/>
    <s v="#Discoverweekly"/>
    <x v="1"/>
    <d v="2025-03-01T00:00:00"/>
    <d v="2025-03-31T00:00:00"/>
    <s v="BEFORE"/>
  </r>
  <r>
    <s v="SP284"/>
    <s v="Instagram"/>
    <d v="2024-10-24T00:00:00"/>
    <s v="Story"/>
    <s v="Top Trending Tracks Updated Daily!"/>
    <n v="1914"/>
    <n v="255"/>
    <n v="156"/>
    <n v="27660"/>
    <n v="47776"/>
    <n v="111"/>
    <s v="#Nowplaying"/>
    <x v="2"/>
    <d v="2024-12-01T00:00:00"/>
    <d v="2024-12-31T00:00:00"/>
    <s v="BEFORE"/>
  </r>
  <r>
    <s v="SP285"/>
    <s v="Youtube"/>
    <d v="2025-01-29T00:00:00"/>
    <s v="Text"/>
    <s v="New Music Just Dropped. Hit Play!"/>
    <n v="1334"/>
    <n v="357"/>
    <n v="257"/>
    <n v="56910"/>
    <n v="70606"/>
    <n v="228"/>
    <s v="#Discoverweekly,#Spotifywrapped"/>
    <x v="1"/>
    <d v="2025-03-01T00:00:00"/>
    <d v="2025-03-31T00:00:00"/>
    <s v="BEFORE"/>
  </r>
  <r>
    <s v="SP286"/>
    <s v="Instagram"/>
    <d v="2024-05-01T00:00:00"/>
    <s v="Text"/>
    <s v="Get Into The Groove With Our New Drop!"/>
    <n v="3359"/>
    <n v="137"/>
    <n v="387"/>
    <n v="33861"/>
    <n v="47257"/>
    <n v="198"/>
    <s v="#Discoverweekly"/>
    <x v="1"/>
    <d v="2025-03-01T00:00:00"/>
    <d v="2025-03-31T00:00:00"/>
    <s v="BEFORE"/>
  </r>
  <r>
    <s v="SP287"/>
    <s v="Youtube"/>
    <d v="2024-06-25T00:00:00"/>
    <s v="Text"/>
    <s v="Your Weekend Playlist Is Waiting."/>
    <n v="2172"/>
    <n v="338"/>
    <n v="70"/>
    <n v="30515"/>
    <n v="57853"/>
    <n v="156"/>
    <s v="#Discoverweekly,#Spotifywrapped"/>
    <x v="1"/>
    <d v="2025-03-01T00:00:00"/>
    <d v="2025-03-31T00:00:00"/>
    <s v="BEFORE"/>
  </r>
  <r>
    <s v="SP288"/>
    <s v="Twitter"/>
    <d v="2024-08-09T00:00:00"/>
    <s v="Story"/>
    <s v="From Pop To Podcasts, Itâ€™S All Here."/>
    <n v="4877"/>
    <n v="442"/>
    <n v="236"/>
    <n v="52673"/>
    <n v="48241"/>
    <n v="114"/>
    <s v="#Discoverweekly,#Musicforeveryone"/>
    <x v="0"/>
    <d v="2025-01-10T00:00:00"/>
    <d v="2025-02-10T00:00:00"/>
    <s v="BEFORE"/>
  </r>
  <r>
    <s v="SP289"/>
    <s v="Instagram"/>
    <d v="2025-01-21T00:00:00"/>
    <s v="Story"/>
    <s v="New Music Just Dropped. Hit Play!"/>
    <n v="4918"/>
    <n v="440"/>
    <n v="149"/>
    <n v="53269"/>
    <n v="64370"/>
    <n v="269"/>
    <s v="#Nowplaying"/>
    <x v="2"/>
    <d v="2024-12-01T00:00:00"/>
    <d v="2024-12-31T00:00:00"/>
    <s v="AFTER"/>
  </r>
  <r>
    <s v="SP290"/>
    <s v="Twitter"/>
    <d v="2024-08-13T00:00:00"/>
    <s v="Text"/>
    <s v="Explore The Latest Podcasts Now."/>
    <n v="3418"/>
    <n v="107"/>
    <n v="221"/>
    <n v="23927"/>
    <n v="26182"/>
    <n v="155"/>
    <s v="#Soundtrackoflife"/>
    <x v="1"/>
    <d v="2025-03-01T00:00:00"/>
    <d v="2025-03-31T00:00:00"/>
    <s v="BEFORE"/>
  </r>
  <r>
    <s v="SP291"/>
    <s v="Instagram"/>
    <d v="2024-06-29T00:00:00"/>
    <s v="Text"/>
    <s v="Your Weekend Playlist Is Waiting."/>
    <n v="2088"/>
    <n v="490"/>
    <n v="124"/>
    <n v="46544"/>
    <n v="69346"/>
    <n v="178"/>
    <s v="#Soundtrackoflife,#Nowplaying"/>
    <x v="0"/>
    <d v="2025-01-10T00:00:00"/>
    <d v="2025-02-10T00:00:00"/>
    <s v="BEFORE"/>
  </r>
  <r>
    <s v="SP292"/>
    <s v="Twitter"/>
    <d v="2024-11-03T00:00:00"/>
    <s v="Story"/>
    <s v="Explore The Latest Podcasts Now."/>
    <n v="3061"/>
    <n v="320"/>
    <n v="76"/>
    <n v="26640"/>
    <n v="24306"/>
    <n v="112"/>
    <s v="#Musicforeveryone,#Nowplaying"/>
    <x v="0"/>
    <d v="2025-01-10T00:00:00"/>
    <d v="2025-02-10T00:00:00"/>
    <s v="BEFORE"/>
  </r>
  <r>
    <s v="SP293"/>
    <s v="Youtube"/>
    <d v="2025-04-18T00:00:00"/>
    <s v="Reel"/>
    <s v="Your Weekend Playlist Is Waiting."/>
    <n v="1265"/>
    <n v="230"/>
    <n v="364"/>
    <n v="41312"/>
    <n v="50382"/>
    <n v="106"/>
    <s v="#Discoverweekly,#Soundtrackoflife"/>
    <x v="3"/>
    <d v="2024-06-15T00:00:00"/>
    <d v="2024-07-15T00:00:00"/>
    <s v="AFTER"/>
  </r>
  <r>
    <s v="SP294"/>
    <s v="Instagram"/>
    <d v="2024-12-27T00:00:00"/>
    <s v="Text"/>
    <s v="From Pop To Podcasts, Itâ€™S All Here."/>
    <n v="1436"/>
    <n v="219"/>
    <n v="229"/>
    <n v="58488"/>
    <n v="24314"/>
    <n v="147"/>
    <s v="#Discoverweekly"/>
    <x v="1"/>
    <d v="2025-03-01T00:00:00"/>
    <d v="2025-03-31T00:00:00"/>
    <s v="BEFORE"/>
  </r>
  <r>
    <s v="SP295"/>
    <s v="Instagram"/>
    <d v="2025-03-08T00:00:00"/>
    <s v="Story"/>
    <s v="Top Trending Tracks Updated Daily!"/>
    <n v="2244"/>
    <n v="392"/>
    <n v="231"/>
    <n v="25834"/>
    <n v="50906"/>
    <n v="165"/>
    <s v="#Nowplaying"/>
    <x v="2"/>
    <d v="2024-12-01T00:00:00"/>
    <d v="2024-12-31T00:00:00"/>
    <s v="AFTER"/>
  </r>
  <r>
    <s v="SP296"/>
    <s v="Twitter"/>
    <d v="2025-03-20T00:00:00"/>
    <s v="Story"/>
    <s v="Your Weekend Playlist Is Waiting."/>
    <n v="3393"/>
    <n v="104"/>
    <n v="79"/>
    <n v="30025"/>
    <n v="21593"/>
    <n v="165"/>
    <s v="#Musicforeveryone,#Nowplaying"/>
    <x v="0"/>
    <d v="2025-01-10T00:00:00"/>
    <d v="2025-02-10T00:00:00"/>
    <s v="AFTER"/>
  </r>
  <r>
    <s v="SP297"/>
    <s v="Twitter"/>
    <d v="2024-11-16T00:00:00"/>
    <s v="Text"/>
    <s v="Explore The Latest Podcasts Now."/>
    <n v="2901"/>
    <n v="108"/>
    <n v="86"/>
    <n v="51777"/>
    <n v="23773"/>
    <n v="160"/>
    <s v="#Soundtrackoflife"/>
    <x v="1"/>
    <d v="2025-03-01T00:00:00"/>
    <d v="2025-03-31T00:00:00"/>
    <s v="BEFORE"/>
  </r>
  <r>
    <s v="SP298"/>
    <s v="Twitter"/>
    <d v="2025-06-30T00:00:00"/>
    <s v="Text"/>
    <s v="Whatâ€™S Your Vibe Today? #Spotifyhits"/>
    <n v="2275"/>
    <n v="285"/>
    <n v="125"/>
    <n v="43970"/>
    <n v="74761"/>
    <n v="83"/>
    <s v="#Nowplaying"/>
    <x v="0"/>
    <d v="2025-01-10T00:00:00"/>
    <d v="2025-02-10T00:00:00"/>
    <s v="AFTER"/>
  </r>
  <r>
    <s v="SP299"/>
    <s v="Twitter"/>
    <d v="2024-01-12T00:00:00"/>
    <s v="Story"/>
    <s v="Wrapped Is Here! Relive Your Top Tracks Ðÿž§"/>
    <n v="2227"/>
    <n v="494"/>
    <n v="161"/>
    <n v="51651"/>
    <n v="68074"/>
    <n v="240"/>
    <s v="#Discoverweekly,#Musicforeveryone"/>
    <x v="0"/>
    <d v="2025-01-10T00:00:00"/>
    <d v="2025-02-10T00:00:00"/>
    <s v="BEFORE"/>
  </r>
  <r>
    <s v="SP300"/>
    <s v="Instagram"/>
    <d v="2024-02-07T00:00:00"/>
    <s v="Text"/>
    <s v="Music That Moves Youâ€”Only On Spotify."/>
    <n v="1883"/>
    <n v="432"/>
    <n v="397"/>
    <n v="28759"/>
    <n v="18691"/>
    <n v="270"/>
    <s v="#Soundtrackoflife,#Nowplaying"/>
    <x v="0"/>
    <d v="2025-01-10T00:00:00"/>
    <d v="2025-02-10T00:00:00"/>
    <s v="BEFORE"/>
  </r>
  <r>
    <m/>
    <m/>
    <m/>
    <m/>
    <m/>
    <m/>
    <m/>
    <m/>
    <m/>
    <m/>
    <m/>
    <m/>
    <x v="4"/>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SP001"/>
    <s v="Instagram"/>
    <d v="2025-05-04T00:00:00"/>
    <s v="Text"/>
    <s v="Discover Fresh Beats On Spotify!"/>
    <n v="2414"/>
    <n v="245"/>
    <n v="137"/>
    <n v="21181"/>
    <n v="45292"/>
    <n v="133"/>
    <s v="#Soundtrackoflife,#Nowplaying"/>
    <x v="0"/>
    <d v="2025-01-10T00:00:00"/>
    <d v="2025-02-10T00:00:00"/>
    <x v="0"/>
    <n v="0.13200509890939993"/>
    <n v="2796"/>
  </r>
  <r>
    <s v="SP002"/>
    <s v="Instagram"/>
    <d v="2025-02-01T00:00:00"/>
    <s v="Text"/>
    <s v="Explore The Latest Podcasts Now."/>
    <n v="1934"/>
    <n v="210"/>
    <n v="393"/>
    <n v="29129"/>
    <n v="73287"/>
    <n v="273"/>
    <s v="#Discoverweekly"/>
    <x v="1"/>
    <d v="2025-03-01T00:00:00"/>
    <d v="2025-03-31T00:00:00"/>
    <x v="1"/>
    <n v="8.7095334546328396E-2"/>
    <n v="2537"/>
  </r>
  <r>
    <s v="SP003"/>
    <s v="Twitter"/>
    <d v="2024-12-03T00:00:00"/>
    <s v="Story"/>
    <s v="New Music Just Dropped. Hit Play!"/>
    <n v="3092"/>
    <n v="177"/>
    <n v="81"/>
    <n v="47533"/>
    <n v="29220"/>
    <n v="121"/>
    <s v="#Musicforeveryone,#Nowplaying"/>
    <x v="0"/>
    <d v="2025-01-10T00:00:00"/>
    <d v="2025-02-10T00:00:00"/>
    <x v="1"/>
    <n v="7.0477352576105018E-2"/>
    <n v="3350"/>
  </r>
  <r>
    <s v="SP004"/>
    <s v="Instagram"/>
    <d v="2024-12-03T00:00:00"/>
    <s v="Text"/>
    <s v="Wrapped Is Here! Relive Your Top Tracks Ðÿž§"/>
    <n v="3173"/>
    <n v="229"/>
    <n v="197"/>
    <n v="29604"/>
    <n v="21809"/>
    <n v="272"/>
    <s v="#Soundtrackoflife,#Nowplaying"/>
    <x v="0"/>
    <d v="2025-01-10T00:00:00"/>
    <d v="2025-02-10T00:00:00"/>
    <x v="1"/>
    <n v="0.1215714092690177"/>
    <n v="3599"/>
  </r>
  <r>
    <s v="SP005"/>
    <s v="Youtube"/>
    <d v="2024-04-06T00:00:00"/>
    <s v="Text"/>
    <s v="Music That Moves Youâ€”Only On Spotify."/>
    <n v="2748"/>
    <n v="145"/>
    <n v="315"/>
    <n v="24401"/>
    <n v="61182"/>
    <n v="200"/>
    <s v="#Discoverweekly,#Spotifywrapped"/>
    <x v="1"/>
    <d v="2025-03-01T00:00:00"/>
    <d v="2025-03-31T00:00:00"/>
    <x v="1"/>
    <n v="0.1314700217204213"/>
    <n v="3208"/>
  </r>
  <r>
    <s v="SP006"/>
    <s v="Youtube"/>
    <d v="2024-06-13T00:00:00"/>
    <s v="Text"/>
    <s v="Whatâ€™S Your Vibe Today? #Spotifyhits"/>
    <n v="3882"/>
    <n v="239"/>
    <n v="275"/>
    <n v="58748"/>
    <n v="44646"/>
    <n v="149"/>
    <s v="#Discoverweekly,#Spotifywrapped"/>
    <x v="1"/>
    <d v="2025-03-01T00:00:00"/>
    <d v="2025-03-31T00:00:00"/>
    <x v="1"/>
    <n v="7.4828079253761837E-2"/>
    <n v="4396"/>
  </r>
  <r>
    <s v="SP007"/>
    <s v="Twitter"/>
    <d v="2024-12-19T00:00:00"/>
    <s v="Story"/>
    <s v="Get Into The Groove With Our New Drop!"/>
    <n v="4674"/>
    <n v="409"/>
    <n v="327"/>
    <n v="20756"/>
    <n v="63599"/>
    <n v="212"/>
    <s v="#Soundtrackoflife,#Nowplaying"/>
    <x v="0"/>
    <d v="2025-01-10T00:00:00"/>
    <d v="2025-02-10T00:00:00"/>
    <x v="1"/>
    <n v="0.26064752360763155"/>
    <n v="5410"/>
  </r>
  <r>
    <s v="SP008"/>
    <s v="Twitter"/>
    <d v="2024-05-09T00:00:00"/>
    <s v="Story"/>
    <s v="Wrapped Is Here! Relive Your Top Tracks Ðÿž§"/>
    <n v="1428"/>
    <n v="347"/>
    <n v="67"/>
    <n v="21148"/>
    <n v="19712"/>
    <n v="120"/>
    <s v="#Discoverweekly,#Musicforeveryone"/>
    <x v="0"/>
    <d v="2025-01-10T00:00:00"/>
    <d v="2025-02-10T00:00:00"/>
    <x v="1"/>
    <n v="8.7100435029317191E-2"/>
    <n v="1842"/>
  </r>
  <r>
    <s v="SP009"/>
    <s v="Twitter"/>
    <d v="2025-06-15T00:00:00"/>
    <s v="Text"/>
    <s v="Top Trending Tracks Updated Daily!"/>
    <n v="4432"/>
    <n v="223"/>
    <n v="299"/>
    <n v="59016"/>
    <n v="21742"/>
    <n v="171"/>
    <s v="#Nowplaying"/>
    <x v="0"/>
    <d v="2025-01-10T00:00:00"/>
    <d v="2025-02-10T00:00:00"/>
    <x v="0"/>
    <n v="8.3943337400027115E-2"/>
    <n v="4954"/>
  </r>
  <r>
    <s v="SP010"/>
    <s v="Twitter"/>
    <d v="2024-12-04T00:00:00"/>
    <s v="Text"/>
    <s v="Wrapped Is Here! Relive Your Top Tracks Ðÿž§"/>
    <n v="2357"/>
    <n v="274"/>
    <n v="172"/>
    <n v="21566"/>
    <n v="66829"/>
    <n v="284"/>
    <s v="#Nowplaying"/>
    <x v="0"/>
    <d v="2025-01-10T00:00:00"/>
    <d v="2025-02-10T00:00:00"/>
    <x v="1"/>
    <n v="0.12997310581470833"/>
    <n v="2803"/>
  </r>
  <r>
    <s v="SP011"/>
    <s v="Twitter"/>
    <d v="2024-03-06T00:00:00"/>
    <s v="Text"/>
    <s v="Discover Fresh Beats On Spotify!"/>
    <n v="1971"/>
    <n v="370"/>
    <n v="306"/>
    <n v="31316"/>
    <n v="27897"/>
    <n v="88"/>
    <s v="#Soundtrackoflife"/>
    <x v="1"/>
    <d v="2025-03-01T00:00:00"/>
    <d v="2025-03-31T00:00:00"/>
    <x v="1"/>
    <n v="8.4525482181632389E-2"/>
    <n v="2647"/>
  </r>
  <r>
    <s v="SP012"/>
    <s v="Instagram"/>
    <d v="2024-05-14T00:00:00"/>
    <s v="Text"/>
    <s v="Discover Fresh Beats On Spotify!"/>
    <n v="1485"/>
    <n v="353"/>
    <n v="244"/>
    <n v="38419"/>
    <n v="38556"/>
    <n v="86"/>
    <s v="#Soundtrackoflife,#Nowplaying"/>
    <x v="0"/>
    <d v="2025-01-10T00:00:00"/>
    <d v="2025-02-10T00:00:00"/>
    <x v="1"/>
    <n v="5.4191936281527367E-2"/>
    <n v="2082"/>
  </r>
  <r>
    <s v="SP013"/>
    <s v="Twitter"/>
    <d v="2025-06-18T00:00:00"/>
    <s v="Story"/>
    <s v="Discover Fresh Beats On Spotify!"/>
    <n v="3956"/>
    <n v="319"/>
    <n v="61"/>
    <n v="58162"/>
    <n v="28720"/>
    <n v="213"/>
    <s v="#Musicforeveryone,#Nowplaying"/>
    <x v="0"/>
    <d v="2025-01-10T00:00:00"/>
    <d v="2025-02-10T00:00:00"/>
    <x v="0"/>
    <n v="7.4550393727863554E-2"/>
    <n v="4336"/>
  </r>
  <r>
    <s v="SP014"/>
    <s v="Twitter"/>
    <d v="2024-10-08T00:00:00"/>
    <s v="Text"/>
    <s v="From Pop To Podcasts, Itâ€™S All Here."/>
    <n v="2460"/>
    <n v="409"/>
    <n v="253"/>
    <n v="36702"/>
    <n v="46122"/>
    <n v="264"/>
    <s v="#Nowplaying"/>
    <x v="0"/>
    <d v="2025-01-10T00:00:00"/>
    <d v="2025-02-10T00:00:00"/>
    <x v="1"/>
    <n v="8.5063484278785892E-2"/>
    <n v="3122"/>
  </r>
  <r>
    <s v="SP015"/>
    <s v="Twitter"/>
    <d v="2024-05-06T00:00:00"/>
    <s v="Text"/>
    <s v="Your Weekend Playlist Is Waiting."/>
    <n v="3476"/>
    <n v="355"/>
    <n v="396"/>
    <n v="37492"/>
    <n v="27285"/>
    <n v="179"/>
    <s v="#Nowplaying"/>
    <x v="0"/>
    <d v="2025-01-10T00:00:00"/>
    <d v="2025-02-10T00:00:00"/>
    <x v="1"/>
    <n v="0.11274405206444041"/>
    <n v="4227"/>
  </r>
  <r>
    <s v="SP016"/>
    <s v="Twitter"/>
    <d v="2024-12-29T00:00:00"/>
    <s v="Story"/>
    <s v="New Music Just Dropped. Hit Play!"/>
    <n v="4049"/>
    <n v="377"/>
    <n v="94"/>
    <n v="48182"/>
    <n v="42875"/>
    <n v="172"/>
    <s v="#Musicforeveryone,#Nowplaying"/>
    <x v="0"/>
    <d v="2025-01-10T00:00:00"/>
    <d v="2025-02-10T00:00:00"/>
    <x v="1"/>
    <n v="9.3810966751068869E-2"/>
    <n v="4520"/>
  </r>
  <r>
    <s v="SP017"/>
    <s v="Twitter"/>
    <d v="2024-06-10T00:00:00"/>
    <s v="Text"/>
    <s v="Whatâ€™S Your Vibe Today? #Spotifyhits"/>
    <n v="1514"/>
    <n v="164"/>
    <n v="275"/>
    <n v="41364"/>
    <n v="44389"/>
    <n v="83"/>
    <s v="#Nowplaying"/>
    <x v="0"/>
    <d v="2025-01-10T00:00:00"/>
    <d v="2025-02-10T00:00:00"/>
    <x v="1"/>
    <n v="4.7214969538729328E-2"/>
    <n v="1953"/>
  </r>
  <r>
    <s v="SP018"/>
    <s v="Instagram"/>
    <d v="2024-02-03T00:00:00"/>
    <s v="Story"/>
    <s v="Music That Moves Youâ€”Only On Spotify."/>
    <n v="4281"/>
    <n v="101"/>
    <n v="163"/>
    <n v="32278"/>
    <n v="53382"/>
    <n v="235"/>
    <s v="#Nowplaying"/>
    <x v="2"/>
    <d v="2024-12-01T00:00:00"/>
    <d v="2024-12-31T00:00:00"/>
    <x v="1"/>
    <n v="0.1408079806679472"/>
    <n v="4545"/>
  </r>
  <r>
    <s v="SP019"/>
    <s v="Youtube"/>
    <d v="2024-06-15T00:00:00"/>
    <s v="Reel"/>
    <s v="Get Into The Groove With Our New Drop!"/>
    <n v="1751"/>
    <n v="143"/>
    <n v="151"/>
    <n v="31826"/>
    <n v="47729"/>
    <n v="95"/>
    <s v="#Discoverweekly,#Soundtrackoflife"/>
    <x v="3"/>
    <d v="2024-06-15T00:00:00"/>
    <d v="2024-07-15T00:00:00"/>
    <x v="2"/>
    <n v="6.4255640042732362E-2"/>
    <n v="2045"/>
  </r>
  <r>
    <s v="SP020"/>
    <s v="Instagram"/>
    <d v="2024-07-05T00:00:00"/>
    <s v="Text"/>
    <s v="Your Weekend Playlist Is Waiting."/>
    <n v="3753"/>
    <n v="411"/>
    <n v="308"/>
    <n v="29138"/>
    <n v="27678"/>
    <n v="90"/>
    <s v="#Discoverweekly"/>
    <x v="1"/>
    <d v="2025-03-01T00:00:00"/>
    <d v="2025-03-31T00:00:00"/>
    <x v="1"/>
    <n v="0.15347655981879332"/>
    <n v="4472"/>
  </r>
  <r>
    <s v="SP021"/>
    <s v="Instagram"/>
    <d v="2024-11-07T00:00:00"/>
    <s v="Story"/>
    <s v="Wrapped Is Here! Relive Your Top Tracks Ðÿž§"/>
    <n v="1678"/>
    <n v="423"/>
    <n v="323"/>
    <n v="55668"/>
    <n v="37945"/>
    <n v="230"/>
    <s v="#Nowplaying"/>
    <x v="2"/>
    <d v="2024-12-01T00:00:00"/>
    <d v="2024-12-31T00:00:00"/>
    <x v="1"/>
    <n v="4.3543867212761371E-2"/>
    <n v="2424"/>
  </r>
  <r>
    <s v="SP022"/>
    <s v="Instagram"/>
    <d v="2025-06-15T00:00:00"/>
    <s v="Text"/>
    <s v="Whatâ€™S Your Vibe Today? #Spotifyhits"/>
    <n v="4896"/>
    <n v="466"/>
    <n v="233"/>
    <n v="28621"/>
    <n v="34270"/>
    <n v="84"/>
    <s v="#Soundtrackoflife,#Nowplaying"/>
    <x v="0"/>
    <d v="2025-01-10T00:00:00"/>
    <d v="2025-02-10T00:00:00"/>
    <x v="0"/>
    <n v="0.19548583208133888"/>
    <n v="5595"/>
  </r>
  <r>
    <s v="SP023"/>
    <s v="Youtube"/>
    <d v="2024-06-09T00:00:00"/>
    <s v="Reel"/>
    <s v="From Pop To Podcasts, Itâ€™S All Here."/>
    <n v="2786"/>
    <n v="368"/>
    <n v="208"/>
    <n v="42000"/>
    <n v="39967"/>
    <n v="103"/>
    <s v="#Discoverweekly,#Soundtrackoflife"/>
    <x v="3"/>
    <d v="2024-06-15T00:00:00"/>
    <d v="2024-07-15T00:00:00"/>
    <x v="1"/>
    <n v="8.0047619047619048E-2"/>
    <n v="3362"/>
  </r>
  <r>
    <s v="SP024"/>
    <s v="Twitter"/>
    <d v="2024-10-18T00:00:00"/>
    <s v="Text"/>
    <s v="New Music Just Dropped. Hit Play!"/>
    <n v="2607"/>
    <n v="379"/>
    <n v="180"/>
    <n v="28712"/>
    <n v="61620"/>
    <n v="174"/>
    <s v="#Soundtrackoflife"/>
    <x v="1"/>
    <d v="2025-03-01T00:00:00"/>
    <d v="2025-03-31T00:00:00"/>
    <x v="1"/>
    <n v="0.11026748397882419"/>
    <n v="3166"/>
  </r>
  <r>
    <s v="SP025"/>
    <s v="Youtube"/>
    <d v="2024-10-10T00:00:00"/>
    <s v="Reel"/>
    <s v="From Pop To Podcasts, Itâ€™S All Here."/>
    <n v="4013"/>
    <n v="320"/>
    <n v="92"/>
    <n v="54605"/>
    <n v="60169"/>
    <n v="232"/>
    <s v="#Discoverweekly,#Soundtrackoflife"/>
    <x v="3"/>
    <d v="2024-06-15T00:00:00"/>
    <d v="2024-07-15T00:00:00"/>
    <x v="0"/>
    <n v="8.1036535115831879E-2"/>
    <n v="4425"/>
  </r>
  <r>
    <s v="SP026"/>
    <s v="Twitter"/>
    <d v="2025-05-14T00:00:00"/>
    <s v="Story"/>
    <s v="From Pop To Podcasts, Itâ€™S All Here."/>
    <n v="2707"/>
    <n v="103"/>
    <n v="51"/>
    <n v="55302"/>
    <n v="18801"/>
    <n v="147"/>
    <s v="#Discoverweekly,#Musicforeveryone"/>
    <x v="0"/>
    <d v="2025-01-10T00:00:00"/>
    <d v="2025-02-10T00:00:00"/>
    <x v="0"/>
    <n v="5.173411449857148E-2"/>
    <n v="2861"/>
  </r>
  <r>
    <s v="SP027"/>
    <s v="Instagram"/>
    <d v="2024-11-29T00:00:00"/>
    <s v="Text"/>
    <s v="Whatâ€™S Your Vibe Today? #Spotifyhits"/>
    <n v="2824"/>
    <n v="425"/>
    <n v="274"/>
    <n v="31004"/>
    <n v="53488"/>
    <n v="268"/>
    <s v="#Soundtrackoflife,#Nowplaying"/>
    <x v="0"/>
    <d v="2025-01-10T00:00:00"/>
    <d v="2025-02-10T00:00:00"/>
    <x v="1"/>
    <n v="0.11363049929041415"/>
    <n v="3523"/>
  </r>
  <r>
    <s v="SP028"/>
    <s v="Youtube"/>
    <d v="2024-03-05T00:00:00"/>
    <s v="Reel"/>
    <s v="Explore The Latest Podcasts Now."/>
    <n v="3558"/>
    <n v="314"/>
    <n v="199"/>
    <n v="49612"/>
    <n v="53929"/>
    <n v="206"/>
    <s v="#Discoverweekly,#Soundtrackoflife"/>
    <x v="3"/>
    <d v="2024-06-15T00:00:00"/>
    <d v="2024-07-15T00:00:00"/>
    <x v="1"/>
    <n v="8.205676046117874E-2"/>
    <n v="4071"/>
  </r>
  <r>
    <s v="SP029"/>
    <s v="Twitter"/>
    <d v="2025-03-18T00:00:00"/>
    <s v="Story"/>
    <s v="Explore The Latest Podcasts Now."/>
    <n v="3418"/>
    <n v="188"/>
    <n v="387"/>
    <n v="57431"/>
    <n v="36933"/>
    <n v="202"/>
    <s v="#Musicforeveryone,#Nowplaying"/>
    <x v="0"/>
    <d v="2025-01-10T00:00:00"/>
    <d v="2025-02-10T00:00:00"/>
    <x v="0"/>
    <n v="6.9526910553533799E-2"/>
    <n v="3993"/>
  </r>
  <r>
    <s v="SP030"/>
    <s v="Twitter"/>
    <d v="2025-04-26T00:00:00"/>
    <s v="Text"/>
    <s v="Discover Fresh Beats On Spotify!"/>
    <n v="2411"/>
    <n v="194"/>
    <n v="168"/>
    <n v="26665"/>
    <n v="71699"/>
    <n v="197"/>
    <s v="#Nowplaying"/>
    <x v="0"/>
    <d v="2025-01-10T00:00:00"/>
    <d v="2025-02-10T00:00:00"/>
    <x v="0"/>
    <n v="0.10399399962497656"/>
    <n v="2773"/>
  </r>
  <r>
    <s v="SP031"/>
    <s v="Instagram"/>
    <d v="2025-01-01T00:00:00"/>
    <s v="Text"/>
    <s v="New Music Just Dropped. Hit Play!"/>
    <n v="4036"/>
    <n v="112"/>
    <n v="382"/>
    <n v="56284"/>
    <n v="29440"/>
    <n v="279"/>
    <s v="#Soundtrackoflife,#Nowplaying"/>
    <x v="0"/>
    <d v="2025-01-10T00:00:00"/>
    <d v="2025-02-10T00:00:00"/>
    <x v="1"/>
    <n v="8.0484684812735408E-2"/>
    <n v="4530"/>
  </r>
  <r>
    <s v="SP032"/>
    <s v="Twitter"/>
    <d v="2024-05-07T00:00:00"/>
    <s v="Story"/>
    <s v="Explore The Latest Podcasts Now."/>
    <n v="2776"/>
    <n v="307"/>
    <n v="178"/>
    <n v="43365"/>
    <n v="48408"/>
    <n v="138"/>
    <s v="#Soundtrackoflife,#Nowplaying"/>
    <x v="0"/>
    <d v="2025-01-10T00:00:00"/>
    <d v="2025-02-10T00:00:00"/>
    <x v="1"/>
    <n v="7.519889311656866E-2"/>
    <n v="3261"/>
  </r>
  <r>
    <s v="SP033"/>
    <s v="Twitter"/>
    <d v="2024-10-09T00:00:00"/>
    <s v="Story"/>
    <s v="Discover Fresh Beats On Spotify!"/>
    <n v="4929"/>
    <n v="182"/>
    <n v="95"/>
    <n v="32181"/>
    <n v="31084"/>
    <n v="289"/>
    <s v="#Discoverweekly,#Musicforeveryone"/>
    <x v="0"/>
    <d v="2025-01-10T00:00:00"/>
    <d v="2025-02-10T00:00:00"/>
    <x v="1"/>
    <n v="0.16177247444144061"/>
    <n v="5206"/>
  </r>
  <r>
    <s v="SP034"/>
    <s v="Instagram"/>
    <d v="2025-01-09T00:00:00"/>
    <s v="Text"/>
    <s v="New Music Just Dropped. Hit Play!"/>
    <n v="1015"/>
    <n v="366"/>
    <n v="308"/>
    <n v="38127"/>
    <n v="63790"/>
    <n v="287"/>
    <s v="#Soundtrackoflife,#Nowplaying"/>
    <x v="0"/>
    <d v="2025-01-10T00:00:00"/>
    <d v="2025-02-10T00:00:00"/>
    <x v="1"/>
    <n v="4.4299315445747112E-2"/>
    <n v="1689"/>
  </r>
  <r>
    <s v="SP035"/>
    <s v="Twitter"/>
    <d v="2025-05-08T00:00:00"/>
    <s v="Story"/>
    <s v="Your Weekend Playlist Is Waiting."/>
    <n v="3316"/>
    <n v="332"/>
    <n v="268"/>
    <n v="40095"/>
    <n v="36913"/>
    <n v="265"/>
    <s v="#Musicforeveryone,#Nowplaying"/>
    <x v="0"/>
    <d v="2025-01-10T00:00:00"/>
    <d v="2025-02-10T00:00:00"/>
    <x v="0"/>
    <n v="9.7668038408779148E-2"/>
    <n v="3916"/>
  </r>
  <r>
    <s v="SP036"/>
    <s v="Instagram"/>
    <d v="2024-05-04T00:00:00"/>
    <s v="Text"/>
    <s v="Wrapped Is Here! Relive Your Top Tracks Ðÿž§"/>
    <n v="2274"/>
    <n v="243"/>
    <n v="222"/>
    <n v="43066"/>
    <n v="59174"/>
    <n v="80"/>
    <s v="#Discoverweekly"/>
    <x v="1"/>
    <d v="2025-03-01T00:00:00"/>
    <d v="2025-03-31T00:00:00"/>
    <x v="1"/>
    <n v="6.3600055728416843E-2"/>
    <n v="2739"/>
  </r>
  <r>
    <s v="SP037"/>
    <s v="Twitter"/>
    <d v="2025-05-27T00:00:00"/>
    <s v="Story"/>
    <s v="Explore The Latest Podcasts Now."/>
    <n v="4095"/>
    <n v="385"/>
    <n v="400"/>
    <n v="45300"/>
    <n v="31795"/>
    <n v="80"/>
    <s v="#Musicforeveryone,#Nowplaying"/>
    <x v="0"/>
    <d v="2025-01-10T00:00:00"/>
    <d v="2025-02-10T00:00:00"/>
    <x v="0"/>
    <n v="0.10772626931567329"/>
    <n v="4880"/>
  </r>
  <r>
    <s v="SP038"/>
    <s v="Instagram"/>
    <d v="2024-09-10T00:00:00"/>
    <s v="Story"/>
    <s v="New Music Just Dropped. Hit Play!"/>
    <n v="1230"/>
    <n v="309"/>
    <n v="207"/>
    <n v="44629"/>
    <n v="40699"/>
    <n v="195"/>
    <s v="#Nowplaying"/>
    <x v="2"/>
    <d v="2024-12-01T00:00:00"/>
    <d v="2024-12-31T00:00:00"/>
    <x v="1"/>
    <n v="3.9122543637545096E-2"/>
    <n v="1746"/>
  </r>
  <r>
    <s v="SP039"/>
    <s v="Instagram"/>
    <d v="2024-11-25T00:00:00"/>
    <s v="Text"/>
    <s v="From Pop To Podcasts, Itâ€™S All Here."/>
    <n v="1341"/>
    <n v="472"/>
    <n v="238"/>
    <n v="51386"/>
    <n v="51706"/>
    <n v="133"/>
    <s v="#Discoverweekly"/>
    <x v="1"/>
    <d v="2025-03-01T00:00:00"/>
    <d v="2025-03-31T00:00:00"/>
    <x v="1"/>
    <n v="3.9913595142645857E-2"/>
    <n v="2051"/>
  </r>
  <r>
    <s v="SP040"/>
    <s v="Twitter"/>
    <d v="2025-06-10T00:00:00"/>
    <s v="Text"/>
    <s v="Explore The Latest Podcasts Now."/>
    <n v="3615"/>
    <n v="192"/>
    <n v="162"/>
    <n v="27492"/>
    <n v="35341"/>
    <n v="125"/>
    <s v="#Nowplaying"/>
    <x v="0"/>
    <d v="2025-01-10T00:00:00"/>
    <d v="2025-02-10T00:00:00"/>
    <x v="0"/>
    <n v="0.14436927106067218"/>
    <n v="3969"/>
  </r>
  <r>
    <s v="SP041"/>
    <s v="Instagram"/>
    <d v="2024-04-19T00:00:00"/>
    <s v="Text"/>
    <s v="New Music Just Dropped. Hit Play!"/>
    <n v="4001"/>
    <n v="353"/>
    <n v="129"/>
    <n v="41265"/>
    <n v="37279"/>
    <n v="275"/>
    <s v="#Soundtrackoflife,#Nowplaying"/>
    <x v="0"/>
    <d v="2025-01-10T00:00:00"/>
    <d v="2025-02-10T00:00:00"/>
    <x v="1"/>
    <n v="0.10863928268508422"/>
    <n v="4483"/>
  </r>
  <r>
    <s v="SP042"/>
    <s v="Instagram"/>
    <d v="2025-01-26T00:00:00"/>
    <s v="Story"/>
    <s v="Whatâ€™S Your Vibe Today? #Spotifyhits"/>
    <n v="3451"/>
    <n v="363"/>
    <n v="393"/>
    <n v="44853"/>
    <n v="69032"/>
    <n v="211"/>
    <s v="#Nowplaying"/>
    <x v="2"/>
    <d v="2024-12-01T00:00:00"/>
    <d v="2024-12-31T00:00:00"/>
    <x v="0"/>
    <n v="9.379528682585335E-2"/>
    <n v="4207"/>
  </r>
  <r>
    <s v="SP043"/>
    <s v="Instagram"/>
    <d v="2025-02-14T00:00:00"/>
    <s v="Text"/>
    <s v="Top Trending Tracks Updated Daily!"/>
    <n v="4891"/>
    <n v="450"/>
    <n v="387"/>
    <n v="48746"/>
    <n v="37312"/>
    <n v="154"/>
    <s v="#Soundtrackoflife,#Nowplaying"/>
    <x v="0"/>
    <d v="2025-01-10T00:00:00"/>
    <d v="2025-02-10T00:00:00"/>
    <x v="0"/>
    <n v="0.11750707750379519"/>
    <n v="5728"/>
  </r>
  <r>
    <s v="SP044"/>
    <s v="Instagram"/>
    <d v="2024-09-06T00:00:00"/>
    <s v="Text"/>
    <s v="New Music Just Dropped. Hit Play!"/>
    <n v="1452"/>
    <n v="281"/>
    <n v="326"/>
    <n v="51556"/>
    <n v="62599"/>
    <n v="290"/>
    <s v="#Discoverweekly"/>
    <x v="1"/>
    <d v="2025-03-01T00:00:00"/>
    <d v="2025-03-31T00:00:00"/>
    <x v="1"/>
    <n v="3.9937155714174881E-2"/>
    <n v="2059"/>
  </r>
  <r>
    <s v="SP045"/>
    <s v="Youtube"/>
    <d v="2024-07-14T00:00:00"/>
    <s v="Text"/>
    <s v="Your Weekend Playlist Is Waiting."/>
    <n v="3806"/>
    <n v="114"/>
    <n v="278"/>
    <n v="36148"/>
    <n v="24209"/>
    <n v="201"/>
    <s v="#Discoverweekly,#Spotifywrapped"/>
    <x v="1"/>
    <d v="2025-03-01T00:00:00"/>
    <d v="2025-03-31T00:00:00"/>
    <x v="1"/>
    <n v="0.11613367267898639"/>
    <n v="4198"/>
  </r>
  <r>
    <s v="SP046"/>
    <s v="Instagram"/>
    <d v="2024-02-12T00:00:00"/>
    <s v="Text"/>
    <s v="Explore The Latest Podcasts Now."/>
    <n v="2923"/>
    <n v="330"/>
    <n v="250"/>
    <n v="23993"/>
    <n v="74590"/>
    <n v="92"/>
    <s v="#Discoverweekly"/>
    <x v="1"/>
    <d v="2025-03-01T00:00:00"/>
    <d v="2025-03-31T00:00:00"/>
    <x v="1"/>
    <n v="0.14600091693410577"/>
    <n v="3503"/>
  </r>
  <r>
    <s v="SP047"/>
    <s v="Youtube"/>
    <d v="2024-03-14T00:00:00"/>
    <s v="Reel"/>
    <s v="From Pop To Podcasts, Itâ€™S All Here."/>
    <n v="3361"/>
    <n v="188"/>
    <n v="358"/>
    <n v="39838"/>
    <n v="24536"/>
    <n v="120"/>
    <s v="#Discoverweekly,#Soundtrackoflife"/>
    <x v="3"/>
    <d v="2024-06-15T00:00:00"/>
    <d v="2024-07-15T00:00:00"/>
    <x v="1"/>
    <n v="9.8072192379135503E-2"/>
    <n v="3907"/>
  </r>
  <r>
    <s v="SP048"/>
    <s v="Instagram"/>
    <d v="2025-02-05T00:00:00"/>
    <s v="Story"/>
    <s v="Music That Moves Youâ€”Only On Spotify."/>
    <n v="3074"/>
    <n v="371"/>
    <n v="348"/>
    <n v="24104"/>
    <n v="57803"/>
    <n v="213"/>
    <s v="#Nowplaying"/>
    <x v="2"/>
    <d v="2024-12-01T00:00:00"/>
    <d v="2024-12-31T00:00:00"/>
    <x v="0"/>
    <n v="0.15735977431131762"/>
    <n v="3793"/>
  </r>
  <r>
    <s v="SP049"/>
    <s v="Twitter"/>
    <d v="2024-08-29T00:00:00"/>
    <s v="Story"/>
    <s v="Get Into The Groove With Our New Drop!"/>
    <n v="4276"/>
    <n v="227"/>
    <n v="223"/>
    <n v="43443"/>
    <n v="41005"/>
    <n v="191"/>
    <s v="#Discoverweekly,#Musicforeveryone"/>
    <x v="0"/>
    <d v="2025-01-10T00:00:00"/>
    <d v="2025-02-10T00:00:00"/>
    <x v="1"/>
    <n v="0.1087862256289851"/>
    <n v="4726"/>
  </r>
  <r>
    <s v="SP050"/>
    <s v="Twitter"/>
    <d v="2025-04-22T00:00:00"/>
    <s v="Text"/>
    <s v="Discover Fresh Beats On Spotify!"/>
    <n v="4401"/>
    <n v="421"/>
    <n v="216"/>
    <n v="24890"/>
    <n v="54361"/>
    <n v="148"/>
    <s v="#Nowplaying"/>
    <x v="0"/>
    <d v="2025-01-10T00:00:00"/>
    <d v="2025-02-10T00:00:00"/>
    <x v="0"/>
    <n v="0.20241060666934513"/>
    <n v="5038"/>
  </r>
  <r>
    <s v="SP051"/>
    <s v="Youtube"/>
    <d v="2024-05-13T00:00:00"/>
    <s v="Reel"/>
    <s v="Explore The Latest Podcasts Now."/>
    <n v="4161"/>
    <n v="481"/>
    <n v="61"/>
    <n v="45884"/>
    <n v="48955"/>
    <n v="215"/>
    <s v="#Discoverweekly,#Soundtrackoflife"/>
    <x v="3"/>
    <d v="2024-06-15T00:00:00"/>
    <d v="2024-07-15T00:00:00"/>
    <x v="1"/>
    <n v="0.10249760265016128"/>
    <n v="4703"/>
  </r>
  <r>
    <s v="SP052"/>
    <s v="Twitter"/>
    <d v="2024-09-04T00:00:00"/>
    <s v="Story"/>
    <s v="New Music Just Dropped. Hit Play!"/>
    <n v="2613"/>
    <n v="455"/>
    <n v="228"/>
    <n v="21645"/>
    <n v="61334"/>
    <n v="261"/>
    <s v="#Discoverweekly,#Musicforeveryone"/>
    <x v="0"/>
    <d v="2025-01-10T00:00:00"/>
    <d v="2025-02-10T00:00:00"/>
    <x v="1"/>
    <n v="0.15227535227535227"/>
    <n v="3296"/>
  </r>
  <r>
    <s v="SP053"/>
    <s v="Twitter"/>
    <d v="2024-08-12T00:00:00"/>
    <s v="Story"/>
    <s v="Whatâ€™S Your Vibe Today? #Spotifyhits"/>
    <n v="2842"/>
    <n v="213"/>
    <n v="331"/>
    <n v="57660"/>
    <n v="68606"/>
    <n v="87"/>
    <s v="#Musicforeveryone,#Nowplaying"/>
    <x v="0"/>
    <d v="2025-01-10T00:00:00"/>
    <d v="2025-02-10T00:00:00"/>
    <x v="1"/>
    <n v="5.8723551855705859E-2"/>
    <n v="3386"/>
  </r>
  <r>
    <s v="SP054"/>
    <s v="Instagram"/>
    <d v="2025-03-06T00:00:00"/>
    <s v="Text"/>
    <s v="Get Into The Groove With Our New Drop!"/>
    <n v="4851"/>
    <n v="460"/>
    <n v="212"/>
    <n v="58075"/>
    <n v="59574"/>
    <n v="239"/>
    <s v="#Discoverweekly"/>
    <x v="1"/>
    <d v="2025-03-01T00:00:00"/>
    <d v="2025-03-31T00:00:00"/>
    <x v="2"/>
    <n v="9.5101162290142052E-2"/>
    <n v="5523"/>
  </r>
  <r>
    <s v="SP055"/>
    <s v="Twitter"/>
    <d v="2024-05-08T00:00:00"/>
    <s v="Text"/>
    <s v="Explore The Latest Podcasts Now."/>
    <n v="1828"/>
    <n v="450"/>
    <n v="214"/>
    <n v="52115"/>
    <n v="19166"/>
    <n v="190"/>
    <s v="#Nowplaying"/>
    <x v="0"/>
    <d v="2025-01-10T00:00:00"/>
    <d v="2025-02-10T00:00:00"/>
    <x v="1"/>
    <n v="4.781732706514439E-2"/>
    <n v="2492"/>
  </r>
  <r>
    <s v="SP056"/>
    <s v="Instagram"/>
    <d v="2025-02-19T00:00:00"/>
    <s v="Story"/>
    <s v="From Pop To Podcasts, Itâ€™S All Here."/>
    <n v="2422"/>
    <n v="455"/>
    <n v="376"/>
    <n v="23428"/>
    <n v="46775"/>
    <n v="259"/>
    <s v="#Nowplaying"/>
    <x v="2"/>
    <d v="2024-12-01T00:00:00"/>
    <d v="2024-12-31T00:00:00"/>
    <x v="0"/>
    <n v="0.13885094758408742"/>
    <n v="3253"/>
  </r>
  <r>
    <s v="SP057"/>
    <s v="Instagram"/>
    <d v="2024-01-08T00:00:00"/>
    <s v="Text"/>
    <s v="Top Trending Tracks Updated Daily!"/>
    <n v="2683"/>
    <n v="405"/>
    <n v="223"/>
    <n v="31233"/>
    <n v="58106"/>
    <n v="291"/>
    <s v="#Discoverweekly"/>
    <x v="1"/>
    <d v="2025-03-01T00:00:00"/>
    <d v="2025-03-31T00:00:00"/>
    <x v="1"/>
    <n v="0.10600966926007749"/>
    <n v="3311"/>
  </r>
  <r>
    <s v="SP058"/>
    <s v="Youtube"/>
    <d v="2024-07-17T00:00:00"/>
    <s v="Text"/>
    <s v="Top Trending Tracks Updated Daily!"/>
    <n v="3135"/>
    <n v="110"/>
    <n v="215"/>
    <n v="39192"/>
    <n v="24744"/>
    <n v="177"/>
    <s v="#Discoverweekly,#Spotifywrapped"/>
    <x v="1"/>
    <d v="2025-03-01T00:00:00"/>
    <d v="2025-03-31T00:00:00"/>
    <x v="1"/>
    <n v="8.8283323127168814E-2"/>
    <n v="3460"/>
  </r>
  <r>
    <s v="SP059"/>
    <s v="Youtube"/>
    <d v="2024-08-10T00:00:00"/>
    <s v="Text"/>
    <s v="From Pop To Podcasts, Itâ€™S All Here."/>
    <n v="1105"/>
    <n v="181"/>
    <n v="55"/>
    <n v="53581"/>
    <n v="74048"/>
    <n v="220"/>
    <s v="#Discoverweekly,#Spotifywrapped"/>
    <x v="1"/>
    <d v="2025-03-01T00:00:00"/>
    <d v="2025-03-31T00:00:00"/>
    <x v="1"/>
    <n v="2.50275284149232E-2"/>
    <n v="1341"/>
  </r>
  <r>
    <s v="SP060"/>
    <s v="Youtube"/>
    <d v="2024-04-16T00:00:00"/>
    <s v="Text"/>
    <s v="Discover Fresh Beats On Spotify!"/>
    <n v="4674"/>
    <n v="326"/>
    <n v="62"/>
    <n v="45503"/>
    <n v="46814"/>
    <n v="116"/>
    <s v="#Discoverweekly,#Spotifywrapped"/>
    <x v="1"/>
    <d v="2025-03-01T00:00:00"/>
    <d v="2025-03-31T00:00:00"/>
    <x v="1"/>
    <n v="0.11124541239039185"/>
    <n v="5062"/>
  </r>
  <r>
    <s v="SP061"/>
    <s v="Youtube"/>
    <d v="2024-01-01T00:00:00"/>
    <s v="Reel"/>
    <s v="Explore The Latest Podcasts Now."/>
    <n v="3437"/>
    <n v="129"/>
    <n v="359"/>
    <n v="44558"/>
    <n v="30854"/>
    <n v="171"/>
    <s v="#Discoverweekly,#Soundtrackoflife"/>
    <x v="3"/>
    <d v="2024-06-15T00:00:00"/>
    <d v="2024-07-15T00:00:00"/>
    <x v="1"/>
    <n v="8.8087436599488311E-2"/>
    <n v="3925"/>
  </r>
  <r>
    <s v="SP062"/>
    <s v="Twitter"/>
    <d v="2024-11-03T00:00:00"/>
    <s v="Story"/>
    <s v="Wrapped Is Here! Relive Your Top Tracks Ðÿž§"/>
    <n v="1959"/>
    <n v="316"/>
    <n v="82"/>
    <n v="54036"/>
    <n v="69015"/>
    <n v="182"/>
    <s v="#Musicforeveryone,#Nowplaying"/>
    <x v="0"/>
    <d v="2025-01-10T00:00:00"/>
    <d v="2025-02-10T00:00:00"/>
    <x v="1"/>
    <n v="4.3619068768968837E-2"/>
    <n v="2357"/>
  </r>
  <r>
    <s v="SP063"/>
    <s v="Twitter"/>
    <d v="2024-07-07T00:00:00"/>
    <s v="Text"/>
    <s v="New Music Just Dropped. Hit Play!"/>
    <n v="1035"/>
    <n v="137"/>
    <n v="184"/>
    <n v="37302"/>
    <n v="68953"/>
    <n v="237"/>
    <s v="#Soundtrackoflife"/>
    <x v="1"/>
    <d v="2025-03-01T00:00:00"/>
    <d v="2025-03-31T00:00:00"/>
    <x v="1"/>
    <n v="3.6351938233874857E-2"/>
    <n v="1356"/>
  </r>
  <r>
    <s v="SP064"/>
    <s v="Twitter"/>
    <d v="2025-01-22T00:00:00"/>
    <s v="Story"/>
    <s v="New Music Just Dropped. Hit Play!"/>
    <n v="4478"/>
    <n v="101"/>
    <n v="121"/>
    <n v="51035"/>
    <n v="58207"/>
    <n v="205"/>
    <s v="#Musicforeveryone,#Nowplaying"/>
    <x v="0"/>
    <d v="2025-01-10T00:00:00"/>
    <d v="2025-02-10T00:00:00"/>
    <x v="2"/>
    <n v="9.2093661212893113E-2"/>
    <n v="4700"/>
  </r>
  <r>
    <s v="SP065"/>
    <s v="Youtube"/>
    <d v="2024-05-26T00:00:00"/>
    <s v="Text"/>
    <s v="From Pop To Podcasts, Itâ€™S All Here."/>
    <n v="1488"/>
    <n v="327"/>
    <n v="110"/>
    <n v="53805"/>
    <n v="30239"/>
    <n v="109"/>
    <s v="#Discoverweekly,#Spotifywrapped"/>
    <x v="1"/>
    <d v="2025-03-01T00:00:00"/>
    <d v="2025-03-31T00:00:00"/>
    <x v="1"/>
    <n v="3.5777344113000653E-2"/>
    <n v="1925"/>
  </r>
  <r>
    <s v="SP066"/>
    <s v="Instagram"/>
    <d v="2025-04-16T00:00:00"/>
    <s v="Text"/>
    <s v="Wrapped Is Here! Relive Your Top Tracks Ðÿž§"/>
    <n v="4836"/>
    <n v="331"/>
    <n v="140"/>
    <n v="58792"/>
    <n v="47711"/>
    <n v="227"/>
    <s v="#Soundtrackoflife,#Nowplaying"/>
    <x v="0"/>
    <d v="2025-01-10T00:00:00"/>
    <d v="2025-02-10T00:00:00"/>
    <x v="0"/>
    <n v="9.0267383317458164E-2"/>
    <n v="5307"/>
  </r>
  <r>
    <s v="SP067"/>
    <s v="Youtube"/>
    <d v="2024-04-02T00:00:00"/>
    <s v="Reel"/>
    <s v="Your Weekend Playlist Is Waiting."/>
    <n v="4563"/>
    <n v="488"/>
    <n v="356"/>
    <n v="30619"/>
    <n v="23328"/>
    <n v="267"/>
    <s v="#Discoverweekly,#Soundtrackoflife"/>
    <x v="3"/>
    <d v="2024-06-15T00:00:00"/>
    <d v="2024-07-15T00:00:00"/>
    <x v="1"/>
    <n v="0.17658969920637513"/>
    <n v="5407"/>
  </r>
  <r>
    <s v="SP068"/>
    <s v="Twitter"/>
    <d v="2024-03-28T00:00:00"/>
    <s v="Text"/>
    <s v="Music That Moves Youâ€”Only On Spotify."/>
    <n v="3276"/>
    <n v="421"/>
    <n v="114"/>
    <n v="20580"/>
    <n v="30324"/>
    <n v="221"/>
    <s v="#Soundtrackoflife"/>
    <x v="1"/>
    <d v="2025-03-01T00:00:00"/>
    <d v="2025-03-31T00:00:00"/>
    <x v="1"/>
    <n v="0.18517978620019437"/>
    <n v="3811"/>
  </r>
  <r>
    <s v="SP069"/>
    <s v="Twitter"/>
    <d v="2024-12-17T00:00:00"/>
    <s v="Story"/>
    <s v="Music That Moves Youâ€”Only On Spotify."/>
    <n v="1316"/>
    <n v="472"/>
    <n v="286"/>
    <n v="44692"/>
    <n v="53343"/>
    <n v="227"/>
    <s v="#Discoverweekly,#Musicforeveryone"/>
    <x v="0"/>
    <d v="2025-01-10T00:00:00"/>
    <d v="2025-02-10T00:00:00"/>
    <x v="1"/>
    <n v="4.6406515707509172E-2"/>
    <n v="2074"/>
  </r>
  <r>
    <s v="SP070"/>
    <s v="Twitter"/>
    <d v="2025-01-05T00:00:00"/>
    <s v="Text"/>
    <s v="Wrapped Is Here! Relive Your Top Tracks Ðÿž§"/>
    <n v="4811"/>
    <n v="473"/>
    <n v="254"/>
    <n v="51964"/>
    <n v="68795"/>
    <n v="107"/>
    <s v="#Nowplaying"/>
    <x v="0"/>
    <d v="2025-01-10T00:00:00"/>
    <d v="2025-02-10T00:00:00"/>
    <x v="1"/>
    <n v="0.10657378184897237"/>
    <n v="5538"/>
  </r>
  <r>
    <s v="SP071"/>
    <s v="Twitter"/>
    <d v="2024-01-11T00:00:00"/>
    <s v="Text"/>
    <s v="Whatâ€™S Your Vibe Today? #Spotifyhits"/>
    <n v="4218"/>
    <n v="247"/>
    <n v="183"/>
    <n v="28914"/>
    <n v="18310"/>
    <n v="135"/>
    <s v="#Soundtrackoflife"/>
    <x v="1"/>
    <d v="2025-03-01T00:00:00"/>
    <d v="2025-03-31T00:00:00"/>
    <x v="1"/>
    <n v="0.1607525766064882"/>
    <n v="4648"/>
  </r>
  <r>
    <s v="SP072"/>
    <s v="Instagram"/>
    <d v="2024-10-11T00:00:00"/>
    <s v="Text"/>
    <s v="From Pop To Podcasts, Itâ€™S All Here."/>
    <n v="1360"/>
    <n v="249"/>
    <n v="52"/>
    <n v="20368"/>
    <n v="42152"/>
    <n v="193"/>
    <s v="#Discoverweekly"/>
    <x v="1"/>
    <d v="2025-03-01T00:00:00"/>
    <d v="2025-03-31T00:00:00"/>
    <x v="1"/>
    <n v="8.1549489395129612E-2"/>
    <n v="1661"/>
  </r>
  <r>
    <s v="SP073"/>
    <s v="Youtube"/>
    <d v="2025-05-06T00:00:00"/>
    <s v="Reel"/>
    <s v="Discover Fresh Beats On Spotify!"/>
    <n v="1085"/>
    <n v="496"/>
    <n v="320"/>
    <n v="36528"/>
    <n v="38599"/>
    <n v="270"/>
    <s v="#Discoverweekly,#Soundtrackoflife"/>
    <x v="3"/>
    <d v="2024-06-15T00:00:00"/>
    <d v="2024-07-15T00:00:00"/>
    <x v="0"/>
    <n v="5.2042268944371438E-2"/>
    <n v="1901"/>
  </r>
  <r>
    <s v="SP074"/>
    <s v="Twitter"/>
    <d v="2024-05-19T00:00:00"/>
    <s v="Story"/>
    <s v="Get Into The Groove With Our New Drop!"/>
    <n v="1763"/>
    <n v="206"/>
    <n v="187"/>
    <n v="53342"/>
    <n v="25095"/>
    <n v="88"/>
    <s v="#Discoverweekly,#Musicforeveryone"/>
    <x v="0"/>
    <d v="2025-01-10T00:00:00"/>
    <d v="2025-02-10T00:00:00"/>
    <x v="1"/>
    <n v="4.0418432004799221E-2"/>
    <n v="2156"/>
  </r>
  <r>
    <s v="SP075"/>
    <s v="Twitter"/>
    <d v="2024-01-22T00:00:00"/>
    <s v="Story"/>
    <s v="From Pop To Podcasts, Itâ€™S All Here."/>
    <n v="1554"/>
    <n v="455"/>
    <n v="158"/>
    <n v="41947"/>
    <n v="48578"/>
    <n v="101"/>
    <s v="#Soundtrackoflife,#Nowplaying"/>
    <x v="0"/>
    <d v="2025-01-10T00:00:00"/>
    <d v="2025-02-10T00:00:00"/>
    <x v="1"/>
    <n v="5.1660428636136076E-2"/>
    <n v="2167"/>
  </r>
  <r>
    <s v="SP076"/>
    <s v="Instagram"/>
    <d v="2024-07-14T00:00:00"/>
    <s v="Text"/>
    <s v="Wrapped Is Here! Relive Your Top Tracks Ðÿž§"/>
    <n v="2464"/>
    <n v="401"/>
    <n v="78"/>
    <n v="38665"/>
    <n v="73593"/>
    <n v="207"/>
    <s v="#Discoverweekly"/>
    <x v="1"/>
    <d v="2025-03-01T00:00:00"/>
    <d v="2025-03-31T00:00:00"/>
    <x v="1"/>
    <n v="7.611534979956032E-2"/>
    <n v="2943"/>
  </r>
  <r>
    <s v="SP077"/>
    <s v="Twitter"/>
    <d v="2025-05-28T00:00:00"/>
    <s v="Text"/>
    <s v="From Pop To Podcasts, Itâ€™S All Here."/>
    <n v="2418"/>
    <n v="161"/>
    <n v="360"/>
    <n v="30589"/>
    <n v="41383"/>
    <n v="88"/>
    <s v="#Nowplaying"/>
    <x v="0"/>
    <d v="2025-01-10T00:00:00"/>
    <d v="2025-02-10T00:00:00"/>
    <x v="0"/>
    <n v="9.6080290300434801E-2"/>
    <n v="2939"/>
  </r>
  <r>
    <s v="SP078"/>
    <s v="Twitter"/>
    <d v="2025-01-21T00:00:00"/>
    <s v="Story"/>
    <s v="Discover Fresh Beats On Spotify!"/>
    <n v="2494"/>
    <n v="494"/>
    <n v="55"/>
    <n v="22580"/>
    <n v="22214"/>
    <n v="109"/>
    <s v="#Musicforeveryone,#Nowplaying"/>
    <x v="0"/>
    <d v="2025-01-10T00:00:00"/>
    <d v="2025-02-10T00:00:00"/>
    <x v="2"/>
    <n v="0.13476527900797167"/>
    <n v="3043"/>
  </r>
  <r>
    <s v="SP079"/>
    <s v="Youtube"/>
    <d v="2024-01-13T00:00:00"/>
    <s v="Reel"/>
    <s v="New Music Just Dropped. Hit Play!"/>
    <n v="4781"/>
    <n v="191"/>
    <n v="122"/>
    <n v="35535"/>
    <n v="50777"/>
    <n v="128"/>
    <s v="#Discoverweekly,#Soundtrackoflife"/>
    <x v="3"/>
    <d v="2024-06-15T00:00:00"/>
    <d v="2024-07-15T00:00:00"/>
    <x v="1"/>
    <n v="0.14335162515829464"/>
    <n v="5094"/>
  </r>
  <r>
    <s v="SP080"/>
    <s v="Instagram"/>
    <d v="2025-06-17T00:00:00"/>
    <s v="Text"/>
    <s v="Music That Moves Youâ€”Only On Spotify."/>
    <n v="2284"/>
    <n v="187"/>
    <n v="260"/>
    <n v="37400"/>
    <n v="65014"/>
    <n v="157"/>
    <s v="#Soundtrackoflife,#Nowplaying"/>
    <x v="0"/>
    <d v="2025-01-10T00:00:00"/>
    <d v="2025-02-10T00:00:00"/>
    <x v="0"/>
    <n v="7.3021390374331557E-2"/>
    <n v="2731"/>
  </r>
  <r>
    <s v="SP081"/>
    <s v="Twitter"/>
    <d v="2025-03-07T00:00:00"/>
    <s v="Text"/>
    <s v="Get Into The Groove With Our New Drop!"/>
    <n v="4234"/>
    <n v="486"/>
    <n v="276"/>
    <n v="56623"/>
    <n v="41343"/>
    <n v="184"/>
    <s v="#Soundtrackoflife"/>
    <x v="1"/>
    <d v="2025-03-01T00:00:00"/>
    <d v="2025-03-31T00:00:00"/>
    <x v="2"/>
    <n v="8.8232696960599044E-2"/>
    <n v="4996"/>
  </r>
  <r>
    <s v="SP082"/>
    <s v="Instagram"/>
    <d v="2024-08-26T00:00:00"/>
    <s v="Text"/>
    <s v="Your Weekend Playlist Is Waiting."/>
    <n v="2102"/>
    <n v="181"/>
    <n v="306"/>
    <n v="43650"/>
    <n v="50079"/>
    <n v="182"/>
    <s v="#Discoverweekly"/>
    <x v="1"/>
    <d v="2025-03-01T00:00:00"/>
    <d v="2025-03-31T00:00:00"/>
    <x v="1"/>
    <n v="5.9312714776632303E-2"/>
    <n v="2589"/>
  </r>
  <r>
    <s v="SP083"/>
    <s v="Twitter"/>
    <d v="2025-01-03T00:00:00"/>
    <s v="Story"/>
    <s v="Get Into The Groove With Our New Drop!"/>
    <n v="4845"/>
    <n v="158"/>
    <n v="84"/>
    <n v="34578"/>
    <n v="51480"/>
    <n v="180"/>
    <s v="#Soundtrackoflife,#Nowplaying"/>
    <x v="0"/>
    <d v="2025-01-10T00:00:00"/>
    <d v="2025-02-10T00:00:00"/>
    <x v="1"/>
    <n v="0.1471166637746544"/>
    <n v="5087"/>
  </r>
  <r>
    <s v="SP084"/>
    <s v="Twitter"/>
    <d v="2024-08-03T00:00:00"/>
    <s v="Text"/>
    <s v="Your Weekend Playlist Is Waiting."/>
    <n v="4247"/>
    <n v="390"/>
    <n v="213"/>
    <n v="29785"/>
    <n v="57768"/>
    <n v="122"/>
    <s v="#Nowplaying"/>
    <x v="0"/>
    <d v="2025-01-10T00:00:00"/>
    <d v="2025-02-10T00:00:00"/>
    <x v="1"/>
    <n v="0.16283364109451065"/>
    <n v="4850"/>
  </r>
  <r>
    <s v="SP085"/>
    <s v="Instagram"/>
    <d v="2024-08-18T00:00:00"/>
    <s v="Text"/>
    <s v="Explore The Latest Podcasts Now."/>
    <n v="2965"/>
    <n v="328"/>
    <n v="171"/>
    <n v="57685"/>
    <n v="67536"/>
    <n v="264"/>
    <s v="#Soundtrackoflife,#Nowplaying"/>
    <x v="0"/>
    <d v="2025-01-10T00:00:00"/>
    <d v="2025-02-10T00:00:00"/>
    <x v="1"/>
    <n v="6.0050273034584378E-2"/>
    <n v="3464"/>
  </r>
  <r>
    <s v="SP086"/>
    <s v="Twitter"/>
    <d v="2025-05-14T00:00:00"/>
    <s v="Story"/>
    <s v="Wrapped Is Here! Relive Your Top Tracks Ðÿž§"/>
    <n v="1371"/>
    <n v="139"/>
    <n v="96"/>
    <n v="36140"/>
    <n v="39395"/>
    <n v="169"/>
    <s v="#Soundtrackoflife,#Nowplaying"/>
    <x v="0"/>
    <d v="2025-01-10T00:00:00"/>
    <d v="2025-02-10T00:00:00"/>
    <x v="0"/>
    <n v="4.4438295517432211E-2"/>
    <n v="1606"/>
  </r>
  <r>
    <s v="SP087"/>
    <s v="Twitter"/>
    <d v="2024-04-23T00:00:00"/>
    <s v="Story"/>
    <s v="Discover Fresh Beats On Spotify!"/>
    <n v="2683"/>
    <n v="496"/>
    <n v="89"/>
    <n v="53435"/>
    <n v="30334"/>
    <n v="160"/>
    <s v="#Soundtrackoflife,#Nowplaying"/>
    <x v="0"/>
    <d v="2025-01-10T00:00:00"/>
    <d v="2025-02-10T00:00:00"/>
    <x v="1"/>
    <n v="6.1158416768035934E-2"/>
    <n v="3268"/>
  </r>
  <r>
    <s v="SP088"/>
    <s v="Twitter"/>
    <d v="2025-02-17T00:00:00"/>
    <s v="Story"/>
    <s v="Whatâ€™S Your Vibe Today? #Spotifyhits"/>
    <n v="4796"/>
    <n v="427"/>
    <n v="339"/>
    <n v="30752"/>
    <n v="33870"/>
    <n v="298"/>
    <s v="#Soundtrackoflife,#Nowplaying"/>
    <x v="0"/>
    <d v="2025-01-10T00:00:00"/>
    <d v="2025-02-10T00:00:00"/>
    <x v="0"/>
    <n v="0.18086628511966701"/>
    <n v="5562"/>
  </r>
  <r>
    <s v="SP089"/>
    <s v="Instagram"/>
    <d v="2024-12-04T00:00:00"/>
    <s v="Text"/>
    <s v="Wrapped Is Here! Relive Your Top Tracks Ðÿž§"/>
    <n v="2601"/>
    <n v="336"/>
    <n v="260"/>
    <n v="32368"/>
    <n v="49028"/>
    <n v="120"/>
    <s v="#Soundtrackoflife,#Nowplaying"/>
    <x v="0"/>
    <d v="2025-01-10T00:00:00"/>
    <d v="2025-02-10T00:00:00"/>
    <x v="1"/>
    <n v="9.8770390509144837E-2"/>
    <n v="3197"/>
  </r>
  <r>
    <s v="SP090"/>
    <s v="Twitter"/>
    <d v="2024-07-22T00:00:00"/>
    <s v="Story"/>
    <s v="Wrapped Is Here! Relive Your Top Tracks Ðÿž§"/>
    <n v="3336"/>
    <n v="229"/>
    <n v="337"/>
    <n v="22117"/>
    <n v="26205"/>
    <n v="160"/>
    <s v="#Musicforeveryone,#Nowplaying"/>
    <x v="0"/>
    <d v="2025-01-10T00:00:00"/>
    <d v="2025-02-10T00:00:00"/>
    <x v="1"/>
    <n v="0.17642537414658407"/>
    <n v="3902"/>
  </r>
  <r>
    <s v="SP091"/>
    <s v="Twitter"/>
    <d v="2025-04-27T00:00:00"/>
    <s v="Text"/>
    <s v="Explore The Latest Podcasts Now."/>
    <n v="1165"/>
    <n v="294"/>
    <n v="163"/>
    <n v="20659"/>
    <n v="45926"/>
    <n v="111"/>
    <s v="#Soundtrackoflife"/>
    <x v="1"/>
    <d v="2025-03-01T00:00:00"/>
    <d v="2025-03-31T00:00:00"/>
    <x v="0"/>
    <n v="7.8512996756861422E-2"/>
    <n v="1622"/>
  </r>
  <r>
    <s v="SP092"/>
    <s v="Youtube"/>
    <d v="2024-03-25T00:00:00"/>
    <s v="Reel"/>
    <s v="Explore The Latest Podcasts Now."/>
    <n v="1948"/>
    <n v="155"/>
    <n v="315"/>
    <n v="30321"/>
    <n v="57121"/>
    <n v="82"/>
    <s v="#Discoverweekly,#Soundtrackoflife"/>
    <x v="3"/>
    <d v="2024-06-15T00:00:00"/>
    <d v="2024-07-15T00:00:00"/>
    <x v="1"/>
    <n v="7.974671020085089E-2"/>
    <n v="2418"/>
  </r>
  <r>
    <s v="SP093"/>
    <s v="Instagram"/>
    <d v="2024-02-29T00:00:00"/>
    <s v="Text"/>
    <s v="From Pop To Podcasts, Itâ€™S All Here."/>
    <n v="1100"/>
    <n v="229"/>
    <n v="312"/>
    <n v="25641"/>
    <n v="34601"/>
    <n v="169"/>
    <s v="#Discoverweekly"/>
    <x v="1"/>
    <d v="2025-03-01T00:00:00"/>
    <d v="2025-03-31T00:00:00"/>
    <x v="1"/>
    <n v="6.3999063999063993E-2"/>
    <n v="1641"/>
  </r>
  <r>
    <s v="SP094"/>
    <s v="Twitter"/>
    <d v="2024-11-13T00:00:00"/>
    <s v="Story"/>
    <s v="Top Trending Tracks Updated Daily!"/>
    <n v="4628"/>
    <n v="257"/>
    <n v="397"/>
    <n v="36686"/>
    <n v="54683"/>
    <n v="98"/>
    <s v="#Soundtrackoflife,#Nowplaying"/>
    <x v="0"/>
    <d v="2025-01-10T00:00:00"/>
    <d v="2025-02-10T00:00:00"/>
    <x v="1"/>
    <n v="0.1439786294499264"/>
    <n v="5282"/>
  </r>
  <r>
    <s v="SP095"/>
    <s v="Instagram"/>
    <d v="2024-03-22T00:00:00"/>
    <s v="Story"/>
    <s v="Discover Fresh Beats On Spotify!"/>
    <n v="2319"/>
    <n v="484"/>
    <n v="193"/>
    <n v="21202"/>
    <n v="18091"/>
    <n v="241"/>
    <s v="#Nowplaying"/>
    <x v="2"/>
    <d v="2024-12-01T00:00:00"/>
    <d v="2024-12-31T00:00:00"/>
    <x v="1"/>
    <n v="0.14130742382794076"/>
    <n v="2996"/>
  </r>
  <r>
    <s v="SP096"/>
    <s v="Twitter"/>
    <d v="2024-03-16T00:00:00"/>
    <s v="Story"/>
    <s v="Wrapped Is Here! Relive Your Top Tracks Ðÿž§"/>
    <n v="2895"/>
    <n v="292"/>
    <n v="90"/>
    <n v="24223"/>
    <n v="54626"/>
    <n v="114"/>
    <s v="#Soundtrackoflife,#Nowplaying"/>
    <x v="0"/>
    <d v="2025-01-10T00:00:00"/>
    <d v="2025-02-10T00:00:00"/>
    <x v="1"/>
    <n v="0.13528464682326713"/>
    <n v="3277"/>
  </r>
  <r>
    <s v="SP097"/>
    <s v="Instagram"/>
    <d v="2024-01-26T00:00:00"/>
    <s v="Text"/>
    <s v="Whatâ€™S Your Vibe Today? #Spotifyhits"/>
    <n v="3878"/>
    <n v="431"/>
    <n v="97"/>
    <n v="41763"/>
    <n v="29729"/>
    <n v="191"/>
    <s v="#Discoverweekly"/>
    <x v="1"/>
    <d v="2025-03-01T00:00:00"/>
    <d v="2025-03-31T00:00:00"/>
    <x v="1"/>
    <n v="0.10550008380623997"/>
    <n v="4406"/>
  </r>
  <r>
    <s v="SP098"/>
    <s v="Twitter"/>
    <d v="2024-03-15T00:00:00"/>
    <s v="Story"/>
    <s v="Get Into The Groove With Our New Drop!"/>
    <n v="4969"/>
    <n v="433"/>
    <n v="237"/>
    <n v="59552"/>
    <n v="23885"/>
    <n v="157"/>
    <s v="#Discoverweekly,#Musicforeveryone"/>
    <x v="0"/>
    <d v="2025-01-10T00:00:00"/>
    <d v="2025-02-10T00:00:00"/>
    <x v="1"/>
    <n v="9.4690354648038683E-2"/>
    <n v="5639"/>
  </r>
  <r>
    <s v="SP099"/>
    <s v="Twitter"/>
    <d v="2024-10-15T00:00:00"/>
    <s v="Text"/>
    <s v="Wrapped Is Here! Relive Your Top Tracks Ðÿž§"/>
    <n v="1984"/>
    <n v="481"/>
    <n v="356"/>
    <n v="40681"/>
    <n v="63111"/>
    <n v="258"/>
    <s v="#Nowplaying"/>
    <x v="0"/>
    <d v="2025-01-10T00:00:00"/>
    <d v="2025-02-10T00:00:00"/>
    <x v="1"/>
    <n v="6.934441139598338E-2"/>
    <n v="2821"/>
  </r>
  <r>
    <s v="SP100"/>
    <s v="Instagram"/>
    <d v="2024-07-21T00:00:00"/>
    <s v="Text"/>
    <s v="Discover Fresh Beats On Spotify!"/>
    <n v="3004"/>
    <n v="415"/>
    <n v="218"/>
    <n v="36090"/>
    <n v="37073"/>
    <n v="181"/>
    <s v="#Discoverweekly"/>
    <x v="1"/>
    <d v="2025-03-01T00:00:00"/>
    <d v="2025-03-31T00:00:00"/>
    <x v="1"/>
    <n v="0.10077583818232197"/>
    <n v="3637"/>
  </r>
  <r>
    <s v="SP101"/>
    <s v="Twitter"/>
    <d v="2024-10-12T00:00:00"/>
    <s v="Text"/>
    <s v="Get Into The Groove With Our New Drop!"/>
    <n v="3169"/>
    <n v="386"/>
    <n v="175"/>
    <n v="45012"/>
    <n v="38508"/>
    <n v="218"/>
    <s v="#Nowplaying"/>
    <x v="0"/>
    <d v="2025-01-10T00:00:00"/>
    <d v="2025-02-10T00:00:00"/>
    <x v="1"/>
    <n v="8.2866791077934779E-2"/>
    <n v="3730"/>
  </r>
  <r>
    <s v="SP102"/>
    <s v="Twitter"/>
    <d v="2024-10-26T00:00:00"/>
    <s v="Text"/>
    <s v="Discover Fresh Beats On Spotify!"/>
    <n v="3036"/>
    <n v="293"/>
    <n v="115"/>
    <n v="23776"/>
    <n v="46386"/>
    <n v="282"/>
    <s v="#Nowplaying"/>
    <x v="0"/>
    <d v="2025-01-10T00:00:00"/>
    <d v="2025-02-10T00:00:00"/>
    <x v="1"/>
    <n v="0.14485195154777927"/>
    <n v="3444"/>
  </r>
  <r>
    <s v="SP103"/>
    <s v="Instagram"/>
    <d v="2024-02-14T00:00:00"/>
    <s v="Text"/>
    <s v="Music That Moves Youâ€”Only On Spotify."/>
    <n v="1830"/>
    <n v="112"/>
    <n v="181"/>
    <n v="31870"/>
    <n v="55742"/>
    <n v="263"/>
    <s v="#Soundtrackoflife,#Nowplaying"/>
    <x v="0"/>
    <d v="2025-01-10T00:00:00"/>
    <d v="2025-02-10T00:00:00"/>
    <x v="1"/>
    <n v="6.6614370881706936E-2"/>
    <n v="2123"/>
  </r>
  <r>
    <s v="SP104"/>
    <s v="Twitter"/>
    <d v="2024-05-01T00:00:00"/>
    <s v="Story"/>
    <s v="Whatâ€™S Your Vibe Today? #Spotifyhits"/>
    <n v="2587"/>
    <n v="447"/>
    <n v="183"/>
    <n v="36266"/>
    <n v="32877"/>
    <n v="132"/>
    <s v="#Discoverweekly,#Musicforeveryone"/>
    <x v="0"/>
    <d v="2025-01-10T00:00:00"/>
    <d v="2025-02-10T00:00:00"/>
    <x v="1"/>
    <n v="8.8705674736667947E-2"/>
    <n v="3217"/>
  </r>
  <r>
    <s v="SP105"/>
    <s v="Twitter"/>
    <d v="2024-09-18T00:00:00"/>
    <s v="Text"/>
    <s v="Discover Fresh Beats On Spotify!"/>
    <n v="2878"/>
    <n v="265"/>
    <n v="91"/>
    <n v="52090"/>
    <n v="28924"/>
    <n v="133"/>
    <s v="#Nowplaying"/>
    <x v="0"/>
    <d v="2025-01-10T00:00:00"/>
    <d v="2025-02-10T00:00:00"/>
    <x v="1"/>
    <n v="6.2084853138798232E-2"/>
    <n v="3234"/>
  </r>
  <r>
    <s v="SP106"/>
    <s v="Twitter"/>
    <d v="2025-01-20T00:00:00"/>
    <s v="Story"/>
    <s v="New Music Just Dropped. Hit Play!"/>
    <n v="4619"/>
    <n v="272"/>
    <n v="57"/>
    <n v="21334"/>
    <n v="46292"/>
    <n v="91"/>
    <s v="#Soundtrackoflife,#Nowplaying"/>
    <x v="0"/>
    <d v="2025-01-10T00:00:00"/>
    <d v="2025-02-10T00:00:00"/>
    <x v="2"/>
    <n v="0.23193025217961938"/>
    <n v="4948"/>
  </r>
  <r>
    <s v="SP107"/>
    <s v="Twitter"/>
    <d v="2025-01-13T00:00:00"/>
    <s v="Text"/>
    <s v="Music That Moves Youâ€”Only On Spotify."/>
    <n v="4090"/>
    <n v="209"/>
    <n v="278"/>
    <n v="52853"/>
    <n v="57084"/>
    <n v="102"/>
    <s v="#Soundtrackoflife"/>
    <x v="1"/>
    <d v="2025-03-01T00:00:00"/>
    <d v="2025-03-31T00:00:00"/>
    <x v="1"/>
    <n v="8.6598679355949518E-2"/>
    <n v="4577"/>
  </r>
  <r>
    <s v="SP108"/>
    <s v="Youtube"/>
    <d v="2024-09-07T00:00:00"/>
    <s v="Reel"/>
    <s v="Music That Moves Youâ€”Only On Spotify."/>
    <n v="3882"/>
    <n v="342"/>
    <n v="374"/>
    <n v="41991"/>
    <n v="48554"/>
    <n v="118"/>
    <s v="#Discoverweekly,#Soundtrackoflife"/>
    <x v="3"/>
    <d v="2024-06-15T00:00:00"/>
    <d v="2024-07-15T00:00:00"/>
    <x v="0"/>
    <n v="0.10949965468790931"/>
    <n v="4598"/>
  </r>
  <r>
    <s v="SP109"/>
    <s v="Instagram"/>
    <d v="2024-11-21T00:00:00"/>
    <s v="Text"/>
    <s v="Music That Moves Youâ€”Only On Spotify."/>
    <n v="4581"/>
    <n v="181"/>
    <n v="112"/>
    <n v="35221"/>
    <n v="28797"/>
    <n v="164"/>
    <s v="#Soundtrackoflife,#Nowplaying"/>
    <x v="0"/>
    <d v="2025-01-10T00:00:00"/>
    <d v="2025-02-10T00:00:00"/>
    <x v="1"/>
    <n v="0.13838335084182732"/>
    <n v="4874"/>
  </r>
  <r>
    <s v="SP110"/>
    <s v="Instagram"/>
    <d v="2024-06-26T00:00:00"/>
    <s v="Text"/>
    <s v="New Music Just Dropped. Hit Play!"/>
    <n v="3253"/>
    <n v="483"/>
    <n v="336"/>
    <n v="25397"/>
    <n v="51485"/>
    <n v="131"/>
    <s v="#Discoverweekly"/>
    <x v="1"/>
    <d v="2025-03-01T00:00:00"/>
    <d v="2025-03-31T00:00:00"/>
    <x v="1"/>
    <n v="0.16033389770445328"/>
    <n v="4072"/>
  </r>
  <r>
    <s v="SP111"/>
    <s v="Youtube"/>
    <d v="2024-07-20T00:00:00"/>
    <s v="Reel"/>
    <s v="Music That Moves Youâ€”Only On Spotify."/>
    <n v="4955"/>
    <n v="299"/>
    <n v="345"/>
    <n v="33644"/>
    <n v="43547"/>
    <n v="194"/>
    <s v="#Discoverweekly,#Soundtrackoflife"/>
    <x v="3"/>
    <d v="2024-06-15T00:00:00"/>
    <d v="2024-07-15T00:00:00"/>
    <x v="0"/>
    <n v="0.16641897515158721"/>
    <n v="5599"/>
  </r>
  <r>
    <s v="SP112"/>
    <s v="Instagram"/>
    <d v="2025-02-16T00:00:00"/>
    <s v="Text"/>
    <s v="Your Weekend Playlist Is Waiting."/>
    <n v="1333"/>
    <n v="286"/>
    <n v="298"/>
    <n v="36174"/>
    <n v="34517"/>
    <n v="170"/>
    <s v="#Soundtrackoflife,#Nowplaying"/>
    <x v="0"/>
    <d v="2025-01-10T00:00:00"/>
    <d v="2025-02-10T00:00:00"/>
    <x v="0"/>
    <n v="5.2993862995521647E-2"/>
    <n v="1917"/>
  </r>
  <r>
    <s v="SP113"/>
    <s v="Instagram"/>
    <d v="2024-09-09T00:00:00"/>
    <s v="Text"/>
    <s v="New Music Just Dropped. Hit Play!"/>
    <n v="1616"/>
    <n v="360"/>
    <n v="180"/>
    <n v="54342"/>
    <n v="18796"/>
    <n v="282"/>
    <s v="#Soundtrackoflife,#Nowplaying"/>
    <x v="0"/>
    <d v="2025-01-10T00:00:00"/>
    <d v="2025-02-10T00:00:00"/>
    <x v="1"/>
    <n v="3.9674653122814763E-2"/>
    <n v="2156"/>
  </r>
  <r>
    <s v="SP114"/>
    <s v="Twitter"/>
    <d v="2024-07-16T00:00:00"/>
    <s v="Text"/>
    <s v="Top Trending Tracks Updated Daily!"/>
    <n v="1803"/>
    <n v="273"/>
    <n v="287"/>
    <n v="46176"/>
    <n v="25488"/>
    <n v="141"/>
    <s v="#Nowplaying"/>
    <x v="0"/>
    <d v="2025-01-10T00:00:00"/>
    <d v="2025-02-10T00:00:00"/>
    <x v="1"/>
    <n v="5.1173769923769923E-2"/>
    <n v="2363"/>
  </r>
  <r>
    <s v="SP115"/>
    <s v="Instagram"/>
    <d v="2025-04-15T00:00:00"/>
    <s v="Text"/>
    <s v="Explore The Latest Podcasts Now."/>
    <n v="4177"/>
    <n v="489"/>
    <n v="331"/>
    <n v="57451"/>
    <n v="73793"/>
    <n v="251"/>
    <s v="#Discoverweekly"/>
    <x v="1"/>
    <d v="2025-03-01T00:00:00"/>
    <d v="2025-03-31T00:00:00"/>
    <x v="0"/>
    <n v="8.6978468608031198E-2"/>
    <n v="4997"/>
  </r>
  <r>
    <s v="SP116"/>
    <s v="Instagram"/>
    <d v="2025-05-04T00:00:00"/>
    <s v="Story"/>
    <s v="New Music Just Dropped. Hit Play!"/>
    <n v="1311"/>
    <n v="181"/>
    <n v="361"/>
    <n v="37148"/>
    <n v="44875"/>
    <n v="245"/>
    <s v="#Nowplaying"/>
    <x v="2"/>
    <d v="2024-12-01T00:00:00"/>
    <d v="2024-12-31T00:00:00"/>
    <x v="0"/>
    <n v="4.9881554861634543E-2"/>
    <n v="1853"/>
  </r>
  <r>
    <s v="SP117"/>
    <s v="Instagram"/>
    <d v="2024-02-18T00:00:00"/>
    <s v="Story"/>
    <s v="From Pop To Podcasts, Itâ€™S All Here."/>
    <n v="1516"/>
    <n v="215"/>
    <n v="332"/>
    <n v="58981"/>
    <n v="36118"/>
    <n v="211"/>
    <s v="#Nowplaying"/>
    <x v="2"/>
    <d v="2024-12-01T00:00:00"/>
    <d v="2024-12-31T00:00:00"/>
    <x v="1"/>
    <n v="3.4977365592309385E-2"/>
    <n v="2063"/>
  </r>
  <r>
    <s v="SP118"/>
    <s v="Twitter"/>
    <d v="2024-05-16T00:00:00"/>
    <s v="Story"/>
    <s v="Music That Moves Youâ€”Only On Spotify."/>
    <n v="2023"/>
    <n v="124"/>
    <n v="99"/>
    <n v="54524"/>
    <n v="34790"/>
    <n v="195"/>
    <s v="#Discoverweekly,#Musicforeveryone"/>
    <x v="0"/>
    <d v="2025-01-10T00:00:00"/>
    <d v="2025-02-10T00:00:00"/>
    <x v="1"/>
    <n v="4.1192869195216787E-2"/>
    <n v="2246"/>
  </r>
  <r>
    <s v="SP119"/>
    <s v="Twitter"/>
    <d v="2025-05-29T00:00:00"/>
    <s v="Story"/>
    <s v="Music That Moves Youâ€”Only On Spotify."/>
    <n v="2134"/>
    <n v="322"/>
    <n v="114"/>
    <n v="44338"/>
    <n v="52165"/>
    <n v="176"/>
    <s v="#Musicforeveryone,#Nowplaying"/>
    <x v="0"/>
    <d v="2025-01-10T00:00:00"/>
    <d v="2025-02-10T00:00:00"/>
    <x v="0"/>
    <n v="5.7963823356939871E-2"/>
    <n v="2570"/>
  </r>
  <r>
    <s v="SP120"/>
    <s v="Instagram"/>
    <d v="2025-01-17T00:00:00"/>
    <s v="Text"/>
    <s v="Top Trending Tracks Updated Daily!"/>
    <n v="2266"/>
    <n v="126"/>
    <n v="140"/>
    <n v="53759"/>
    <n v="46834"/>
    <n v="277"/>
    <s v="#Discoverweekly"/>
    <x v="1"/>
    <d v="2025-03-01T00:00:00"/>
    <d v="2025-03-31T00:00:00"/>
    <x v="1"/>
    <n v="4.7099090384865788E-2"/>
    <n v="2532"/>
  </r>
  <r>
    <s v="SP121"/>
    <s v="Instagram"/>
    <d v="2025-04-30T00:00:00"/>
    <s v="Story"/>
    <s v="New Music Just Dropped. Hit Play!"/>
    <n v="3916"/>
    <n v="459"/>
    <n v="229"/>
    <n v="48989"/>
    <n v="39768"/>
    <n v="200"/>
    <s v="#Nowplaying"/>
    <x v="2"/>
    <d v="2024-12-01T00:00:00"/>
    <d v="2024-12-31T00:00:00"/>
    <x v="0"/>
    <n v="9.3980281287635997E-2"/>
    <n v="4604"/>
  </r>
  <r>
    <s v="SP122"/>
    <s v="Twitter"/>
    <d v="2024-02-24T00:00:00"/>
    <s v="Story"/>
    <s v="Music That Moves Youâ€”Only On Spotify."/>
    <n v="1022"/>
    <n v="463"/>
    <n v="360"/>
    <n v="51468"/>
    <n v="24279"/>
    <n v="230"/>
    <s v="#Discoverweekly,#Musicforeveryone"/>
    <x v="0"/>
    <d v="2025-01-10T00:00:00"/>
    <d v="2025-02-10T00:00:00"/>
    <x v="1"/>
    <n v="3.5847516903707161E-2"/>
    <n v="1845"/>
  </r>
  <r>
    <s v="SP123"/>
    <s v="Youtube"/>
    <d v="2024-05-12T00:00:00"/>
    <s v="Text"/>
    <s v="From Pop To Podcasts, Itâ€™S All Here."/>
    <n v="2911"/>
    <n v="467"/>
    <n v="94"/>
    <n v="59083"/>
    <n v="49762"/>
    <n v="236"/>
    <s v="#Discoverweekly,#Spotifywrapped"/>
    <x v="1"/>
    <d v="2025-03-01T00:00:00"/>
    <d v="2025-03-31T00:00:00"/>
    <x v="1"/>
    <n v="5.8764788517847777E-2"/>
    <n v="3472"/>
  </r>
  <r>
    <s v="SP124"/>
    <s v="Twitter"/>
    <d v="2024-05-09T00:00:00"/>
    <s v="Story"/>
    <s v="New Music Just Dropped. Hit Play!"/>
    <n v="3277"/>
    <n v="423"/>
    <n v="259"/>
    <n v="46328"/>
    <n v="44293"/>
    <n v="299"/>
    <s v="#Soundtrackoflife,#Nowplaying"/>
    <x v="0"/>
    <d v="2025-01-10T00:00:00"/>
    <d v="2025-02-10T00:00:00"/>
    <x v="1"/>
    <n v="8.5455879813503707E-2"/>
    <n v="3959"/>
  </r>
  <r>
    <s v="SP125"/>
    <s v="Twitter"/>
    <d v="2024-11-06T00:00:00"/>
    <s v="Text"/>
    <s v="From Pop To Podcasts, Itâ€™S All Here."/>
    <n v="2956"/>
    <n v="381"/>
    <n v="345"/>
    <n v="33347"/>
    <n v="22558"/>
    <n v="173"/>
    <s v="#Nowplaying"/>
    <x v="0"/>
    <d v="2025-01-10T00:00:00"/>
    <d v="2025-02-10T00:00:00"/>
    <x v="1"/>
    <n v="0.11041472996071611"/>
    <n v="3682"/>
  </r>
  <r>
    <s v="SP126"/>
    <s v="Twitter"/>
    <d v="2024-01-04T00:00:00"/>
    <s v="Story"/>
    <s v="Whatâ€™S Your Vibe Today? #Spotifyhits"/>
    <n v="3208"/>
    <n v="476"/>
    <n v="277"/>
    <n v="56072"/>
    <n v="21061"/>
    <n v="113"/>
    <s v="#Musicforeveryone,#Nowplaying"/>
    <x v="0"/>
    <d v="2025-01-10T00:00:00"/>
    <d v="2025-02-10T00:00:00"/>
    <x v="1"/>
    <n v="7.064131830503638E-2"/>
    <n v="3961"/>
  </r>
  <r>
    <s v="SP127"/>
    <s v="Twitter"/>
    <d v="2024-01-28T00:00:00"/>
    <s v="Text"/>
    <s v="Music That Moves Youâ€”Only On Spotify."/>
    <n v="1456"/>
    <n v="265"/>
    <n v="137"/>
    <n v="53485"/>
    <n v="59729"/>
    <n v="145"/>
    <s v="#Soundtrackoflife"/>
    <x v="1"/>
    <d v="2025-03-01T00:00:00"/>
    <d v="2025-03-31T00:00:00"/>
    <x v="1"/>
    <n v="3.4738711788351875E-2"/>
    <n v="1858"/>
  </r>
  <r>
    <s v="SP128"/>
    <s v="Instagram"/>
    <d v="2024-02-22T00:00:00"/>
    <s v="Text"/>
    <s v="New Music Just Dropped. Hit Play!"/>
    <n v="1902"/>
    <n v="394"/>
    <n v="279"/>
    <n v="24615"/>
    <n v="51330"/>
    <n v="176"/>
    <s v="#Soundtrackoflife,#Nowplaying"/>
    <x v="0"/>
    <d v="2025-01-10T00:00:00"/>
    <d v="2025-02-10T00:00:00"/>
    <x v="1"/>
    <n v="0.10461100954702417"/>
    <n v="2575"/>
  </r>
  <r>
    <s v="SP129"/>
    <s v="Twitter"/>
    <d v="2025-07-01T00:00:00"/>
    <s v="Story"/>
    <s v="Explore The Latest Podcasts Now."/>
    <n v="3219"/>
    <n v="424"/>
    <n v="267"/>
    <n v="48879"/>
    <n v="37691"/>
    <n v="224"/>
    <s v="#Discoverweekly,#Musicforeveryone"/>
    <x v="0"/>
    <d v="2025-01-10T00:00:00"/>
    <d v="2025-02-10T00:00:00"/>
    <x v="0"/>
    <n v="7.9993453221219743E-2"/>
    <n v="3910"/>
  </r>
  <r>
    <s v="SP130"/>
    <s v="Youtube"/>
    <d v="2024-01-10T00:00:00"/>
    <s v="Text"/>
    <s v="Explore The Latest Podcasts Now."/>
    <n v="1261"/>
    <n v="190"/>
    <n v="233"/>
    <n v="59888"/>
    <n v="51449"/>
    <n v="205"/>
    <s v="#Discoverweekly,#Spotifywrapped"/>
    <x v="1"/>
    <d v="2025-03-01T00:00:00"/>
    <d v="2025-03-31T00:00:00"/>
    <x v="1"/>
    <n v="2.811915575741384E-2"/>
    <n v="1684"/>
  </r>
  <r>
    <s v="SP131"/>
    <s v="Twitter"/>
    <d v="2025-03-20T00:00:00"/>
    <s v="Text"/>
    <s v="Your Weekend Playlist Is Waiting."/>
    <n v="1564"/>
    <n v="362"/>
    <n v="371"/>
    <n v="42075"/>
    <n v="66659"/>
    <n v="205"/>
    <s v="#Soundtrackoflife"/>
    <x v="1"/>
    <d v="2025-03-01T00:00:00"/>
    <d v="2025-03-31T00:00:00"/>
    <x v="2"/>
    <n v="5.4592988710635768E-2"/>
    <n v="2297"/>
  </r>
  <r>
    <s v="SP132"/>
    <s v="Twitter"/>
    <d v="2024-09-28T00:00:00"/>
    <s v="Text"/>
    <s v="Whatâ€™S Your Vibe Today? #Spotifyhits"/>
    <n v="4006"/>
    <n v="420"/>
    <n v="194"/>
    <n v="49964"/>
    <n v="20685"/>
    <n v="148"/>
    <s v="#Nowplaying"/>
    <x v="0"/>
    <d v="2025-01-10T00:00:00"/>
    <d v="2025-02-10T00:00:00"/>
    <x v="1"/>
    <n v="9.2466575934672959E-2"/>
    <n v="4620"/>
  </r>
  <r>
    <s v="SP133"/>
    <s v="Youtube"/>
    <d v="2024-01-27T00:00:00"/>
    <s v="Text"/>
    <s v="Your Weekend Playlist Is Waiting."/>
    <n v="1976"/>
    <n v="262"/>
    <n v="218"/>
    <n v="51696"/>
    <n v="44846"/>
    <n v="139"/>
    <s v="#Discoverweekly,#Spotifywrapped"/>
    <x v="1"/>
    <d v="2025-03-01T00:00:00"/>
    <d v="2025-03-31T00:00:00"/>
    <x v="1"/>
    <n v="4.7508511296812134E-2"/>
    <n v="2456"/>
  </r>
  <r>
    <s v="SP134"/>
    <s v="Twitter"/>
    <d v="2025-05-15T00:00:00"/>
    <s v="Text"/>
    <s v="New Music Just Dropped. Hit Play!"/>
    <n v="1583"/>
    <n v="433"/>
    <n v="249"/>
    <n v="30256"/>
    <n v="47066"/>
    <n v="196"/>
    <s v="#Nowplaying"/>
    <x v="0"/>
    <d v="2025-01-10T00:00:00"/>
    <d v="2025-02-10T00:00:00"/>
    <x v="0"/>
    <n v="7.4861184558434685E-2"/>
    <n v="2265"/>
  </r>
  <r>
    <s v="SP135"/>
    <s v="Twitter"/>
    <d v="2024-10-04T00:00:00"/>
    <s v="Story"/>
    <s v="Explore The Latest Podcasts Now."/>
    <n v="2870"/>
    <n v="380"/>
    <n v="393"/>
    <n v="37621"/>
    <n v="71794"/>
    <n v="127"/>
    <s v="#Musicforeveryone,#Nowplaying"/>
    <x v="0"/>
    <d v="2025-01-10T00:00:00"/>
    <d v="2025-02-10T00:00:00"/>
    <x v="1"/>
    <n v="9.6834214933149046E-2"/>
    <n v="3643"/>
  </r>
  <r>
    <s v="SP136"/>
    <s v="Twitter"/>
    <d v="2024-11-19T00:00:00"/>
    <s v="Text"/>
    <s v="Top Trending Tracks Updated Daily!"/>
    <n v="3728"/>
    <n v="271"/>
    <n v="275"/>
    <n v="22827"/>
    <n v="37034"/>
    <n v="199"/>
    <s v="#Nowplaying"/>
    <x v="0"/>
    <d v="2025-01-10T00:00:00"/>
    <d v="2025-02-10T00:00:00"/>
    <x v="1"/>
    <n v="0.18723441538528934"/>
    <n v="4274"/>
  </r>
  <r>
    <s v="SP137"/>
    <s v="Twitter"/>
    <d v="2024-04-05T00:00:00"/>
    <s v="Story"/>
    <s v="New Music Just Dropped. Hit Play!"/>
    <n v="4965"/>
    <n v="175"/>
    <n v="307"/>
    <n v="32793"/>
    <n v="43412"/>
    <n v="296"/>
    <s v="#Soundtrackoflife,#Nowplaying"/>
    <x v="0"/>
    <d v="2025-01-10T00:00:00"/>
    <d v="2025-02-10T00:00:00"/>
    <x v="1"/>
    <n v="0.16610252187966945"/>
    <n v="5447"/>
  </r>
  <r>
    <s v="SP138"/>
    <s v="Twitter"/>
    <d v="2024-11-28T00:00:00"/>
    <s v="Story"/>
    <s v="New Music Just Dropped. Hit Play!"/>
    <n v="1131"/>
    <n v="100"/>
    <n v="116"/>
    <n v="48437"/>
    <n v="72704"/>
    <n v="236"/>
    <s v="#Discoverweekly,#Musicforeveryone"/>
    <x v="0"/>
    <d v="2025-01-10T00:00:00"/>
    <d v="2025-02-10T00:00:00"/>
    <x v="1"/>
    <n v="2.7809319322005904E-2"/>
    <n v="1347"/>
  </r>
  <r>
    <s v="SP139"/>
    <s v="Twitter"/>
    <d v="2025-03-09T00:00:00"/>
    <s v="Text"/>
    <s v="Your Weekend Playlist Is Waiting."/>
    <n v="2754"/>
    <n v="215"/>
    <n v="264"/>
    <n v="27762"/>
    <n v="70203"/>
    <n v="289"/>
    <s v="#Nowplaying"/>
    <x v="0"/>
    <d v="2025-01-10T00:00:00"/>
    <d v="2025-02-10T00:00:00"/>
    <x v="0"/>
    <n v="0.11645414595490239"/>
    <n v="3233"/>
  </r>
  <r>
    <s v="SP140"/>
    <s v="Twitter"/>
    <d v="2024-08-27T00:00:00"/>
    <s v="Story"/>
    <s v="New Music Just Dropped. Hit Play!"/>
    <n v="1856"/>
    <n v="357"/>
    <n v="348"/>
    <n v="29428"/>
    <n v="70206"/>
    <n v="236"/>
    <s v="#Musicforeveryone,#Nowplaying"/>
    <x v="0"/>
    <d v="2025-01-10T00:00:00"/>
    <d v="2025-02-10T00:00:00"/>
    <x v="1"/>
    <n v="8.702596166915863E-2"/>
    <n v="2561"/>
  </r>
  <r>
    <s v="SP141"/>
    <s v="Youtube"/>
    <d v="2024-10-01T00:00:00"/>
    <s v="Reel"/>
    <s v="Explore The Latest Podcasts Now."/>
    <n v="3543"/>
    <n v="334"/>
    <n v="218"/>
    <n v="58007"/>
    <n v="24792"/>
    <n v="273"/>
    <s v="#Discoverweekly,#Soundtrackoflife"/>
    <x v="3"/>
    <d v="2024-06-15T00:00:00"/>
    <d v="2024-07-15T00:00:00"/>
    <x v="0"/>
    <n v="7.0594928198320889E-2"/>
    <n v="4095"/>
  </r>
  <r>
    <s v="SP142"/>
    <s v="Instagram"/>
    <d v="2024-12-21T00:00:00"/>
    <s v="Story"/>
    <s v="New Music Just Dropped. Hit Play!"/>
    <n v="4563"/>
    <n v="398"/>
    <n v="163"/>
    <n v="43679"/>
    <n v="48760"/>
    <n v="92"/>
    <s v="#Nowplaying"/>
    <x v="2"/>
    <d v="2024-12-01T00:00:00"/>
    <d v="2024-12-31T00:00:00"/>
    <x v="2"/>
    <n v="0.11731037798484398"/>
    <n v="5124"/>
  </r>
  <r>
    <s v="SP143"/>
    <s v="Instagram"/>
    <d v="2024-06-17T00:00:00"/>
    <s v="Text"/>
    <s v="Discover Fresh Beats On Spotify!"/>
    <n v="4283"/>
    <n v="471"/>
    <n v="156"/>
    <n v="53004"/>
    <n v="25678"/>
    <n v="105"/>
    <s v="#Discoverweekly"/>
    <x v="1"/>
    <d v="2025-03-01T00:00:00"/>
    <d v="2025-03-31T00:00:00"/>
    <x v="1"/>
    <n v="9.2634518149573616E-2"/>
    <n v="4910"/>
  </r>
  <r>
    <s v="SP144"/>
    <s v="Instagram"/>
    <d v="2025-02-14T00:00:00"/>
    <s v="Text"/>
    <s v="Discover Fresh Beats On Spotify!"/>
    <n v="2329"/>
    <n v="373"/>
    <n v="291"/>
    <n v="49577"/>
    <n v="28002"/>
    <n v="82"/>
    <s v="#Soundtrackoflife,#Nowplaying"/>
    <x v="0"/>
    <d v="2025-01-10T00:00:00"/>
    <d v="2025-02-10T00:00:00"/>
    <x v="0"/>
    <n v="6.0370736430199488E-2"/>
    <n v="2993"/>
  </r>
  <r>
    <s v="SP145"/>
    <s v="Twitter"/>
    <d v="2025-05-28T00:00:00"/>
    <s v="Story"/>
    <s v="Top Trending Tracks Updated Daily!"/>
    <n v="4287"/>
    <n v="273"/>
    <n v="122"/>
    <n v="40792"/>
    <n v="23878"/>
    <n v="277"/>
    <s v="#Musicforeveryone,#Nowplaying"/>
    <x v="0"/>
    <d v="2025-01-10T00:00:00"/>
    <d v="2025-02-10T00:00:00"/>
    <x v="0"/>
    <n v="0.11477740733477153"/>
    <n v="4682"/>
  </r>
  <r>
    <s v="SP146"/>
    <s v="Instagram"/>
    <d v="2025-05-22T00:00:00"/>
    <s v="Text"/>
    <s v="Discover Fresh Beats On Spotify!"/>
    <n v="2633"/>
    <n v="318"/>
    <n v="380"/>
    <n v="40869"/>
    <n v="64474"/>
    <n v="245"/>
    <s v="#Discoverweekly"/>
    <x v="1"/>
    <d v="2025-03-01T00:00:00"/>
    <d v="2025-03-31T00:00:00"/>
    <x v="0"/>
    <n v="8.1504318676747664E-2"/>
    <n v="3331"/>
  </r>
  <r>
    <s v="SP147"/>
    <s v="Twitter"/>
    <d v="2024-01-21T00:00:00"/>
    <s v="Story"/>
    <s v="Discover Fresh Beats On Spotify!"/>
    <n v="2383"/>
    <n v="136"/>
    <n v="302"/>
    <n v="39187"/>
    <n v="22133"/>
    <n v="208"/>
    <s v="#Musicforeveryone,#Nowplaying"/>
    <x v="0"/>
    <d v="2025-01-10T00:00:00"/>
    <d v="2025-02-10T00:00:00"/>
    <x v="1"/>
    <n v="7.1988159338556151E-2"/>
    <n v="2821"/>
  </r>
  <r>
    <s v="SP148"/>
    <s v="Twitter"/>
    <d v="2025-02-08T00:00:00"/>
    <s v="Story"/>
    <s v="Your Weekend Playlist Is Waiting."/>
    <n v="4752"/>
    <n v="334"/>
    <n v="56"/>
    <n v="48017"/>
    <n v="55534"/>
    <n v="270"/>
    <s v="#Discoverweekly,#Musicforeveryone"/>
    <x v="0"/>
    <d v="2025-01-10T00:00:00"/>
    <d v="2025-02-10T00:00:00"/>
    <x v="2"/>
    <n v="0.10708707332819627"/>
    <n v="5142"/>
  </r>
  <r>
    <s v="SP149"/>
    <s v="Twitter"/>
    <d v="2025-04-13T00:00:00"/>
    <s v="Text"/>
    <s v="From Pop To Podcasts, Itâ€™S All Here."/>
    <n v="3890"/>
    <n v="408"/>
    <n v="338"/>
    <n v="56994"/>
    <n v="32621"/>
    <n v="286"/>
    <s v="#Soundtrackoflife"/>
    <x v="1"/>
    <d v="2025-03-01T00:00:00"/>
    <d v="2025-03-31T00:00:00"/>
    <x v="0"/>
    <n v="8.1341895638137346E-2"/>
    <n v="4636"/>
  </r>
  <r>
    <s v="SP150"/>
    <s v="Twitter"/>
    <d v="2024-05-30T00:00:00"/>
    <s v="Story"/>
    <s v="Your Weekend Playlist Is Waiting."/>
    <n v="2311"/>
    <n v="207"/>
    <n v="363"/>
    <n v="30349"/>
    <n v="32925"/>
    <n v="88"/>
    <s v="#Musicforeveryone,#Nowplaying"/>
    <x v="0"/>
    <d v="2025-01-10T00:00:00"/>
    <d v="2025-02-10T00:00:00"/>
    <x v="1"/>
    <n v="9.4928992718046723E-2"/>
    <n v="2881"/>
  </r>
  <r>
    <s v="SP151"/>
    <s v="Instagram"/>
    <d v="2024-08-12T00:00:00"/>
    <s v="Story"/>
    <s v="Discover Fresh Beats On Spotify!"/>
    <n v="2962"/>
    <n v="400"/>
    <n v="280"/>
    <n v="52508"/>
    <n v="58329"/>
    <n v="219"/>
    <s v="#Nowplaying"/>
    <x v="2"/>
    <d v="2024-12-01T00:00:00"/>
    <d v="2024-12-31T00:00:00"/>
    <x v="1"/>
    <n v="6.9360859297630834E-2"/>
    <n v="3642"/>
  </r>
  <r>
    <s v="SP152"/>
    <s v="Instagram"/>
    <d v="2024-09-27T00:00:00"/>
    <s v="Text"/>
    <s v="Discover Fresh Beats On Spotify!"/>
    <n v="3118"/>
    <n v="116"/>
    <n v="195"/>
    <n v="37100"/>
    <n v="62629"/>
    <n v="272"/>
    <s v="#Discoverweekly"/>
    <x v="1"/>
    <d v="2025-03-01T00:00:00"/>
    <d v="2025-03-31T00:00:00"/>
    <x v="1"/>
    <n v="9.2425876010781671E-2"/>
    <n v="3429"/>
  </r>
  <r>
    <s v="SP153"/>
    <s v="Twitter"/>
    <d v="2025-06-11T00:00:00"/>
    <s v="Story"/>
    <s v="Explore The Latest Podcasts Now."/>
    <n v="3805"/>
    <n v="453"/>
    <n v="63"/>
    <n v="52395"/>
    <n v="72934"/>
    <n v="87"/>
    <s v="#Discoverweekly,#Musicforeveryone"/>
    <x v="0"/>
    <d v="2025-01-10T00:00:00"/>
    <d v="2025-02-10T00:00:00"/>
    <x v="0"/>
    <n v="8.2469701307376658E-2"/>
    <n v="4321"/>
  </r>
  <r>
    <s v="SP154"/>
    <s v="Instagram"/>
    <d v="2024-11-19T00:00:00"/>
    <s v="Text"/>
    <s v="Whatâ€™S Your Vibe Today? #Spotifyhits"/>
    <n v="2525"/>
    <n v="272"/>
    <n v="294"/>
    <n v="51875"/>
    <n v="24732"/>
    <n v="92"/>
    <s v="#Discoverweekly"/>
    <x v="1"/>
    <d v="2025-03-01T00:00:00"/>
    <d v="2025-03-31T00:00:00"/>
    <x v="1"/>
    <n v="5.9585542168674697E-2"/>
    <n v="3091"/>
  </r>
  <r>
    <s v="SP155"/>
    <s v="Instagram"/>
    <d v="2024-04-25T00:00:00"/>
    <s v="Text"/>
    <s v="Music That Moves Youâ€”Only On Spotify."/>
    <n v="3563"/>
    <n v="483"/>
    <n v="227"/>
    <n v="41085"/>
    <n v="26393"/>
    <n v="236"/>
    <s v="#Soundtrackoflife,#Nowplaying"/>
    <x v="0"/>
    <d v="2025-01-10T00:00:00"/>
    <d v="2025-02-10T00:00:00"/>
    <x v="1"/>
    <n v="0.10400389436534015"/>
    <n v="4273"/>
  </r>
  <r>
    <s v="SP156"/>
    <s v="Youtube"/>
    <d v="2024-09-03T00:00:00"/>
    <s v="Reel"/>
    <s v="Whatâ€™S Your Vibe Today? #Spotifyhits"/>
    <n v="1437"/>
    <n v="494"/>
    <n v="129"/>
    <n v="53048"/>
    <n v="44090"/>
    <n v="230"/>
    <s v="#Discoverweekly,#Soundtrackoflife"/>
    <x v="3"/>
    <d v="2024-06-15T00:00:00"/>
    <d v="2024-07-15T00:00:00"/>
    <x v="0"/>
    <n v="3.8832755240536872E-2"/>
    <n v="2060"/>
  </r>
  <r>
    <s v="SP157"/>
    <s v="Youtube"/>
    <d v="2025-03-02T00:00:00"/>
    <s v="Text"/>
    <s v="From Pop To Podcasts, Itâ€™S All Here."/>
    <n v="4425"/>
    <n v="185"/>
    <n v="162"/>
    <n v="24610"/>
    <n v="21342"/>
    <n v="158"/>
    <s v="#Discoverweekly,#Spotifywrapped"/>
    <x v="1"/>
    <d v="2025-03-01T00:00:00"/>
    <d v="2025-03-31T00:00:00"/>
    <x v="2"/>
    <n v="0.19390491670052823"/>
    <n v="4772"/>
  </r>
  <r>
    <s v="SP158"/>
    <s v="Twitter"/>
    <d v="2025-03-21T00:00:00"/>
    <s v="Story"/>
    <s v="New Music Just Dropped. Hit Play!"/>
    <n v="4609"/>
    <n v="427"/>
    <n v="395"/>
    <n v="33698"/>
    <n v="29259"/>
    <n v="216"/>
    <s v="#Discoverweekly,#Musicforeveryone"/>
    <x v="0"/>
    <d v="2025-01-10T00:00:00"/>
    <d v="2025-02-10T00:00:00"/>
    <x v="0"/>
    <n v="0.16116683482699271"/>
    <n v="5431"/>
  </r>
  <r>
    <s v="SP159"/>
    <s v="Instagram"/>
    <d v="2024-04-12T00:00:00"/>
    <s v="Story"/>
    <s v="Get Into The Groove With Our New Drop!"/>
    <n v="1558"/>
    <n v="352"/>
    <n v="202"/>
    <n v="25405"/>
    <n v="69941"/>
    <n v="219"/>
    <s v="#Nowplaying"/>
    <x v="2"/>
    <d v="2024-12-01T00:00:00"/>
    <d v="2024-12-31T00:00:00"/>
    <x v="1"/>
    <n v="8.3133241487896081E-2"/>
    <n v="2112"/>
  </r>
  <r>
    <s v="SP160"/>
    <s v="Youtube"/>
    <d v="2024-02-08T00:00:00"/>
    <s v="Reel"/>
    <s v="Top Trending Tracks Updated Daily!"/>
    <n v="1889"/>
    <n v="298"/>
    <n v="122"/>
    <n v="46225"/>
    <n v="74305"/>
    <n v="293"/>
    <s v="#Discoverweekly,#Soundtrackoflife"/>
    <x v="3"/>
    <d v="2024-06-15T00:00:00"/>
    <d v="2024-07-15T00:00:00"/>
    <x v="1"/>
    <n v="4.9951325040562468E-2"/>
    <n v="2309"/>
  </r>
  <r>
    <s v="SP161"/>
    <s v="Instagram"/>
    <d v="2025-05-26T00:00:00"/>
    <s v="Text"/>
    <s v="Discover Fresh Beats On Spotify!"/>
    <n v="3086"/>
    <n v="148"/>
    <n v="310"/>
    <n v="22824"/>
    <n v="58103"/>
    <n v="275"/>
    <s v="#Discoverweekly"/>
    <x v="1"/>
    <d v="2025-03-01T00:00:00"/>
    <d v="2025-03-31T00:00:00"/>
    <x v="0"/>
    <n v="0.1552751489660007"/>
    <n v="3544"/>
  </r>
  <r>
    <s v="SP162"/>
    <s v="Instagram"/>
    <d v="2024-11-14T00:00:00"/>
    <s v="Text"/>
    <s v="Music That Moves Youâ€”Only On Spotify."/>
    <n v="2422"/>
    <n v="318"/>
    <n v="118"/>
    <n v="25386"/>
    <n v="20873"/>
    <n v="100"/>
    <s v="#Soundtrackoflife,#Nowplaying"/>
    <x v="0"/>
    <d v="2025-01-10T00:00:00"/>
    <d v="2025-02-10T00:00:00"/>
    <x v="1"/>
    <n v="0.11258173796580792"/>
    <n v="2858"/>
  </r>
  <r>
    <s v="SP163"/>
    <s v="Youtube"/>
    <d v="2024-08-09T00:00:00"/>
    <s v="Reel"/>
    <s v="From Pop To Podcasts, Itâ€™S All Here."/>
    <n v="3414"/>
    <n v="154"/>
    <n v="204"/>
    <n v="34146"/>
    <n v="44633"/>
    <n v="256"/>
    <s v="#Discoverweekly,#Soundtrackoflife"/>
    <x v="3"/>
    <d v="2024-06-15T00:00:00"/>
    <d v="2024-07-15T00:00:00"/>
    <x v="0"/>
    <n v="0.11046681895390383"/>
    <n v="3772"/>
  </r>
  <r>
    <s v="SP164"/>
    <s v="Instagram"/>
    <d v="2025-06-27T00:00:00"/>
    <s v="Story"/>
    <s v="Whatâ€™S Your Vibe Today? #Spotifyhits"/>
    <n v="1342"/>
    <n v="332"/>
    <n v="163"/>
    <n v="51712"/>
    <n v="57922"/>
    <n v="168"/>
    <s v="#Nowplaying"/>
    <x v="2"/>
    <d v="2024-12-01T00:00:00"/>
    <d v="2024-12-31T00:00:00"/>
    <x v="0"/>
    <n v="3.5523669554455448E-2"/>
    <n v="1837"/>
  </r>
  <r>
    <s v="SP165"/>
    <s v="Instagram"/>
    <d v="2024-05-08T00:00:00"/>
    <s v="Story"/>
    <s v="Music That Moves Youâ€”Only On Spotify."/>
    <n v="2414"/>
    <n v="220"/>
    <n v="280"/>
    <n v="27355"/>
    <n v="50562"/>
    <n v="258"/>
    <s v="#Nowplaying"/>
    <x v="2"/>
    <d v="2024-12-01T00:00:00"/>
    <d v="2024-12-31T00:00:00"/>
    <x v="1"/>
    <n v="0.10652531529884847"/>
    <n v="2914"/>
  </r>
  <r>
    <s v="SP166"/>
    <s v="Instagram"/>
    <d v="2024-04-05T00:00:00"/>
    <s v="Text"/>
    <s v="New Music Just Dropped. Hit Play!"/>
    <n v="4383"/>
    <n v="352"/>
    <n v="176"/>
    <n v="53239"/>
    <n v="34168"/>
    <n v="288"/>
    <s v="#Discoverweekly"/>
    <x v="1"/>
    <d v="2025-03-01T00:00:00"/>
    <d v="2025-03-31T00:00:00"/>
    <x v="1"/>
    <n v="9.2244407295403744E-2"/>
    <n v="4911"/>
  </r>
  <r>
    <s v="SP167"/>
    <s v="Youtube"/>
    <d v="2025-01-27T00:00:00"/>
    <s v="Text"/>
    <s v="Wrapped Is Here! Relive Your Top Tracks Ðÿž§"/>
    <n v="4294"/>
    <n v="423"/>
    <n v="93"/>
    <n v="29828"/>
    <n v="73144"/>
    <n v="298"/>
    <s v="#Discoverweekly,#Spotifywrapped"/>
    <x v="1"/>
    <d v="2025-03-01T00:00:00"/>
    <d v="2025-03-31T00:00:00"/>
    <x v="1"/>
    <n v="0.1612578785034196"/>
    <n v="4810"/>
  </r>
  <r>
    <s v="SP168"/>
    <s v="Instagram"/>
    <d v="2024-04-03T00:00:00"/>
    <s v="Text"/>
    <s v="Top Trending Tracks Updated Daily!"/>
    <n v="2762"/>
    <n v="339"/>
    <n v="323"/>
    <n v="33757"/>
    <n v="68511"/>
    <n v="121"/>
    <s v="#Soundtrackoflife,#Nowplaying"/>
    <x v="0"/>
    <d v="2025-01-10T00:00:00"/>
    <d v="2025-02-10T00:00:00"/>
    <x v="1"/>
    <n v="0.10143081434961637"/>
    <n v="3424"/>
  </r>
  <r>
    <s v="SP169"/>
    <s v="Youtube"/>
    <d v="2025-01-03T00:00:00"/>
    <s v="Text"/>
    <s v="New Music Just Dropped. Hit Play!"/>
    <n v="3782"/>
    <n v="484"/>
    <n v="144"/>
    <n v="52172"/>
    <n v="59386"/>
    <n v="175"/>
    <s v="#Discoverweekly,#Spotifywrapped"/>
    <x v="1"/>
    <d v="2025-03-01T00:00:00"/>
    <d v="2025-03-31T00:00:00"/>
    <x v="1"/>
    <n v="8.4528099363643333E-2"/>
    <n v="4410"/>
  </r>
  <r>
    <s v="SP170"/>
    <s v="Twitter"/>
    <d v="2024-11-23T00:00:00"/>
    <s v="Text"/>
    <s v="New Music Just Dropped. Hit Play!"/>
    <n v="4318"/>
    <n v="371"/>
    <n v="329"/>
    <n v="32347"/>
    <n v="68956"/>
    <n v="259"/>
    <s v="#Soundtrackoflife"/>
    <x v="1"/>
    <d v="2025-03-01T00:00:00"/>
    <d v="2025-03-31T00:00:00"/>
    <x v="1"/>
    <n v="0.15513030574705536"/>
    <n v="5018"/>
  </r>
  <r>
    <s v="SP171"/>
    <s v="Instagram"/>
    <d v="2024-09-01T00:00:00"/>
    <s v="Story"/>
    <s v="Wrapped Is Here! Relive Your Top Tracks Ðÿž§"/>
    <n v="2335"/>
    <n v="150"/>
    <n v="75"/>
    <n v="26114"/>
    <n v="57549"/>
    <n v="135"/>
    <s v="#Nowplaying"/>
    <x v="2"/>
    <d v="2024-12-01T00:00:00"/>
    <d v="2024-12-31T00:00:00"/>
    <x v="1"/>
    <n v="9.8031707130274953E-2"/>
    <n v="2560"/>
  </r>
  <r>
    <s v="SP172"/>
    <s v="Youtube"/>
    <d v="2024-04-18T00:00:00"/>
    <s v="Text"/>
    <s v="Explore The Latest Podcasts Now."/>
    <n v="4023"/>
    <n v="293"/>
    <n v="91"/>
    <n v="26795"/>
    <n v="28924"/>
    <n v="278"/>
    <s v="#Discoverweekly,#Spotifywrapped"/>
    <x v="1"/>
    <d v="2025-03-01T00:00:00"/>
    <d v="2025-03-31T00:00:00"/>
    <x v="1"/>
    <n v="0.16447098339242397"/>
    <n v="4407"/>
  </r>
  <r>
    <s v="SP173"/>
    <s v="Instagram"/>
    <d v="2024-06-04T00:00:00"/>
    <s v="Text"/>
    <s v="Get Into The Groove With Our New Drop!"/>
    <n v="3948"/>
    <n v="151"/>
    <n v="249"/>
    <n v="43147"/>
    <n v="63136"/>
    <n v="230"/>
    <s v="#Discoverweekly"/>
    <x v="1"/>
    <d v="2025-03-01T00:00:00"/>
    <d v="2025-03-31T00:00:00"/>
    <x v="1"/>
    <n v="0.10077178019329269"/>
    <n v="4348"/>
  </r>
  <r>
    <s v="SP174"/>
    <s v="Youtube"/>
    <d v="2025-04-02T00:00:00"/>
    <s v="Text"/>
    <s v="Wrapped Is Here! Relive Your Top Tracks Ðÿž§"/>
    <n v="4598"/>
    <n v="455"/>
    <n v="378"/>
    <n v="52952"/>
    <n v="58504"/>
    <n v="269"/>
    <s v="#Discoverweekly,#Spotifywrapped"/>
    <x v="1"/>
    <d v="2025-03-01T00:00:00"/>
    <d v="2025-03-31T00:00:00"/>
    <x v="0"/>
    <n v="0.10256458679558846"/>
    <n v="5431"/>
  </r>
  <r>
    <s v="SP175"/>
    <s v="Twitter"/>
    <d v="2025-04-01T00:00:00"/>
    <s v="Story"/>
    <s v="Music That Moves Youâ€”Only On Spotify."/>
    <n v="2665"/>
    <n v="143"/>
    <n v="315"/>
    <n v="54808"/>
    <n v="29818"/>
    <n v="98"/>
    <s v="#Discoverweekly,#Musicforeveryone"/>
    <x v="0"/>
    <d v="2025-01-10T00:00:00"/>
    <d v="2025-02-10T00:00:00"/>
    <x v="0"/>
    <n v="5.6980732739746021E-2"/>
    <n v="3123"/>
  </r>
  <r>
    <s v="SP176"/>
    <s v="Instagram"/>
    <d v="2024-07-02T00:00:00"/>
    <s v="Text"/>
    <s v="Top Trending Tracks Updated Daily!"/>
    <n v="3469"/>
    <n v="371"/>
    <n v="76"/>
    <n v="46493"/>
    <n v="26906"/>
    <n v="150"/>
    <s v="#Soundtrackoflife,#Nowplaying"/>
    <x v="0"/>
    <d v="2025-01-10T00:00:00"/>
    <d v="2025-02-10T00:00:00"/>
    <x v="1"/>
    <n v="8.4227733207149463E-2"/>
    <n v="3916"/>
  </r>
  <r>
    <s v="SP177"/>
    <s v="Twitter"/>
    <d v="2024-11-10T00:00:00"/>
    <s v="Text"/>
    <s v="Explore The Latest Podcasts Now."/>
    <n v="4823"/>
    <n v="489"/>
    <n v="302"/>
    <n v="32470"/>
    <n v="31861"/>
    <n v="178"/>
    <s v="#Soundtrackoflife"/>
    <x v="1"/>
    <d v="2025-03-01T00:00:00"/>
    <d v="2025-03-31T00:00:00"/>
    <x v="1"/>
    <n v="0.1728980597474592"/>
    <n v="5614"/>
  </r>
  <r>
    <s v="SP178"/>
    <s v="Instagram"/>
    <d v="2024-12-14T00:00:00"/>
    <s v="Story"/>
    <s v="From Pop To Podcasts, Itâ€™S All Here."/>
    <n v="3812"/>
    <n v="321"/>
    <n v="289"/>
    <n v="59838"/>
    <n v="36337"/>
    <n v="161"/>
    <s v="#Nowplaying"/>
    <x v="2"/>
    <d v="2024-12-01T00:00:00"/>
    <d v="2024-12-31T00:00:00"/>
    <x v="2"/>
    <n v="7.3899528727564417E-2"/>
    <n v="4422"/>
  </r>
  <r>
    <s v="SP179"/>
    <s v="Twitter"/>
    <d v="2024-11-19T00:00:00"/>
    <s v="Text"/>
    <s v="Explore The Latest Podcasts Now."/>
    <n v="2387"/>
    <n v="353"/>
    <n v="78"/>
    <n v="39745"/>
    <n v="69226"/>
    <n v="208"/>
    <s v="#Soundtrackoflife"/>
    <x v="1"/>
    <d v="2025-03-01T00:00:00"/>
    <d v="2025-03-31T00:00:00"/>
    <x v="1"/>
    <n v="7.090200025160398E-2"/>
    <n v="2818"/>
  </r>
  <r>
    <s v="SP180"/>
    <s v="Twitter"/>
    <d v="2025-04-30T00:00:00"/>
    <s v="Story"/>
    <s v="Wrapped Is Here! Relive Your Top Tracks Ðÿž§"/>
    <n v="3929"/>
    <n v="275"/>
    <n v="330"/>
    <n v="58329"/>
    <n v="33196"/>
    <n v="85"/>
    <s v="#Musicforeveryone,#Nowplaying"/>
    <x v="0"/>
    <d v="2025-01-10T00:00:00"/>
    <d v="2025-02-10T00:00:00"/>
    <x v="0"/>
    <n v="7.7731488624869283E-2"/>
    <n v="4534"/>
  </r>
  <r>
    <s v="SP181"/>
    <s v="Twitter"/>
    <d v="2024-03-19T00:00:00"/>
    <s v="Text"/>
    <s v="From Pop To Podcasts, Itâ€™S All Here."/>
    <n v="2191"/>
    <n v="288"/>
    <n v="83"/>
    <n v="59606"/>
    <n v="24765"/>
    <n v="281"/>
    <s v="#Soundtrackoflife"/>
    <x v="1"/>
    <d v="2025-03-01T00:00:00"/>
    <d v="2025-03-31T00:00:00"/>
    <x v="1"/>
    <n v="4.2982250109049422E-2"/>
    <n v="2562"/>
  </r>
  <r>
    <s v="SP182"/>
    <s v="Instagram"/>
    <d v="2024-03-19T00:00:00"/>
    <s v="Text"/>
    <s v="From Pop To Podcasts, Itâ€™S All Here."/>
    <n v="2878"/>
    <n v="278"/>
    <n v="255"/>
    <n v="47235"/>
    <n v="57922"/>
    <n v="112"/>
    <s v="#Soundtrackoflife,#Nowplaying"/>
    <x v="0"/>
    <d v="2025-01-10T00:00:00"/>
    <d v="2025-02-10T00:00:00"/>
    <x v="1"/>
    <n v="7.2213401079707848E-2"/>
    <n v="3411"/>
  </r>
  <r>
    <s v="SP183"/>
    <s v="Twitter"/>
    <d v="2024-07-23T00:00:00"/>
    <s v="Text"/>
    <s v="Top Trending Tracks Updated Daily!"/>
    <n v="3204"/>
    <n v="398"/>
    <n v="85"/>
    <n v="22020"/>
    <n v="58353"/>
    <n v="286"/>
    <s v="#Soundtrackoflife"/>
    <x v="1"/>
    <d v="2025-03-01T00:00:00"/>
    <d v="2025-03-31T00:00:00"/>
    <x v="1"/>
    <n v="0.16743869209809265"/>
    <n v="3687"/>
  </r>
  <r>
    <s v="SP184"/>
    <s v="Twitter"/>
    <d v="2024-07-13T00:00:00"/>
    <s v="Story"/>
    <s v="Get Into The Groove With Our New Drop!"/>
    <n v="2408"/>
    <n v="323"/>
    <n v="251"/>
    <n v="47599"/>
    <n v="35543"/>
    <n v="287"/>
    <s v="#Musicforeveryone,#Nowplaying"/>
    <x v="0"/>
    <d v="2025-01-10T00:00:00"/>
    <d v="2025-02-10T00:00:00"/>
    <x v="1"/>
    <n v="6.2648374965860634E-2"/>
    <n v="2982"/>
  </r>
  <r>
    <s v="SP185"/>
    <s v="Youtube"/>
    <d v="2025-04-22T00:00:00"/>
    <s v="Reel"/>
    <s v="New Music Just Dropped. Hit Play!"/>
    <n v="2733"/>
    <n v="297"/>
    <n v="235"/>
    <n v="37980"/>
    <n v="33058"/>
    <n v="219"/>
    <s v="#Discoverweekly,#Soundtrackoflife"/>
    <x v="3"/>
    <d v="2024-06-15T00:00:00"/>
    <d v="2024-07-15T00:00:00"/>
    <x v="0"/>
    <n v="8.5966298051606105E-2"/>
    <n v="3265"/>
  </r>
  <r>
    <s v="SP186"/>
    <s v="Twitter"/>
    <d v="2024-06-16T00:00:00"/>
    <s v="Story"/>
    <s v="Explore The Latest Podcasts Now."/>
    <n v="4618"/>
    <n v="312"/>
    <n v="254"/>
    <n v="22571"/>
    <n v="29453"/>
    <n v="197"/>
    <s v="#Musicforeveryone,#Nowplaying"/>
    <x v="0"/>
    <d v="2025-01-10T00:00:00"/>
    <d v="2025-02-10T00:00:00"/>
    <x v="1"/>
    <n v="0.22967524699836073"/>
    <n v="5184"/>
  </r>
  <r>
    <s v="SP187"/>
    <s v="Youtube"/>
    <d v="2025-05-18T00:00:00"/>
    <s v="Reel"/>
    <s v="Wrapped Is Here! Relive Your Top Tracks Ðÿž§"/>
    <n v="4210"/>
    <n v="319"/>
    <n v="350"/>
    <n v="37762"/>
    <n v="55162"/>
    <n v="204"/>
    <s v="#Discoverweekly,#Soundtrackoflife"/>
    <x v="3"/>
    <d v="2024-06-15T00:00:00"/>
    <d v="2024-07-15T00:00:00"/>
    <x v="0"/>
    <n v="0.12920396165457337"/>
    <n v="4879"/>
  </r>
  <r>
    <s v="SP188"/>
    <s v="Instagram"/>
    <d v="2025-06-06T00:00:00"/>
    <s v="Text"/>
    <s v="Wrapped Is Here! Relive Your Top Tracks Ðÿž§"/>
    <n v="3987"/>
    <n v="171"/>
    <n v="274"/>
    <n v="45122"/>
    <n v="65431"/>
    <n v="168"/>
    <s v="#Discoverweekly"/>
    <x v="1"/>
    <d v="2025-03-01T00:00:00"/>
    <d v="2025-03-31T00:00:00"/>
    <x v="0"/>
    <n v="9.8222596516111871E-2"/>
    <n v="4432"/>
  </r>
  <r>
    <s v="SP189"/>
    <s v="Youtube"/>
    <d v="2025-02-20T00:00:00"/>
    <s v="Reel"/>
    <s v="Get Into The Groove With Our New Drop!"/>
    <n v="4957"/>
    <n v="262"/>
    <n v="365"/>
    <n v="49199"/>
    <n v="40314"/>
    <n v="216"/>
    <s v="#Discoverweekly,#Soundtrackoflife"/>
    <x v="3"/>
    <d v="2024-06-15T00:00:00"/>
    <d v="2024-07-15T00:00:00"/>
    <x v="0"/>
    <n v="0.11349824183418362"/>
    <n v="5584"/>
  </r>
  <r>
    <s v="SP190"/>
    <s v="Instagram"/>
    <d v="2025-01-16T00:00:00"/>
    <s v="Text"/>
    <s v="Music That Moves Youâ€”Only On Spotify."/>
    <n v="2605"/>
    <n v="282"/>
    <n v="148"/>
    <n v="32201"/>
    <n v="49583"/>
    <n v="241"/>
    <s v="#Soundtrackoflife,#Nowplaying"/>
    <x v="0"/>
    <d v="2025-01-10T00:00:00"/>
    <d v="2025-02-10T00:00:00"/>
    <x v="2"/>
    <n v="9.4251731312692155E-2"/>
    <n v="3035"/>
  </r>
  <r>
    <s v="SP191"/>
    <s v="Youtube"/>
    <d v="2024-02-24T00:00:00"/>
    <s v="Reel"/>
    <s v="Discover Fresh Beats On Spotify!"/>
    <n v="4221"/>
    <n v="307"/>
    <n v="58"/>
    <n v="45080"/>
    <n v="37214"/>
    <n v="240"/>
    <s v="#Discoverweekly,#Soundtrackoflife"/>
    <x v="3"/>
    <d v="2024-06-15T00:00:00"/>
    <d v="2024-07-15T00:00:00"/>
    <x v="1"/>
    <n v="0.10173025732031943"/>
    <n v="4586"/>
  </r>
  <r>
    <s v="SP192"/>
    <s v="Twitter"/>
    <d v="2024-09-16T00:00:00"/>
    <s v="Story"/>
    <s v="Whatâ€™S Your Vibe Today? #Spotifyhits"/>
    <n v="4422"/>
    <n v="434"/>
    <n v="156"/>
    <n v="56165"/>
    <n v="52431"/>
    <n v="173"/>
    <s v="#Discoverweekly,#Musicforeveryone"/>
    <x v="0"/>
    <d v="2025-01-10T00:00:00"/>
    <d v="2025-02-10T00:00:00"/>
    <x v="1"/>
    <n v="8.9237069349238848E-2"/>
    <n v="5012"/>
  </r>
  <r>
    <s v="SP193"/>
    <s v="Youtube"/>
    <d v="2024-06-04T00:00:00"/>
    <s v="Reel"/>
    <s v="Wrapped Is Here! Relive Your Top Tracks Ðÿž§"/>
    <n v="1211"/>
    <n v="431"/>
    <n v="83"/>
    <n v="26532"/>
    <n v="47305"/>
    <n v="232"/>
    <s v="#Discoverweekly,#Soundtrackoflife"/>
    <x v="3"/>
    <d v="2024-06-15T00:00:00"/>
    <d v="2024-07-15T00:00:00"/>
    <x v="1"/>
    <n v="6.5015829941203071E-2"/>
    <n v="1725"/>
  </r>
  <r>
    <s v="SP194"/>
    <s v="Twitter"/>
    <d v="2024-05-10T00:00:00"/>
    <s v="Story"/>
    <s v="Explore The Latest Podcasts Now."/>
    <n v="2784"/>
    <n v="111"/>
    <n v="399"/>
    <n v="58366"/>
    <n v="69512"/>
    <n v="269"/>
    <s v="#Musicforeveryone,#Nowplaying"/>
    <x v="0"/>
    <d v="2025-01-10T00:00:00"/>
    <d v="2025-02-10T00:00:00"/>
    <x v="1"/>
    <n v="5.6436966727204191E-2"/>
    <n v="3294"/>
  </r>
  <r>
    <s v="SP195"/>
    <s v="Youtube"/>
    <d v="2024-01-14T00:00:00"/>
    <s v="Text"/>
    <s v="New Music Just Dropped. Hit Play!"/>
    <n v="3634"/>
    <n v="280"/>
    <n v="399"/>
    <n v="40256"/>
    <n v="52605"/>
    <n v="213"/>
    <s v="#Discoverweekly,#Spotifywrapped"/>
    <x v="1"/>
    <d v="2025-03-01T00:00:00"/>
    <d v="2025-03-31T00:00:00"/>
    <x v="1"/>
    <n v="0.10713930842607314"/>
    <n v="4313"/>
  </r>
  <r>
    <s v="SP196"/>
    <s v="Instagram"/>
    <d v="2025-01-12T00:00:00"/>
    <s v="Text"/>
    <s v="From Pop To Podcasts, Itâ€™S All Here."/>
    <n v="1771"/>
    <n v="487"/>
    <n v="272"/>
    <n v="48810"/>
    <n v="48084"/>
    <n v="272"/>
    <s v="#Soundtrackoflife,#Nowplaying"/>
    <x v="0"/>
    <d v="2025-01-10T00:00:00"/>
    <d v="2025-02-10T00:00:00"/>
    <x v="2"/>
    <n v="5.1833640647408315E-2"/>
    <n v="2530"/>
  </r>
  <r>
    <s v="SP197"/>
    <s v="Youtube"/>
    <d v="2024-12-08T00:00:00"/>
    <s v="Text"/>
    <s v="Top Trending Tracks Updated Daily!"/>
    <n v="1424"/>
    <n v="396"/>
    <n v="312"/>
    <n v="59517"/>
    <n v="46102"/>
    <n v="239"/>
    <s v="#Discoverweekly,#Spotifywrapped"/>
    <x v="1"/>
    <d v="2025-03-01T00:00:00"/>
    <d v="2025-03-31T00:00:00"/>
    <x v="1"/>
    <n v="3.5821698002251455E-2"/>
    <n v="2132"/>
  </r>
  <r>
    <s v="SP198"/>
    <s v="Twitter"/>
    <d v="2025-02-01T00:00:00"/>
    <s v="Story"/>
    <s v="Top Trending Tracks Updated Daily!"/>
    <n v="1079"/>
    <n v="265"/>
    <n v="190"/>
    <n v="43786"/>
    <n v="72428"/>
    <n v="222"/>
    <s v="#Soundtrackoflife,#Nowplaying"/>
    <x v="0"/>
    <d v="2025-01-10T00:00:00"/>
    <d v="2025-02-10T00:00:00"/>
    <x v="2"/>
    <n v="3.5034029141734799E-2"/>
    <n v="1534"/>
  </r>
  <r>
    <s v="SP199"/>
    <s v="Twitter"/>
    <d v="2024-07-11T00:00:00"/>
    <s v="Story"/>
    <s v="Get Into The Groove With Our New Drop!"/>
    <n v="4247"/>
    <n v="179"/>
    <n v="175"/>
    <n v="32991"/>
    <n v="70120"/>
    <n v="276"/>
    <s v="#Soundtrackoflife,#Nowplaying"/>
    <x v="0"/>
    <d v="2025-01-10T00:00:00"/>
    <d v="2025-02-10T00:00:00"/>
    <x v="1"/>
    <n v="0.13946227759085811"/>
    <n v="4601"/>
  </r>
  <r>
    <s v="SP200"/>
    <s v="Twitter"/>
    <d v="2024-03-18T00:00:00"/>
    <s v="Text"/>
    <s v="New Music Just Dropped. Hit Play!"/>
    <n v="2033"/>
    <n v="420"/>
    <n v="94"/>
    <n v="56290"/>
    <n v="57391"/>
    <n v="196"/>
    <s v="#Nowplaying"/>
    <x v="0"/>
    <d v="2025-01-10T00:00:00"/>
    <d v="2025-02-10T00:00:00"/>
    <x v="1"/>
    <n v="4.5247823769763724E-2"/>
    <n v="2547"/>
  </r>
  <r>
    <s v="SP201"/>
    <s v="Twitter"/>
    <d v="2024-09-12T00:00:00"/>
    <s v="Story"/>
    <s v="Wrapped Is Here! Relive Your Top Tracks Ðÿž§"/>
    <n v="1839"/>
    <n v="223"/>
    <n v="171"/>
    <n v="35459"/>
    <n v="69988"/>
    <n v="114"/>
    <s v="#Musicforeveryone,#Nowplaying"/>
    <x v="0"/>
    <d v="2025-01-10T00:00:00"/>
    <d v="2025-02-10T00:00:00"/>
    <x v="1"/>
    <n v="6.2974139146620034E-2"/>
    <n v="2233"/>
  </r>
  <r>
    <s v="SP202"/>
    <s v="Twitter"/>
    <d v="2024-01-11T00:00:00"/>
    <s v="Story"/>
    <s v="Wrapped Is Here! Relive Your Top Tracks Ðÿž§"/>
    <n v="2340"/>
    <n v="141"/>
    <n v="206"/>
    <n v="24916"/>
    <n v="30582"/>
    <n v="157"/>
    <s v="#Soundtrackoflife,#Nowplaying"/>
    <x v="0"/>
    <d v="2025-01-10T00:00:00"/>
    <d v="2025-02-10T00:00:00"/>
    <x v="1"/>
    <n v="0.10784235029699792"/>
    <n v="2687"/>
  </r>
  <r>
    <s v="SP203"/>
    <s v="Instagram"/>
    <d v="2024-10-06T00:00:00"/>
    <s v="Text"/>
    <s v="Top Trending Tracks Updated Daily!"/>
    <n v="2080"/>
    <n v="389"/>
    <n v="92"/>
    <n v="30971"/>
    <n v="25347"/>
    <n v="111"/>
    <s v="#Discoverweekly"/>
    <x v="1"/>
    <d v="2025-03-01T00:00:00"/>
    <d v="2025-03-31T00:00:00"/>
    <x v="1"/>
    <n v="8.2690258629040073E-2"/>
    <n v="2561"/>
  </r>
  <r>
    <s v="SP204"/>
    <s v="Twitter"/>
    <d v="2024-12-30T00:00:00"/>
    <s v="Text"/>
    <s v="Get Into The Groove With Our New Drop!"/>
    <n v="4214"/>
    <n v="286"/>
    <n v="127"/>
    <n v="47293"/>
    <n v="27184"/>
    <n v="232"/>
    <s v="#Nowplaying"/>
    <x v="0"/>
    <d v="2025-01-10T00:00:00"/>
    <d v="2025-02-10T00:00:00"/>
    <x v="1"/>
    <n v="9.7836889180216949E-2"/>
    <n v="4627"/>
  </r>
  <r>
    <s v="SP205"/>
    <s v="Twitter"/>
    <d v="2025-04-16T00:00:00"/>
    <s v="Text"/>
    <s v="Wrapped Is Here! Relive Your Top Tracks Ðÿž§"/>
    <n v="3792"/>
    <n v="315"/>
    <n v="120"/>
    <n v="54592"/>
    <n v="67886"/>
    <n v="117"/>
    <s v="#Soundtrackoflife"/>
    <x v="1"/>
    <d v="2025-03-01T00:00:00"/>
    <d v="2025-03-31T00:00:00"/>
    <x v="0"/>
    <n v="7.7428927315357568E-2"/>
    <n v="4227"/>
  </r>
  <r>
    <s v="SP206"/>
    <s v="Twitter"/>
    <d v="2024-08-21T00:00:00"/>
    <s v="Story"/>
    <s v="Explore The Latest Podcasts Now."/>
    <n v="3989"/>
    <n v="476"/>
    <n v="128"/>
    <n v="57569"/>
    <n v="40193"/>
    <n v="222"/>
    <s v="#Discoverweekly,#Musicforeveryone"/>
    <x v="0"/>
    <d v="2025-01-10T00:00:00"/>
    <d v="2025-02-10T00:00:00"/>
    <x v="1"/>
    <n v="7.9782521843353188E-2"/>
    <n v="4593"/>
  </r>
  <r>
    <s v="SP207"/>
    <s v="Twitter"/>
    <d v="2024-04-05T00:00:00"/>
    <s v="Story"/>
    <s v="Wrapped Is Here! Relive Your Top Tracks Ðÿž§"/>
    <n v="2857"/>
    <n v="443"/>
    <n v="359"/>
    <n v="51519"/>
    <n v="28256"/>
    <n v="155"/>
    <s v="#Soundtrackoflife,#Nowplaying"/>
    <x v="0"/>
    <d v="2025-01-10T00:00:00"/>
    <d v="2025-02-10T00:00:00"/>
    <x v="1"/>
    <n v="7.1022341272152026E-2"/>
    <n v="3659"/>
  </r>
  <r>
    <s v="SP208"/>
    <s v="Twitter"/>
    <d v="2025-04-07T00:00:00"/>
    <s v="Text"/>
    <s v="From Pop To Podcasts, Itâ€™S All Here."/>
    <n v="1403"/>
    <n v="385"/>
    <n v="344"/>
    <n v="54223"/>
    <n v="72595"/>
    <n v="239"/>
    <s v="#Soundtrackoflife"/>
    <x v="1"/>
    <d v="2025-03-01T00:00:00"/>
    <d v="2025-03-31T00:00:00"/>
    <x v="0"/>
    <n v="3.9319108127547353E-2"/>
    <n v="2132"/>
  </r>
  <r>
    <s v="SP209"/>
    <s v="Twitter"/>
    <d v="2024-07-19T00:00:00"/>
    <s v="Story"/>
    <s v="Whatâ€™S Your Vibe Today? #Spotifyhits"/>
    <n v="3071"/>
    <n v="126"/>
    <n v="200"/>
    <n v="44013"/>
    <n v="44679"/>
    <n v="118"/>
    <s v="#Discoverweekly,#Musicforeveryone"/>
    <x v="0"/>
    <d v="2025-01-10T00:00:00"/>
    <d v="2025-02-10T00:00:00"/>
    <x v="1"/>
    <n v="7.7181741758116915E-2"/>
    <n v="3397"/>
  </r>
  <r>
    <s v="SP210"/>
    <s v="Twitter"/>
    <d v="2025-05-03T00:00:00"/>
    <s v="Story"/>
    <s v="Top Trending Tracks Updated Daily!"/>
    <n v="1010"/>
    <n v="361"/>
    <n v="240"/>
    <n v="47229"/>
    <n v="72573"/>
    <n v="275"/>
    <s v="#Soundtrackoflife,#Nowplaying"/>
    <x v="0"/>
    <d v="2025-01-10T00:00:00"/>
    <d v="2025-02-10T00:00:00"/>
    <x v="0"/>
    <n v="3.4110398272247981E-2"/>
    <n v="1611"/>
  </r>
  <r>
    <s v="SP211"/>
    <s v="Twitter"/>
    <d v="2024-04-14T00:00:00"/>
    <s v="Story"/>
    <s v="Discover Fresh Beats On Spotify!"/>
    <n v="1295"/>
    <n v="153"/>
    <n v="81"/>
    <n v="48350"/>
    <n v="61033"/>
    <n v="232"/>
    <s v="#Discoverweekly,#Musicforeveryone"/>
    <x v="0"/>
    <d v="2025-01-10T00:00:00"/>
    <d v="2025-02-10T00:00:00"/>
    <x v="1"/>
    <n v="3.1623578076525334E-2"/>
    <n v="1529"/>
  </r>
  <r>
    <s v="SP212"/>
    <s v="Twitter"/>
    <d v="2025-06-19T00:00:00"/>
    <s v="Story"/>
    <s v="Whatâ€™S Your Vibe Today? #Spotifyhits"/>
    <n v="1433"/>
    <n v="452"/>
    <n v="305"/>
    <n v="54541"/>
    <n v="63700"/>
    <n v="296"/>
    <s v="#Discoverweekly,#Musicforeveryone"/>
    <x v="0"/>
    <d v="2025-01-10T00:00:00"/>
    <d v="2025-02-10T00:00:00"/>
    <x v="0"/>
    <n v="4.0153279184466734E-2"/>
    <n v="2190"/>
  </r>
  <r>
    <s v="SP213"/>
    <s v="Instagram"/>
    <d v="2025-06-24T00:00:00"/>
    <s v="Story"/>
    <s v="Get Into The Groove With Our New Drop!"/>
    <n v="4902"/>
    <n v="422"/>
    <n v="376"/>
    <n v="31674"/>
    <n v="53225"/>
    <n v="147"/>
    <s v="#Nowplaying"/>
    <x v="2"/>
    <d v="2024-12-01T00:00:00"/>
    <d v="2024-12-31T00:00:00"/>
    <x v="0"/>
    <n v="0.17995832544042431"/>
    <n v="5700"/>
  </r>
  <r>
    <s v="SP214"/>
    <s v="Twitter"/>
    <d v="2024-10-09T00:00:00"/>
    <s v="Text"/>
    <s v="Wrapped Is Here! Relive Your Top Tracks Ðÿž§"/>
    <n v="2659"/>
    <n v="167"/>
    <n v="73"/>
    <n v="23090"/>
    <n v="25872"/>
    <n v="293"/>
    <s v="#Soundtrackoflife"/>
    <x v="1"/>
    <d v="2025-03-01T00:00:00"/>
    <d v="2025-03-31T00:00:00"/>
    <x v="1"/>
    <n v="0.12555218709398008"/>
    <n v="2899"/>
  </r>
  <r>
    <s v="SP215"/>
    <s v="Youtube"/>
    <d v="2025-01-15T00:00:00"/>
    <s v="Text"/>
    <s v="Your Weekend Playlist Is Waiting."/>
    <n v="2599"/>
    <n v="324"/>
    <n v="182"/>
    <n v="37525"/>
    <n v="37216"/>
    <n v="186"/>
    <s v="#Discoverweekly,#Spotifywrapped"/>
    <x v="1"/>
    <d v="2025-03-01T00:00:00"/>
    <d v="2025-03-31T00:00:00"/>
    <x v="1"/>
    <n v="8.2744836775483013E-2"/>
    <n v="3105"/>
  </r>
  <r>
    <s v="SP216"/>
    <s v="Twitter"/>
    <d v="2025-01-12T00:00:00"/>
    <s v="Text"/>
    <s v="Music That Moves Youâ€”Only On Spotify."/>
    <n v="1765"/>
    <n v="285"/>
    <n v="100"/>
    <n v="41313"/>
    <n v="56575"/>
    <n v="174"/>
    <s v="#Soundtrackoflife"/>
    <x v="1"/>
    <d v="2025-03-01T00:00:00"/>
    <d v="2025-03-31T00:00:00"/>
    <x v="1"/>
    <n v="5.2041730205988429E-2"/>
    <n v="2150"/>
  </r>
  <r>
    <s v="SP217"/>
    <s v="Instagram"/>
    <d v="2025-05-31T00:00:00"/>
    <s v="Text"/>
    <s v="Whatâ€™S Your Vibe Today? #Spotifyhits"/>
    <n v="2169"/>
    <n v="240"/>
    <n v="57"/>
    <n v="26109"/>
    <n v="46667"/>
    <n v="133"/>
    <s v="#Soundtrackoflife,#Nowplaying"/>
    <x v="0"/>
    <d v="2025-01-10T00:00:00"/>
    <d v="2025-02-10T00:00:00"/>
    <x v="0"/>
    <n v="9.4450189589796618E-2"/>
    <n v="2466"/>
  </r>
  <r>
    <s v="SP218"/>
    <s v="Twitter"/>
    <d v="2024-10-14T00:00:00"/>
    <s v="Story"/>
    <s v="Explore The Latest Podcasts Now."/>
    <n v="4303"/>
    <n v="306"/>
    <n v="302"/>
    <n v="39575"/>
    <n v="33762"/>
    <n v="265"/>
    <s v="#Discoverweekly,#Musicforeveryone"/>
    <x v="0"/>
    <d v="2025-01-10T00:00:00"/>
    <d v="2025-02-10T00:00:00"/>
    <x v="1"/>
    <n v="0.12409349336702463"/>
    <n v="4911"/>
  </r>
  <r>
    <s v="SP219"/>
    <s v="Twitter"/>
    <d v="2024-02-10T00:00:00"/>
    <s v="Text"/>
    <s v="From Pop To Podcasts, Itâ€™S All Here."/>
    <n v="1519"/>
    <n v="456"/>
    <n v="379"/>
    <n v="51611"/>
    <n v="45880"/>
    <n v="176"/>
    <s v="#Soundtrackoflife"/>
    <x v="1"/>
    <d v="2025-03-01T00:00:00"/>
    <d v="2025-03-31T00:00:00"/>
    <x v="1"/>
    <n v="4.5610431884675749E-2"/>
    <n v="2354"/>
  </r>
  <r>
    <s v="SP220"/>
    <s v="Youtube"/>
    <d v="2024-12-10T00:00:00"/>
    <s v="Text"/>
    <s v="Whatâ€™S Your Vibe Today? #Spotifyhits"/>
    <n v="2569"/>
    <n v="140"/>
    <n v="375"/>
    <n v="38372"/>
    <n v="22102"/>
    <n v="255"/>
    <s v="#Discoverweekly,#Spotifywrapped"/>
    <x v="1"/>
    <d v="2025-03-01T00:00:00"/>
    <d v="2025-03-31T00:00:00"/>
    <x v="1"/>
    <n v="8.0371103929948923E-2"/>
    <n v="3084"/>
  </r>
  <r>
    <s v="SP221"/>
    <s v="Twitter"/>
    <d v="2025-05-09T00:00:00"/>
    <s v="Story"/>
    <s v="Music That Moves Youâ€”Only On Spotify."/>
    <n v="2778"/>
    <n v="241"/>
    <n v="317"/>
    <n v="26247"/>
    <n v="20677"/>
    <n v="282"/>
    <s v="#Musicforeveryone,#Nowplaying"/>
    <x v="0"/>
    <d v="2025-01-10T00:00:00"/>
    <d v="2025-02-10T00:00:00"/>
    <x v="0"/>
    <n v="0.1271002400274317"/>
    <n v="3336"/>
  </r>
  <r>
    <s v="SP222"/>
    <s v="Twitter"/>
    <d v="2025-06-21T00:00:00"/>
    <s v="Text"/>
    <s v="Explore The Latest Podcasts Now."/>
    <n v="3611"/>
    <n v="127"/>
    <n v="139"/>
    <n v="44768"/>
    <n v="29435"/>
    <n v="178"/>
    <s v="#Nowplaying"/>
    <x v="0"/>
    <d v="2025-01-10T00:00:00"/>
    <d v="2025-02-10T00:00:00"/>
    <x v="0"/>
    <n v="8.6602037169406718E-2"/>
    <n v="3877"/>
  </r>
  <r>
    <s v="SP223"/>
    <s v="Twitter"/>
    <d v="2024-06-19T00:00:00"/>
    <s v="Text"/>
    <s v="Whatâ€™S Your Vibe Today? #Spotifyhits"/>
    <n v="1224"/>
    <n v="168"/>
    <n v="199"/>
    <n v="54232"/>
    <n v="52844"/>
    <n v="271"/>
    <s v="#Soundtrackoflife"/>
    <x v="1"/>
    <d v="2025-03-01T00:00:00"/>
    <d v="2025-03-31T00:00:00"/>
    <x v="1"/>
    <n v="2.9336922849977874E-2"/>
    <n v="1591"/>
  </r>
  <r>
    <s v="SP224"/>
    <s v="Twitter"/>
    <d v="2024-12-10T00:00:00"/>
    <s v="Text"/>
    <s v="From Pop To Podcasts, Itâ€™S All Here."/>
    <n v="4673"/>
    <n v="270"/>
    <n v="93"/>
    <n v="45260"/>
    <n v="57513"/>
    <n v="103"/>
    <s v="#Nowplaying"/>
    <x v="0"/>
    <d v="2025-01-10T00:00:00"/>
    <d v="2025-02-10T00:00:00"/>
    <x v="1"/>
    <n v="0.11126822801590809"/>
    <n v="5036"/>
  </r>
  <r>
    <s v="SP225"/>
    <s v="Youtube"/>
    <d v="2024-02-01T00:00:00"/>
    <s v="Text"/>
    <s v="Wrapped Is Here! Relive Your Top Tracks Ðÿž§"/>
    <n v="1432"/>
    <n v="437"/>
    <n v="267"/>
    <n v="40634"/>
    <n v="54511"/>
    <n v="197"/>
    <s v="#Discoverweekly,#Spotifywrapped"/>
    <x v="1"/>
    <d v="2025-03-01T00:00:00"/>
    <d v="2025-03-31T00:00:00"/>
    <x v="1"/>
    <n v="5.2566815966924252E-2"/>
    <n v="2136"/>
  </r>
  <r>
    <s v="SP226"/>
    <s v="Twitter"/>
    <d v="2024-01-17T00:00:00"/>
    <s v="Story"/>
    <s v="New Music Just Dropped. Hit Play!"/>
    <n v="2174"/>
    <n v="499"/>
    <n v="212"/>
    <n v="54938"/>
    <n v="27190"/>
    <n v="265"/>
    <s v="#Musicforeveryone,#Nowplaying"/>
    <x v="0"/>
    <d v="2025-01-10T00:00:00"/>
    <d v="2025-02-10T00:00:00"/>
    <x v="1"/>
    <n v="5.2513742764570971E-2"/>
    <n v="2885"/>
  </r>
  <r>
    <s v="SP227"/>
    <s v="Youtube"/>
    <d v="2025-03-22T00:00:00"/>
    <s v="Text"/>
    <s v="Music That Moves Youâ€”Only On Spotify."/>
    <n v="4308"/>
    <n v="171"/>
    <n v="106"/>
    <n v="36955"/>
    <n v="23949"/>
    <n v="294"/>
    <s v="#Discoverweekly,#Spotifywrapped"/>
    <x v="1"/>
    <d v="2025-03-01T00:00:00"/>
    <d v="2025-03-31T00:00:00"/>
    <x v="2"/>
    <n v="0.12406981463942633"/>
    <n v="4585"/>
  </r>
  <r>
    <s v="SP228"/>
    <s v="Youtube"/>
    <d v="2024-05-30T00:00:00"/>
    <s v="Reel"/>
    <s v="Whatâ€™S Your Vibe Today? #Spotifyhits"/>
    <n v="1060"/>
    <n v="442"/>
    <n v="319"/>
    <n v="57194"/>
    <n v="24258"/>
    <n v="101"/>
    <s v="#Discoverweekly,#Soundtrackoflife"/>
    <x v="3"/>
    <d v="2024-06-15T00:00:00"/>
    <d v="2024-07-15T00:00:00"/>
    <x v="1"/>
    <n v="3.1839004091338254E-2"/>
    <n v="1821"/>
  </r>
  <r>
    <s v="SP229"/>
    <s v="Youtube"/>
    <d v="2024-02-24T00:00:00"/>
    <s v="Text"/>
    <s v="Music That Moves Youâ€”Only On Spotify."/>
    <n v="4653"/>
    <n v="226"/>
    <n v="349"/>
    <n v="56876"/>
    <n v="28452"/>
    <n v="257"/>
    <s v="#Discoverweekly,#Spotifywrapped"/>
    <x v="1"/>
    <d v="2025-03-01T00:00:00"/>
    <d v="2025-03-31T00:00:00"/>
    <x v="1"/>
    <n v="9.191926295801392E-2"/>
    <n v="5228"/>
  </r>
  <r>
    <s v="SP230"/>
    <s v="Youtube"/>
    <d v="2025-05-14T00:00:00"/>
    <s v="Text"/>
    <s v="Discover Fresh Beats On Spotify!"/>
    <n v="1701"/>
    <n v="272"/>
    <n v="385"/>
    <n v="47496"/>
    <n v="40832"/>
    <n v="246"/>
    <s v="#Discoverweekly,#Spotifywrapped"/>
    <x v="1"/>
    <d v="2025-03-01T00:00:00"/>
    <d v="2025-03-31T00:00:00"/>
    <x v="0"/>
    <n v="4.9646286003031836E-2"/>
    <n v="2358"/>
  </r>
  <r>
    <s v="SP231"/>
    <s v="Instagram"/>
    <d v="2024-03-28T00:00:00"/>
    <s v="Text"/>
    <s v="Whatâ€™S Your Vibe Today? #Spotifyhits"/>
    <n v="1673"/>
    <n v="280"/>
    <n v="67"/>
    <n v="29847"/>
    <n v="48016"/>
    <n v="213"/>
    <s v="#Soundtrackoflife,#Nowplaying"/>
    <x v="0"/>
    <d v="2025-01-10T00:00:00"/>
    <d v="2025-02-10T00:00:00"/>
    <x v="1"/>
    <n v="6.76784936509532E-2"/>
    <n v="2020"/>
  </r>
  <r>
    <s v="SP232"/>
    <s v="Youtube"/>
    <d v="2025-03-07T00:00:00"/>
    <s v="Text"/>
    <s v="Top Trending Tracks Updated Daily!"/>
    <n v="4310"/>
    <n v="284"/>
    <n v="306"/>
    <n v="44606"/>
    <n v="42604"/>
    <n v="290"/>
    <s v="#Discoverweekly,#Spotifywrapped"/>
    <x v="1"/>
    <d v="2025-03-01T00:00:00"/>
    <d v="2025-03-31T00:00:00"/>
    <x v="2"/>
    <n v="0.10985069273191947"/>
    <n v="4900"/>
  </r>
  <r>
    <s v="SP233"/>
    <s v="Twitter"/>
    <d v="2024-10-20T00:00:00"/>
    <s v="Text"/>
    <s v="From Pop To Podcasts, Itâ€™S All Here."/>
    <n v="2752"/>
    <n v="309"/>
    <n v="91"/>
    <n v="39038"/>
    <n v="28095"/>
    <n v="277"/>
    <s v="#Nowplaying"/>
    <x v="0"/>
    <d v="2025-01-10T00:00:00"/>
    <d v="2025-02-10T00:00:00"/>
    <x v="1"/>
    <n v="8.0741841282852611E-2"/>
    <n v="3152"/>
  </r>
  <r>
    <s v="SP234"/>
    <s v="Twitter"/>
    <d v="2024-02-02T00:00:00"/>
    <s v="Text"/>
    <s v="From Pop To Podcasts, Itâ€™S All Here."/>
    <n v="3818"/>
    <n v="115"/>
    <n v="286"/>
    <n v="25127"/>
    <n v="22277"/>
    <n v="263"/>
    <s v="#Nowplaying"/>
    <x v="0"/>
    <d v="2025-01-10T00:00:00"/>
    <d v="2025-02-10T00:00:00"/>
    <x v="1"/>
    <n v="0.16790703227603773"/>
    <n v="4219"/>
  </r>
  <r>
    <s v="SP235"/>
    <s v="Youtube"/>
    <d v="2024-09-07T00:00:00"/>
    <s v="Text"/>
    <s v="Your Weekend Playlist Is Waiting."/>
    <n v="2101"/>
    <n v="411"/>
    <n v="190"/>
    <n v="41791"/>
    <n v="57090"/>
    <n v="172"/>
    <s v="#Discoverweekly,#Spotifywrapped"/>
    <x v="1"/>
    <d v="2025-03-01T00:00:00"/>
    <d v="2025-03-31T00:00:00"/>
    <x v="1"/>
    <n v="6.4655069273288512E-2"/>
    <n v="2702"/>
  </r>
  <r>
    <s v="SP236"/>
    <s v="Instagram"/>
    <d v="2024-12-20T00:00:00"/>
    <s v="Text"/>
    <s v="Discover Fresh Beats On Spotify!"/>
    <n v="2519"/>
    <n v="202"/>
    <n v="239"/>
    <n v="36245"/>
    <n v="48606"/>
    <n v="145"/>
    <s v="#Discoverweekly"/>
    <x v="1"/>
    <d v="2025-03-01T00:00:00"/>
    <d v="2025-03-31T00:00:00"/>
    <x v="1"/>
    <n v="8.1666436749896543E-2"/>
    <n v="2960"/>
  </r>
  <r>
    <s v="SP237"/>
    <s v="Youtube"/>
    <d v="2024-01-14T00:00:00"/>
    <s v="Text"/>
    <s v="Whatâ€™S Your Vibe Today? #Spotifyhits"/>
    <n v="4502"/>
    <n v="238"/>
    <n v="386"/>
    <n v="39198"/>
    <n v="25050"/>
    <n v="297"/>
    <s v="#Discoverweekly,#Spotifywrapped"/>
    <x v="1"/>
    <d v="2025-03-01T00:00:00"/>
    <d v="2025-03-31T00:00:00"/>
    <x v="1"/>
    <n v="0.13077197816215114"/>
    <n v="5126"/>
  </r>
  <r>
    <s v="SP238"/>
    <s v="Instagram"/>
    <d v="2025-06-15T00:00:00"/>
    <s v="Text"/>
    <s v="Explore The Latest Podcasts Now."/>
    <n v="2478"/>
    <n v="427"/>
    <n v="242"/>
    <n v="59272"/>
    <n v="37833"/>
    <n v="214"/>
    <s v="#Soundtrackoflife,#Nowplaying"/>
    <x v="0"/>
    <d v="2025-01-10T00:00:00"/>
    <d v="2025-02-10T00:00:00"/>
    <x v="0"/>
    <n v="5.3094209744904843E-2"/>
    <n v="3147"/>
  </r>
  <r>
    <s v="SP239"/>
    <s v="Twitter"/>
    <d v="2024-12-13T00:00:00"/>
    <s v="Story"/>
    <s v="New Music Just Dropped. Hit Play!"/>
    <n v="4984"/>
    <n v="300"/>
    <n v="338"/>
    <n v="32900"/>
    <n v="31691"/>
    <n v="160"/>
    <s v="#Musicforeveryone,#Nowplaying"/>
    <x v="0"/>
    <d v="2025-01-10T00:00:00"/>
    <d v="2025-02-10T00:00:00"/>
    <x v="1"/>
    <n v="0.17088145896656534"/>
    <n v="5622"/>
  </r>
  <r>
    <s v="SP240"/>
    <s v="Youtube"/>
    <d v="2024-08-29T00:00:00"/>
    <s v="Text"/>
    <s v="Wrapped Is Here! Relive Your Top Tracks Ðÿž§"/>
    <n v="4774"/>
    <n v="389"/>
    <n v="358"/>
    <n v="52346"/>
    <n v="30518"/>
    <n v="277"/>
    <s v="#Discoverweekly,#Spotifywrapped"/>
    <x v="1"/>
    <d v="2025-03-01T00:00:00"/>
    <d v="2025-03-31T00:00:00"/>
    <x v="1"/>
    <n v="0.10547128720437092"/>
    <n v="5521"/>
  </r>
  <r>
    <s v="SP241"/>
    <s v="Twitter"/>
    <d v="2024-09-15T00:00:00"/>
    <s v="Text"/>
    <s v="Get Into The Groove With Our New Drop!"/>
    <n v="2145"/>
    <n v="340"/>
    <n v="85"/>
    <n v="53323"/>
    <n v="49938"/>
    <n v="104"/>
    <s v="#Nowplaying"/>
    <x v="0"/>
    <d v="2025-01-10T00:00:00"/>
    <d v="2025-02-10T00:00:00"/>
    <x v="1"/>
    <n v="4.819683813738912E-2"/>
    <n v="2570"/>
  </r>
  <r>
    <s v="SP242"/>
    <s v="Twitter"/>
    <d v="2025-04-12T00:00:00"/>
    <s v="Story"/>
    <s v="From Pop To Podcasts, Itâ€™S All Here."/>
    <n v="4315"/>
    <n v="208"/>
    <n v="273"/>
    <n v="35780"/>
    <n v="44349"/>
    <n v="133"/>
    <s v="#Discoverweekly,#Musicforeveryone"/>
    <x v="0"/>
    <d v="2025-01-10T00:00:00"/>
    <d v="2025-02-10T00:00:00"/>
    <x v="0"/>
    <n v="0.13404136389044158"/>
    <n v="4796"/>
  </r>
  <r>
    <s v="SP243"/>
    <s v="Twitter"/>
    <d v="2024-12-10T00:00:00"/>
    <s v="Story"/>
    <s v="Wrapped Is Here! Relive Your Top Tracks Ðÿž§"/>
    <n v="2267"/>
    <n v="230"/>
    <n v="243"/>
    <n v="27904"/>
    <n v="69771"/>
    <n v="255"/>
    <s v="#Discoverweekly,#Musicforeveryone"/>
    <x v="0"/>
    <d v="2025-01-10T00:00:00"/>
    <d v="2025-02-10T00:00:00"/>
    <x v="1"/>
    <n v="9.8193807339449546E-2"/>
    <n v="2740"/>
  </r>
  <r>
    <s v="SP244"/>
    <s v="Youtube"/>
    <d v="2025-06-08T00:00:00"/>
    <s v="Text"/>
    <s v="Music That Moves Youâ€”Only On Spotify."/>
    <n v="4375"/>
    <n v="303"/>
    <n v="294"/>
    <n v="57468"/>
    <n v="53397"/>
    <n v="159"/>
    <s v="#Discoverweekly,#Spotifywrapped"/>
    <x v="1"/>
    <d v="2025-03-01T00:00:00"/>
    <d v="2025-03-31T00:00:00"/>
    <x v="0"/>
    <n v="8.6517714206166912E-2"/>
    <n v="4972"/>
  </r>
  <r>
    <s v="SP245"/>
    <s v="Twitter"/>
    <d v="2025-01-09T00:00:00"/>
    <s v="Story"/>
    <s v="Your Weekend Playlist Is Waiting."/>
    <n v="3817"/>
    <n v="284"/>
    <n v="204"/>
    <n v="46434"/>
    <n v="53396"/>
    <n v="104"/>
    <s v="#Musicforeveryone,#Nowplaying"/>
    <x v="0"/>
    <d v="2025-01-10T00:00:00"/>
    <d v="2025-02-10T00:00:00"/>
    <x v="1"/>
    <n v="9.2712236723090841E-2"/>
    <n v="4305"/>
  </r>
  <r>
    <s v="SP246"/>
    <s v="Twitter"/>
    <d v="2024-07-08T00:00:00"/>
    <s v="Story"/>
    <s v="Top Trending Tracks Updated Daily!"/>
    <n v="2981"/>
    <n v="258"/>
    <n v="168"/>
    <n v="20677"/>
    <n v="68290"/>
    <n v="130"/>
    <s v="#Soundtrackoflife,#Nowplaying"/>
    <x v="0"/>
    <d v="2025-01-10T00:00:00"/>
    <d v="2025-02-10T00:00:00"/>
    <x v="1"/>
    <n v="0.16477245248343569"/>
    <n v="3407"/>
  </r>
  <r>
    <s v="SP247"/>
    <s v="Twitter"/>
    <d v="2024-09-16T00:00:00"/>
    <s v="Story"/>
    <s v="Your Weekend Playlist Is Waiting."/>
    <n v="3300"/>
    <n v="354"/>
    <n v="397"/>
    <n v="56773"/>
    <n v="72110"/>
    <n v="163"/>
    <s v="#Discoverweekly,#Musicforeveryone"/>
    <x v="0"/>
    <d v="2025-01-10T00:00:00"/>
    <d v="2025-02-10T00:00:00"/>
    <x v="1"/>
    <n v="7.1354340971940891E-2"/>
    <n v="4051"/>
  </r>
  <r>
    <s v="SP248"/>
    <s v="Youtube"/>
    <d v="2024-06-14T00:00:00"/>
    <s v="Reel"/>
    <s v="Wrapped Is Here! Relive Your Top Tracks Ðÿž§"/>
    <n v="4722"/>
    <n v="310"/>
    <n v="344"/>
    <n v="27911"/>
    <n v="19000"/>
    <n v="225"/>
    <s v="#Discoverweekly,#Soundtrackoflife"/>
    <x v="3"/>
    <d v="2024-06-15T00:00:00"/>
    <d v="2024-07-15T00:00:00"/>
    <x v="1"/>
    <n v="0.19261223173659131"/>
    <n v="5376"/>
  </r>
  <r>
    <s v="SP249"/>
    <s v="Instagram"/>
    <d v="2024-03-06T00:00:00"/>
    <s v="Text"/>
    <s v="Whatâ€™S Your Vibe Today? #Spotifyhits"/>
    <n v="3529"/>
    <n v="263"/>
    <n v="107"/>
    <n v="26570"/>
    <n v="19367"/>
    <n v="96"/>
    <s v="#Discoverweekly"/>
    <x v="1"/>
    <d v="2025-03-01T00:00:00"/>
    <d v="2025-03-31T00:00:00"/>
    <x v="1"/>
    <n v="0.14674444862627023"/>
    <n v="3899"/>
  </r>
  <r>
    <s v="SP250"/>
    <s v="Twitter"/>
    <d v="2025-05-15T00:00:00"/>
    <s v="Text"/>
    <s v="Your Weekend Playlist Is Waiting."/>
    <n v="4782"/>
    <n v="210"/>
    <n v="311"/>
    <n v="29793"/>
    <n v="37543"/>
    <n v="145"/>
    <s v="#Nowplaying"/>
    <x v="0"/>
    <d v="2025-01-10T00:00:00"/>
    <d v="2025-02-10T00:00:00"/>
    <x v="0"/>
    <n v="0.17799483100057059"/>
    <n v="5303"/>
  </r>
  <r>
    <s v="SP251"/>
    <s v="Twitter"/>
    <d v="2024-07-07T00:00:00"/>
    <s v="Text"/>
    <s v="Whatâ€™S Your Vibe Today? #Spotifyhits"/>
    <n v="1848"/>
    <n v="417"/>
    <n v="294"/>
    <n v="57819"/>
    <n v="19798"/>
    <n v="262"/>
    <s v="#Soundtrackoflife"/>
    <x v="1"/>
    <d v="2025-03-01T00:00:00"/>
    <d v="2025-03-31T00:00:00"/>
    <x v="1"/>
    <n v="4.4258807658382193E-2"/>
    <n v="2559"/>
  </r>
  <r>
    <s v="SP252"/>
    <s v="Youtube"/>
    <d v="2024-10-26T00:00:00"/>
    <s v="Text"/>
    <s v="New Music Just Dropped. Hit Play!"/>
    <n v="4676"/>
    <n v="211"/>
    <n v="55"/>
    <n v="45917"/>
    <n v="73503"/>
    <n v="248"/>
    <s v="#Discoverweekly,#Spotifywrapped"/>
    <x v="1"/>
    <d v="2025-03-01T00:00:00"/>
    <d v="2025-03-31T00:00:00"/>
    <x v="1"/>
    <n v="0.10762898272970794"/>
    <n v="4942"/>
  </r>
  <r>
    <s v="SP253"/>
    <s v="Youtube"/>
    <d v="2024-08-08T00:00:00"/>
    <s v="Text"/>
    <s v="From Pop To Podcasts, Itâ€™S All Here."/>
    <n v="1994"/>
    <n v="197"/>
    <n v="290"/>
    <n v="49500"/>
    <n v="23343"/>
    <n v="160"/>
    <s v="#Discoverweekly,#Spotifywrapped"/>
    <x v="1"/>
    <d v="2025-03-01T00:00:00"/>
    <d v="2025-03-31T00:00:00"/>
    <x v="1"/>
    <n v="5.0121212121212122E-2"/>
    <n v="2481"/>
  </r>
  <r>
    <s v="SP254"/>
    <s v="Twitter"/>
    <d v="2025-02-03T00:00:00"/>
    <s v="Text"/>
    <s v="Whatâ€™S Your Vibe Today? #Spotifyhits"/>
    <n v="4995"/>
    <n v="231"/>
    <n v="94"/>
    <n v="34431"/>
    <n v="32560"/>
    <n v="262"/>
    <s v="#Nowplaying"/>
    <x v="0"/>
    <d v="2025-01-10T00:00:00"/>
    <d v="2025-02-10T00:00:00"/>
    <x v="2"/>
    <n v="0.15451192239551567"/>
    <n v="5320"/>
  </r>
  <r>
    <s v="SP255"/>
    <s v="Twitter"/>
    <d v="2024-04-03T00:00:00"/>
    <s v="Story"/>
    <s v="Top Trending Tracks Updated Daily!"/>
    <n v="2291"/>
    <n v="146"/>
    <n v="399"/>
    <n v="49319"/>
    <n v="28056"/>
    <n v="90"/>
    <s v="#Discoverweekly,#Musicforeveryone"/>
    <x v="0"/>
    <d v="2025-01-10T00:00:00"/>
    <d v="2025-02-10T00:00:00"/>
    <x v="1"/>
    <n v="5.7503193495407452E-2"/>
    <n v="2836"/>
  </r>
  <r>
    <s v="SP256"/>
    <s v="Twitter"/>
    <d v="2024-07-08T00:00:00"/>
    <s v="Story"/>
    <s v="Wrapped Is Here! Relive Your Top Tracks Ðÿž§"/>
    <n v="2304"/>
    <n v="289"/>
    <n v="161"/>
    <n v="52645"/>
    <n v="66262"/>
    <n v="146"/>
    <s v="#Musicforeveryone,#Nowplaying"/>
    <x v="0"/>
    <d v="2025-01-10T00:00:00"/>
    <d v="2025-02-10T00:00:00"/>
    <x v="1"/>
    <n v="5.2312660271630736E-2"/>
    <n v="2754"/>
  </r>
  <r>
    <s v="SP257"/>
    <s v="Twitter"/>
    <d v="2024-06-08T00:00:00"/>
    <s v="Story"/>
    <s v="Top Trending Tracks Updated Daily!"/>
    <n v="3413"/>
    <n v="326"/>
    <n v="86"/>
    <n v="44680"/>
    <n v="52719"/>
    <n v="272"/>
    <s v="#Discoverweekly,#Musicforeveryone"/>
    <x v="0"/>
    <d v="2025-01-10T00:00:00"/>
    <d v="2025-02-10T00:00:00"/>
    <x v="1"/>
    <n v="8.5608773500447627E-2"/>
    <n v="3825"/>
  </r>
  <r>
    <s v="SP258"/>
    <s v="Youtube"/>
    <d v="2025-03-20T00:00:00"/>
    <s v="Reel"/>
    <s v="From Pop To Podcasts, Itâ€™S All Here."/>
    <n v="1453"/>
    <n v="156"/>
    <n v="178"/>
    <n v="52980"/>
    <n v="57180"/>
    <n v="286"/>
    <s v="#Discoverweekly,#Soundtrackoflife"/>
    <x v="3"/>
    <d v="2024-06-15T00:00:00"/>
    <d v="2024-07-15T00:00:00"/>
    <x v="0"/>
    <n v="3.3729709324273313E-2"/>
    <n v="1787"/>
  </r>
  <r>
    <s v="SP259"/>
    <s v="Twitter"/>
    <d v="2025-01-19T00:00:00"/>
    <s v="Story"/>
    <s v="Music That Moves Youâ€”Only On Spotify."/>
    <n v="1651"/>
    <n v="480"/>
    <n v="282"/>
    <n v="32140"/>
    <n v="70560"/>
    <n v="138"/>
    <s v="#Soundtrackoflife,#Nowplaying"/>
    <x v="0"/>
    <d v="2025-01-10T00:00:00"/>
    <d v="2025-02-10T00:00:00"/>
    <x v="2"/>
    <n v="7.5077784691972627E-2"/>
    <n v="2413"/>
  </r>
  <r>
    <s v="SP260"/>
    <s v="Twitter"/>
    <d v="2025-01-05T00:00:00"/>
    <s v="Story"/>
    <s v="Explore The Latest Podcasts Now."/>
    <n v="3341"/>
    <n v="154"/>
    <n v="123"/>
    <n v="43369"/>
    <n v="49035"/>
    <n v="128"/>
    <s v="#Musicforeveryone,#Nowplaying"/>
    <x v="0"/>
    <d v="2025-01-10T00:00:00"/>
    <d v="2025-02-10T00:00:00"/>
    <x v="1"/>
    <n v="8.3423643616408028E-2"/>
    <n v="3618"/>
  </r>
  <r>
    <s v="SP261"/>
    <s v="Twitter"/>
    <d v="2024-11-16T00:00:00"/>
    <s v="Text"/>
    <s v="From Pop To Podcasts, Itâ€™S All Here."/>
    <n v="2972"/>
    <n v="263"/>
    <n v="308"/>
    <n v="51740"/>
    <n v="28214"/>
    <n v="190"/>
    <s v="#Soundtrackoflife"/>
    <x v="1"/>
    <d v="2025-03-01T00:00:00"/>
    <d v="2025-03-31T00:00:00"/>
    <x v="1"/>
    <n v="6.8477000386548123E-2"/>
    <n v="3543"/>
  </r>
  <r>
    <s v="SP262"/>
    <s v="Twitter"/>
    <d v="2024-11-30T00:00:00"/>
    <s v="Story"/>
    <s v="Explore The Latest Podcasts Now."/>
    <n v="4963"/>
    <n v="255"/>
    <n v="193"/>
    <n v="44386"/>
    <n v="28415"/>
    <n v="174"/>
    <s v="#Musicforeveryone,#Nowplaying"/>
    <x v="0"/>
    <d v="2025-01-10T00:00:00"/>
    <d v="2025-02-10T00:00:00"/>
    <x v="1"/>
    <n v="0.12190780876853062"/>
    <n v="5411"/>
  </r>
  <r>
    <s v="SP263"/>
    <s v="Youtube"/>
    <d v="2024-03-27T00:00:00"/>
    <s v="Text"/>
    <s v="Music That Moves Youâ€”Only On Spotify."/>
    <n v="2399"/>
    <n v="191"/>
    <n v="221"/>
    <n v="51603"/>
    <n v="40033"/>
    <n v="173"/>
    <s v="#Discoverweekly,#Spotifywrapped"/>
    <x v="1"/>
    <d v="2025-03-01T00:00:00"/>
    <d v="2025-03-31T00:00:00"/>
    <x v="1"/>
    <n v="5.4473577117609438E-2"/>
    <n v="2811"/>
  </r>
  <r>
    <s v="SP264"/>
    <s v="Youtube"/>
    <d v="2025-05-31T00:00:00"/>
    <s v="Reel"/>
    <s v="Get Into The Groove With Our New Drop!"/>
    <n v="2162"/>
    <n v="318"/>
    <n v="83"/>
    <n v="46719"/>
    <n v="20482"/>
    <n v="185"/>
    <s v="#Discoverweekly,#Soundtrackoflife"/>
    <x v="3"/>
    <d v="2024-06-15T00:00:00"/>
    <d v="2024-07-15T00:00:00"/>
    <x v="0"/>
    <n v="5.4859907104176028E-2"/>
    <n v="2563"/>
  </r>
  <r>
    <s v="SP265"/>
    <s v="Twitter"/>
    <d v="2025-06-17T00:00:00"/>
    <s v="Story"/>
    <s v="Explore The Latest Podcasts Now."/>
    <n v="4341"/>
    <n v="141"/>
    <n v="63"/>
    <n v="50081"/>
    <n v="27507"/>
    <n v="221"/>
    <s v="#Discoverweekly,#Musicforeveryone"/>
    <x v="0"/>
    <d v="2025-01-10T00:00:00"/>
    <d v="2025-02-10T00:00:00"/>
    <x v="0"/>
    <n v="9.0752980172121162E-2"/>
    <n v="4545"/>
  </r>
  <r>
    <s v="SP266"/>
    <s v="Instagram"/>
    <d v="2024-05-30T00:00:00"/>
    <s v="Story"/>
    <s v="Get Into The Groove With Our New Drop!"/>
    <n v="2448"/>
    <n v="464"/>
    <n v="98"/>
    <n v="25737"/>
    <n v="48545"/>
    <n v="246"/>
    <s v="#Nowplaying"/>
    <x v="2"/>
    <d v="2024-12-01T00:00:00"/>
    <d v="2024-12-31T00:00:00"/>
    <x v="1"/>
    <n v="0.11695224773672146"/>
    <n v="3010"/>
  </r>
  <r>
    <s v="SP267"/>
    <s v="Youtube"/>
    <d v="2024-11-08T00:00:00"/>
    <s v="Text"/>
    <s v="Top Trending Tracks Updated Daily!"/>
    <n v="2471"/>
    <n v="166"/>
    <n v="320"/>
    <n v="48254"/>
    <n v="46900"/>
    <n v="111"/>
    <s v="#Discoverweekly,#Spotifywrapped"/>
    <x v="1"/>
    <d v="2025-03-01T00:00:00"/>
    <d v="2025-03-31T00:00:00"/>
    <x v="1"/>
    <n v="6.1279893894806647E-2"/>
    <n v="2957"/>
  </r>
  <r>
    <s v="SP268"/>
    <s v="Youtube"/>
    <d v="2024-03-17T00:00:00"/>
    <s v="Reel"/>
    <s v="Explore The Latest Podcasts Now."/>
    <n v="2692"/>
    <n v="446"/>
    <n v="216"/>
    <n v="45818"/>
    <n v="62723"/>
    <n v="85"/>
    <s v="#Discoverweekly,#Soundtrackoflife"/>
    <x v="3"/>
    <d v="2024-06-15T00:00:00"/>
    <d v="2024-07-15T00:00:00"/>
    <x v="1"/>
    <n v="7.3202671439172376E-2"/>
    <n v="3354"/>
  </r>
  <r>
    <s v="SP269"/>
    <s v="Youtube"/>
    <d v="2024-06-21T00:00:00"/>
    <s v="Reel"/>
    <s v="Music That Moves Youâ€”Only On Spotify."/>
    <n v="4621"/>
    <n v="374"/>
    <n v="298"/>
    <n v="56979"/>
    <n v="24098"/>
    <n v="205"/>
    <s v="#Discoverweekly,#Soundtrackoflife"/>
    <x v="3"/>
    <d v="2024-06-15T00:00:00"/>
    <d v="2024-07-15T00:00:00"/>
    <x v="2"/>
    <n v="9.2893873181347508E-2"/>
    <n v="5293"/>
  </r>
  <r>
    <s v="SP270"/>
    <s v="Twitter"/>
    <d v="2024-11-13T00:00:00"/>
    <s v="Story"/>
    <s v="New Music Just Dropped. Hit Play!"/>
    <n v="1409"/>
    <n v="466"/>
    <n v="105"/>
    <n v="58923"/>
    <n v="38753"/>
    <n v="265"/>
    <s v="#Discoverweekly,#Musicforeveryone"/>
    <x v="0"/>
    <d v="2025-01-10T00:00:00"/>
    <d v="2025-02-10T00:00:00"/>
    <x v="1"/>
    <n v="3.3603177027646251E-2"/>
    <n v="1980"/>
  </r>
  <r>
    <s v="SP271"/>
    <s v="Twitter"/>
    <d v="2025-02-05T00:00:00"/>
    <s v="Story"/>
    <s v="Discover Fresh Beats On Spotify!"/>
    <n v="3029"/>
    <n v="440"/>
    <n v="66"/>
    <n v="23815"/>
    <n v="47895"/>
    <n v="210"/>
    <s v="#Discoverweekly,#Musicforeveryone"/>
    <x v="0"/>
    <d v="2025-01-10T00:00:00"/>
    <d v="2025-02-10T00:00:00"/>
    <x v="2"/>
    <n v="0.14843585975225698"/>
    <n v="3535"/>
  </r>
  <r>
    <s v="SP272"/>
    <s v="Twitter"/>
    <d v="2024-11-07T00:00:00"/>
    <s v="Text"/>
    <s v="Explore The Latest Podcasts Now."/>
    <n v="2229"/>
    <n v="395"/>
    <n v="328"/>
    <n v="56921"/>
    <n v="37176"/>
    <n v="126"/>
    <s v="#Soundtrackoflife"/>
    <x v="1"/>
    <d v="2025-03-01T00:00:00"/>
    <d v="2025-03-31T00:00:00"/>
    <x v="1"/>
    <n v="5.1861351697967357E-2"/>
    <n v="2952"/>
  </r>
  <r>
    <s v="SP273"/>
    <s v="Twitter"/>
    <d v="2024-02-12T00:00:00"/>
    <s v="Text"/>
    <s v="Explore The Latest Podcasts Now."/>
    <n v="2691"/>
    <n v="486"/>
    <n v="206"/>
    <n v="51133"/>
    <n v="44583"/>
    <n v="276"/>
    <s v="#Nowplaying"/>
    <x v="0"/>
    <d v="2025-01-10T00:00:00"/>
    <d v="2025-02-10T00:00:00"/>
    <x v="1"/>
    <n v="6.6160796354604659E-2"/>
    <n v="3383"/>
  </r>
  <r>
    <s v="SP274"/>
    <s v="Instagram"/>
    <d v="2024-10-08T00:00:00"/>
    <s v="Text"/>
    <s v="Explore The Latest Podcasts Now."/>
    <n v="2110"/>
    <n v="384"/>
    <n v="236"/>
    <n v="49965"/>
    <n v="61555"/>
    <n v="195"/>
    <s v="#Discoverweekly"/>
    <x v="1"/>
    <d v="2025-03-01T00:00:00"/>
    <d v="2025-03-31T00:00:00"/>
    <x v="1"/>
    <n v="5.4638246772740921E-2"/>
    <n v="2730"/>
  </r>
  <r>
    <s v="SP275"/>
    <s v="Instagram"/>
    <d v="2024-02-19T00:00:00"/>
    <s v="Text"/>
    <s v="Wrapped Is Here! Relive Your Top Tracks Ðÿž§"/>
    <n v="4752"/>
    <n v="449"/>
    <n v="309"/>
    <n v="58530"/>
    <n v="26630"/>
    <n v="234"/>
    <s v="#Discoverweekly"/>
    <x v="1"/>
    <d v="2025-03-01T00:00:00"/>
    <d v="2025-03-31T00:00:00"/>
    <x v="1"/>
    <n v="9.4139757389372969E-2"/>
    <n v="5510"/>
  </r>
  <r>
    <s v="SP276"/>
    <s v="Twitter"/>
    <d v="2025-03-04T00:00:00"/>
    <s v="Text"/>
    <s v="Discover Fresh Beats On Spotify!"/>
    <n v="2177"/>
    <n v="258"/>
    <n v="292"/>
    <n v="47276"/>
    <n v="51324"/>
    <n v="143"/>
    <s v="#Nowplaying"/>
    <x v="0"/>
    <d v="2025-01-10T00:00:00"/>
    <d v="2025-02-10T00:00:00"/>
    <x v="0"/>
    <n v="5.7682545054573146E-2"/>
    <n v="2727"/>
  </r>
  <r>
    <s v="SP277"/>
    <s v="Instagram"/>
    <d v="2025-02-03T00:00:00"/>
    <s v="Story"/>
    <s v="New Music Just Dropped. Hit Play!"/>
    <n v="1205"/>
    <n v="486"/>
    <n v="269"/>
    <n v="23341"/>
    <n v="42411"/>
    <n v="184"/>
    <s v="#Nowplaying"/>
    <x v="2"/>
    <d v="2024-12-01T00:00:00"/>
    <d v="2024-12-31T00:00:00"/>
    <x v="0"/>
    <n v="8.3972409065592737E-2"/>
    <n v="1960"/>
  </r>
  <r>
    <s v="SP278"/>
    <s v="Instagram"/>
    <d v="2024-12-02T00:00:00"/>
    <s v="Text"/>
    <s v="Top Trending Tracks Updated Daily!"/>
    <n v="3194"/>
    <n v="292"/>
    <n v="245"/>
    <n v="56371"/>
    <n v="65597"/>
    <n v="163"/>
    <s v="#Soundtrackoflife,#Nowplaying"/>
    <x v="0"/>
    <d v="2025-01-10T00:00:00"/>
    <d v="2025-02-10T00:00:00"/>
    <x v="1"/>
    <n v="6.6186514342481059E-2"/>
    <n v="3731"/>
  </r>
  <r>
    <s v="SP279"/>
    <s v="Twitter"/>
    <d v="2025-01-19T00:00:00"/>
    <s v="Story"/>
    <s v="New Music Just Dropped. Hit Play!"/>
    <n v="3507"/>
    <n v="295"/>
    <n v="371"/>
    <n v="20410"/>
    <n v="53965"/>
    <n v="212"/>
    <s v="#Soundtrackoflife,#Nowplaying"/>
    <x v="0"/>
    <d v="2025-01-10T00:00:00"/>
    <d v="2025-02-10T00:00:00"/>
    <x v="2"/>
    <n v="0.20445859872611466"/>
    <n v="4173"/>
  </r>
  <r>
    <s v="SP280"/>
    <s v="Twitter"/>
    <d v="2024-09-28T00:00:00"/>
    <s v="Story"/>
    <s v="Wrapped Is Here! Relive Your Top Tracks Ðÿž§"/>
    <n v="4471"/>
    <n v="317"/>
    <n v="249"/>
    <n v="44862"/>
    <n v="33365"/>
    <n v="184"/>
    <s v="#Discoverweekly,#Musicforeveryone"/>
    <x v="0"/>
    <d v="2025-01-10T00:00:00"/>
    <d v="2025-02-10T00:00:00"/>
    <x v="1"/>
    <n v="0.1122776514644911"/>
    <n v="5037"/>
  </r>
  <r>
    <s v="SP281"/>
    <s v="Instagram"/>
    <d v="2024-01-07T00:00:00"/>
    <s v="Text"/>
    <s v="Top Trending Tracks Updated Daily!"/>
    <n v="4931"/>
    <n v="469"/>
    <n v="193"/>
    <n v="56701"/>
    <n v="69437"/>
    <n v="291"/>
    <s v="#Soundtrackoflife,#Nowplaying"/>
    <x v="0"/>
    <d v="2025-01-10T00:00:00"/>
    <d v="2025-02-10T00:00:00"/>
    <x v="1"/>
    <n v="9.8640235621946709E-2"/>
    <n v="5593"/>
  </r>
  <r>
    <s v="SP282"/>
    <s v="Twitter"/>
    <d v="2024-02-21T00:00:00"/>
    <s v="Story"/>
    <s v="Get Into The Groove With Our New Drop!"/>
    <n v="2604"/>
    <n v="439"/>
    <n v="148"/>
    <n v="58468"/>
    <n v="39629"/>
    <n v="163"/>
    <s v="#Musicforeveryone,#Nowplaying"/>
    <x v="0"/>
    <d v="2025-01-10T00:00:00"/>
    <d v="2025-02-10T00:00:00"/>
    <x v="1"/>
    <n v="5.4576862557296296E-2"/>
    <n v="3191"/>
  </r>
  <r>
    <s v="SP283"/>
    <s v="Instagram"/>
    <d v="2024-08-27T00:00:00"/>
    <s v="Text"/>
    <s v="Music That Moves Youâ€”Only On Spotify."/>
    <n v="4197"/>
    <n v="359"/>
    <n v="280"/>
    <n v="56048"/>
    <n v="70930"/>
    <n v="295"/>
    <s v="#Discoverweekly"/>
    <x v="1"/>
    <d v="2025-03-01T00:00:00"/>
    <d v="2025-03-31T00:00:00"/>
    <x v="1"/>
    <n v="8.628318584070796E-2"/>
    <n v="4836"/>
  </r>
  <r>
    <s v="SP284"/>
    <s v="Instagram"/>
    <d v="2024-10-24T00:00:00"/>
    <s v="Story"/>
    <s v="Top Trending Tracks Updated Daily!"/>
    <n v="1914"/>
    <n v="255"/>
    <n v="156"/>
    <n v="27660"/>
    <n v="47776"/>
    <n v="111"/>
    <s v="#Nowplaying"/>
    <x v="2"/>
    <d v="2024-12-01T00:00:00"/>
    <d v="2024-12-31T00:00:00"/>
    <x v="1"/>
    <n v="8.4056399132321047E-2"/>
    <n v="2325"/>
  </r>
  <r>
    <s v="SP285"/>
    <s v="Youtube"/>
    <d v="2025-01-29T00:00:00"/>
    <s v="Text"/>
    <s v="New Music Just Dropped. Hit Play!"/>
    <n v="1334"/>
    <n v="357"/>
    <n v="257"/>
    <n v="56910"/>
    <n v="70606"/>
    <n v="228"/>
    <s v="#Discoverweekly,#Spotifywrapped"/>
    <x v="1"/>
    <d v="2025-03-01T00:00:00"/>
    <d v="2025-03-31T00:00:00"/>
    <x v="1"/>
    <n v="3.4229485151994379E-2"/>
    <n v="1948"/>
  </r>
  <r>
    <s v="SP286"/>
    <s v="Instagram"/>
    <d v="2024-05-01T00:00:00"/>
    <s v="Text"/>
    <s v="Get Into The Groove With Our New Drop!"/>
    <n v="3359"/>
    <n v="137"/>
    <n v="387"/>
    <n v="33861"/>
    <n v="47257"/>
    <n v="198"/>
    <s v="#Discoverweekly"/>
    <x v="1"/>
    <d v="2025-03-01T00:00:00"/>
    <d v="2025-03-31T00:00:00"/>
    <x v="1"/>
    <n v="0.11467469950680724"/>
    <n v="3883"/>
  </r>
  <r>
    <s v="SP287"/>
    <s v="Youtube"/>
    <d v="2024-06-25T00:00:00"/>
    <s v="Text"/>
    <s v="Your Weekend Playlist Is Waiting."/>
    <n v="2172"/>
    <n v="338"/>
    <n v="70"/>
    <n v="30515"/>
    <n v="57853"/>
    <n v="156"/>
    <s v="#Discoverweekly,#Spotifywrapped"/>
    <x v="1"/>
    <d v="2025-03-01T00:00:00"/>
    <d v="2025-03-31T00:00:00"/>
    <x v="1"/>
    <n v="8.4548582664263475E-2"/>
    <n v="2580"/>
  </r>
  <r>
    <s v="SP288"/>
    <s v="Twitter"/>
    <d v="2024-08-09T00:00:00"/>
    <s v="Story"/>
    <s v="From Pop To Podcasts, Itâ€™S All Here."/>
    <n v="4877"/>
    <n v="442"/>
    <n v="236"/>
    <n v="52673"/>
    <n v="48241"/>
    <n v="114"/>
    <s v="#Discoverweekly,#Musicforeveryone"/>
    <x v="0"/>
    <d v="2025-01-10T00:00:00"/>
    <d v="2025-02-10T00:00:00"/>
    <x v="1"/>
    <n v="0.10546200140489435"/>
    <n v="5555"/>
  </r>
  <r>
    <s v="SP289"/>
    <s v="Instagram"/>
    <d v="2025-01-21T00:00:00"/>
    <s v="Story"/>
    <s v="New Music Just Dropped. Hit Play!"/>
    <n v="4918"/>
    <n v="440"/>
    <n v="149"/>
    <n v="53269"/>
    <n v="64370"/>
    <n v="269"/>
    <s v="#Nowplaying"/>
    <x v="2"/>
    <d v="2024-12-01T00:00:00"/>
    <d v="2024-12-31T00:00:00"/>
    <x v="0"/>
    <n v="0.10338095327488783"/>
    <n v="5507"/>
  </r>
  <r>
    <s v="SP290"/>
    <s v="Twitter"/>
    <d v="2024-08-13T00:00:00"/>
    <s v="Text"/>
    <s v="Explore The Latest Podcasts Now."/>
    <n v="3418"/>
    <n v="107"/>
    <n v="221"/>
    <n v="23927"/>
    <n v="26182"/>
    <n v="155"/>
    <s v="#Soundtrackoflife"/>
    <x v="1"/>
    <d v="2025-03-01T00:00:00"/>
    <d v="2025-03-31T00:00:00"/>
    <x v="1"/>
    <n v="0.1565595352530614"/>
    <n v="3746"/>
  </r>
  <r>
    <s v="SP291"/>
    <s v="Instagram"/>
    <d v="2024-06-29T00:00:00"/>
    <s v="Text"/>
    <s v="Your Weekend Playlist Is Waiting."/>
    <n v="2088"/>
    <n v="490"/>
    <n v="124"/>
    <n v="46544"/>
    <n v="69346"/>
    <n v="178"/>
    <s v="#Soundtrackoflife,#Nowplaying"/>
    <x v="0"/>
    <d v="2025-01-10T00:00:00"/>
    <d v="2025-02-10T00:00:00"/>
    <x v="1"/>
    <n v="5.8052595393606049E-2"/>
    <n v="2702"/>
  </r>
  <r>
    <s v="SP292"/>
    <s v="Twitter"/>
    <d v="2024-11-03T00:00:00"/>
    <s v="Story"/>
    <s v="Explore The Latest Podcasts Now."/>
    <n v="3061"/>
    <n v="320"/>
    <n v="76"/>
    <n v="26640"/>
    <n v="24306"/>
    <n v="112"/>
    <s v="#Musicforeveryone,#Nowplaying"/>
    <x v="0"/>
    <d v="2025-01-10T00:00:00"/>
    <d v="2025-02-10T00:00:00"/>
    <x v="1"/>
    <n v="0.12976726726726726"/>
    <n v="3457"/>
  </r>
  <r>
    <s v="SP293"/>
    <s v="Youtube"/>
    <d v="2025-04-18T00:00:00"/>
    <s v="Reel"/>
    <s v="Your Weekend Playlist Is Waiting."/>
    <n v="1265"/>
    <n v="230"/>
    <n v="364"/>
    <n v="41312"/>
    <n v="50382"/>
    <n v="106"/>
    <s v="#Discoverweekly,#Soundtrackoflife"/>
    <x v="3"/>
    <d v="2024-06-15T00:00:00"/>
    <d v="2024-07-15T00:00:00"/>
    <x v="0"/>
    <n v="4.4999031758326875E-2"/>
    <n v="1859"/>
  </r>
  <r>
    <s v="SP294"/>
    <s v="Instagram"/>
    <d v="2024-12-27T00:00:00"/>
    <s v="Text"/>
    <s v="From Pop To Podcasts, Itâ€™S All Here."/>
    <n v="1436"/>
    <n v="219"/>
    <n v="229"/>
    <n v="58488"/>
    <n v="24314"/>
    <n v="147"/>
    <s v="#Discoverweekly"/>
    <x v="1"/>
    <d v="2025-03-01T00:00:00"/>
    <d v="2025-03-31T00:00:00"/>
    <x v="1"/>
    <n v="3.221173574066475E-2"/>
    <n v="1884"/>
  </r>
  <r>
    <s v="SP295"/>
    <s v="Instagram"/>
    <d v="2025-03-08T00:00:00"/>
    <s v="Story"/>
    <s v="Top Trending Tracks Updated Daily!"/>
    <n v="2244"/>
    <n v="392"/>
    <n v="231"/>
    <n v="25834"/>
    <n v="50906"/>
    <n v="165"/>
    <s v="#Nowplaying"/>
    <x v="2"/>
    <d v="2024-12-01T00:00:00"/>
    <d v="2024-12-31T00:00:00"/>
    <x v="0"/>
    <n v="0.1109777812185492"/>
    <n v="2867"/>
  </r>
  <r>
    <s v="SP296"/>
    <s v="Twitter"/>
    <d v="2025-03-20T00:00:00"/>
    <s v="Story"/>
    <s v="Your Weekend Playlist Is Waiting."/>
    <n v="3393"/>
    <n v="104"/>
    <n v="79"/>
    <n v="30025"/>
    <n v="21593"/>
    <n v="165"/>
    <s v="#Musicforeveryone,#Nowplaying"/>
    <x v="0"/>
    <d v="2025-01-10T00:00:00"/>
    <d v="2025-02-10T00:00:00"/>
    <x v="0"/>
    <n v="0.1191007493755204"/>
    <n v="3576"/>
  </r>
  <r>
    <s v="SP297"/>
    <s v="Twitter"/>
    <d v="2024-11-16T00:00:00"/>
    <s v="Text"/>
    <s v="Explore The Latest Podcasts Now."/>
    <n v="2901"/>
    <n v="108"/>
    <n v="86"/>
    <n v="51777"/>
    <n v="23773"/>
    <n v="160"/>
    <s v="#Soundtrackoflife"/>
    <x v="1"/>
    <d v="2025-03-01T00:00:00"/>
    <d v="2025-03-31T00:00:00"/>
    <x v="1"/>
    <n v="5.9775576027966085E-2"/>
    <n v="3095"/>
  </r>
  <r>
    <s v="SP298"/>
    <s v="Twitter"/>
    <d v="2025-06-30T00:00:00"/>
    <s v="Text"/>
    <s v="Whatâ€™S Your Vibe Today? #Spotifyhits"/>
    <n v="2275"/>
    <n v="285"/>
    <n v="125"/>
    <n v="43970"/>
    <n v="74761"/>
    <n v="83"/>
    <s v="#Nowplaying"/>
    <x v="0"/>
    <d v="2025-01-10T00:00:00"/>
    <d v="2025-02-10T00:00:00"/>
    <x v="0"/>
    <n v="6.1064362065044349E-2"/>
    <n v="2685"/>
  </r>
  <r>
    <s v="SP299"/>
    <s v="Twitter"/>
    <d v="2024-01-12T00:00:00"/>
    <s v="Story"/>
    <s v="Wrapped Is Here! Relive Your Top Tracks Ðÿž§"/>
    <n v="2227"/>
    <n v="494"/>
    <n v="161"/>
    <n v="51651"/>
    <n v="68074"/>
    <n v="240"/>
    <s v="#Discoverweekly,#Musicforeveryone"/>
    <x v="0"/>
    <d v="2025-01-10T00:00:00"/>
    <d v="2025-02-10T00:00:00"/>
    <x v="1"/>
    <n v="5.5797564422760453E-2"/>
    <n v="2882"/>
  </r>
  <r>
    <s v="SP300"/>
    <s v="Instagram"/>
    <d v="2024-02-07T00:00:00"/>
    <s v="Text"/>
    <s v="Music That Moves Youâ€”Only On Spotify."/>
    <n v="1883"/>
    <n v="432"/>
    <n v="397"/>
    <n v="28759"/>
    <n v="18691"/>
    <n v="270"/>
    <s v="#Soundtrackoflife,#Nowplaying"/>
    <x v="0"/>
    <d v="2025-01-10T00:00:00"/>
    <d v="2025-02-10T00:00:00"/>
    <x v="1"/>
    <n v="9.4300914496331587E-2"/>
    <n v="271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d v="2024-06-15T00:00:00"/>
    <d v="2024-07-15T00:00:00"/>
    <s v="Brand Awareness"/>
    <s v="Brand Awareness"/>
    <n v="175000"/>
    <s v="Instagram,YouTube"/>
    <s v="#SpotifyWrapped,#MusicForEveryone"/>
    <n v="61565"/>
    <n v="13558"/>
  </r>
  <r>
    <x v="1"/>
    <d v="2024-12-01T00:00:00"/>
    <d v="2024-12-31T00:00:00"/>
    <s v="Engagement"/>
    <s v="Engagement"/>
    <n v="225000"/>
    <s v="Twitter,YouTube"/>
    <s v="#SpotifyWrapped,#NowPlaying"/>
    <n v="66315"/>
    <n v="11361"/>
  </r>
  <r>
    <x v="2"/>
    <d v="2025-01-10T00:00:00"/>
    <d v="2025-02-10T00:00:00"/>
    <s v="Product Launch"/>
    <s v="Product Launch"/>
    <n v="200000"/>
    <s v="Instagram,Twitter"/>
    <s v="#ChillVibes,#SoundtrackOfLife"/>
    <n v="77499"/>
    <n v="10142"/>
  </r>
  <r>
    <x v="3"/>
    <d v="2025-03-01T00:00:00"/>
    <d v="2025-03-31T00:00:00"/>
    <s v="Traffic"/>
    <s v="Traffic"/>
    <n v="160000"/>
    <s v="Facebook,Instagram"/>
    <s v="#DiscoverWeekly,#IndieWave"/>
    <n v="50687"/>
    <n v="127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FF4EF8-6172-46CD-BC9B-17D48FE1399D}"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Names">
  <location ref="K23:L28" firstHeaderRow="1" firstDataRow="1" firstDataCol="1"/>
  <pivotFields count="1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numFmtId="14" showAll="0"/>
    <pivotField numFmtId="14" showAll="0"/>
    <pivotField showAll="0"/>
    <pivotField showAll="0"/>
    <pivotField showAll="0"/>
    <pivotField showAll="0"/>
    <pivotField showAll="0"/>
    <pivotField showAll="0"/>
    <pivotField dataField="1" showAll="0"/>
  </pivotFields>
  <rowFields count="1">
    <field x="0"/>
  </rowFields>
  <rowItems count="5">
    <i>
      <x v="2"/>
    </i>
    <i>
      <x v="1"/>
    </i>
    <i>
      <x v="3"/>
    </i>
    <i>
      <x/>
    </i>
    <i t="grand">
      <x/>
    </i>
  </rowItems>
  <colItems count="1">
    <i/>
  </colItems>
  <dataFields count="1">
    <dataField name="Sum of Follower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625615-0ADA-4DAE-AB38-D28EC9FC21B9}"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Names">
  <location ref="K3:M8" firstHeaderRow="0" firstDataRow="1" firstDataCol="1"/>
  <pivotFields count="10">
    <pivotField axis="axisRow" showAll="0">
      <items count="5">
        <item x="2"/>
        <item x="3"/>
        <item x="0"/>
        <item x="1"/>
        <item t="default"/>
      </items>
    </pivotField>
    <pivotField numFmtId="14" showAll="0"/>
    <pivotField numFmtId="14" showAll="0"/>
    <pivotField showAll="0"/>
    <pivotField showAll="0"/>
    <pivotField dataField="1" showAll="0"/>
    <pivotField showAll="0"/>
    <pivotField showAll="0"/>
    <pivotField dataField="1" showAll="0"/>
    <pivotField showAll="0"/>
  </pivotFields>
  <rowFields count="1">
    <field x="0"/>
  </rowFields>
  <rowItems count="5">
    <i>
      <x/>
    </i>
    <i>
      <x v="1"/>
    </i>
    <i>
      <x v="2"/>
    </i>
    <i>
      <x v="3"/>
    </i>
    <i t="grand">
      <x/>
    </i>
  </rowItems>
  <colFields count="1">
    <field x="-2"/>
  </colFields>
  <colItems count="2">
    <i>
      <x/>
    </i>
    <i i="1">
      <x v="1"/>
    </i>
  </colItems>
  <dataFields count="2">
    <dataField name="Sum of Engagement" fld="8" baseField="0" baseItem="0"/>
    <dataField name="Sum of Total_Budget" fld="5" baseField="0" baseItem="0"/>
  </dataFields>
  <formats count="6">
    <format dxfId="14">
      <pivotArea type="all" dataOnly="0" outline="0" fieldPosition="0"/>
    </format>
    <format dxfId="13">
      <pivotArea outline="0" collapsedLevelsAreSubtotals="1" fieldPosition="0"/>
    </format>
    <format dxfId="12">
      <pivotArea field="0" type="button" dataOnly="0" labelOnly="1" outline="0" axis="axisRow" fieldPosition="0"/>
    </format>
    <format dxfId="11">
      <pivotArea dataOnly="0" labelOnly="1" fieldPosition="0">
        <references count="1">
          <reference field="0" count="0"/>
        </references>
      </pivotArea>
    </format>
    <format dxfId="10">
      <pivotArea dataOnly="0" labelOnly="1" grandRow="1" outline="0" fieldPosition="0"/>
    </format>
    <format dxfId="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83D725-115D-4204-AC36-C8F20E32FB85}" name="PivotTable6"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15:C21" firstHeaderRow="1" firstDataRow="2" firstDataCol="1"/>
  <pivotFields count="18">
    <pivotField showAll="0"/>
    <pivotField showAll="0"/>
    <pivotField numFmtId="14" showAll="0"/>
    <pivotField showAll="0"/>
    <pivotField showAll="0"/>
    <pivotField numFmtId="1" showAll="0"/>
    <pivotField numFmtId="1" showAll="0"/>
    <pivotField numFmtId="1" showAll="0"/>
    <pivotField numFmtId="1" showAll="0"/>
    <pivotField numFmtId="1" showAll="0"/>
    <pivotField numFmtId="1" showAll="0"/>
    <pivotField showAll="0"/>
    <pivotField axis="axisRow" showAll="0">
      <items count="5">
        <item x="0"/>
        <item x="1"/>
        <item x="3"/>
        <item x="2"/>
        <item t="default"/>
      </items>
    </pivotField>
    <pivotField numFmtId="14" showAll="0"/>
    <pivotField numFmtId="14" showAll="0"/>
    <pivotField axis="axisCol" showAll="0">
      <items count="4">
        <item h="1" x="0"/>
        <item x="1"/>
        <item x="2"/>
        <item t="default"/>
      </items>
    </pivotField>
    <pivotField showAll="0"/>
    <pivotField dataField="1" numFmtId="1" showAll="0"/>
  </pivotFields>
  <rowFields count="1">
    <field x="12"/>
  </rowFields>
  <rowItems count="5">
    <i>
      <x/>
    </i>
    <i>
      <x v="1"/>
    </i>
    <i>
      <x v="2"/>
    </i>
    <i>
      <x v="3"/>
    </i>
    <i t="grand">
      <x/>
    </i>
  </rowItems>
  <colFields count="1">
    <field x="15"/>
  </colFields>
  <colItems count="2">
    <i>
      <x v="1"/>
    </i>
    <i>
      <x v="2"/>
    </i>
  </colItems>
  <dataFields count="1">
    <dataField name="Average of Engagement" fld="17" subtotal="average" baseField="12" baseItem="0" numFmtId="1"/>
  </dataFields>
  <formats count="9">
    <format dxfId="8">
      <pivotArea type="all" dataOnly="0" outline="0" fieldPosition="0"/>
    </format>
    <format dxfId="7">
      <pivotArea outline="0" collapsedLevelsAreSubtotals="1" fieldPosition="0"/>
    </format>
    <format dxfId="6">
      <pivotArea type="origin" dataOnly="0" labelOnly="1" outline="0" fieldPosition="0"/>
    </format>
    <format dxfId="5">
      <pivotArea field="15" type="button" dataOnly="0" labelOnly="1" outline="0" axis="axisCol" fieldPosition="0"/>
    </format>
    <format dxfId="4">
      <pivotArea type="topRight" dataOnly="0" labelOnly="1" outline="0" fieldPosition="0"/>
    </format>
    <format dxfId="3">
      <pivotArea field="12" type="button" dataOnly="0" labelOnly="1" outline="0" axis="axisRow" fieldPosition="0"/>
    </format>
    <format dxfId="2">
      <pivotArea dataOnly="0" labelOnly="1" fieldPosition="0">
        <references count="1">
          <reference field="12" count="0"/>
        </references>
      </pivotArea>
    </format>
    <format dxfId="1">
      <pivotArea dataOnly="0" labelOnly="1" grandRow="1" outline="0" fieldPosition="0"/>
    </format>
    <format dxfId="0">
      <pivotArea dataOnly="0" labelOnly="1" fieldPosition="0">
        <references count="1">
          <reference field="1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E9D41F-D240-42E9-949C-75C0B2E582E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9" firstHeaderRow="0" firstDataRow="1" firstDataCol="1"/>
  <pivotFields count="16">
    <pivotField showAll="0"/>
    <pivotField showAll="0"/>
    <pivotField showAll="0"/>
    <pivotField showAll="0"/>
    <pivotField showAll="0"/>
    <pivotField dataField="1" showAll="0"/>
    <pivotField showAll="0"/>
    <pivotField showAll="0"/>
    <pivotField dataField="1" showAll="0"/>
    <pivotField showAll="0"/>
    <pivotField dataField="1" showAll="0"/>
    <pivotField showAll="0"/>
    <pivotField axis="axisRow" showAll="0" sortType="descending">
      <items count="6">
        <item x="0"/>
        <item x="1"/>
        <item x="3"/>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6">
    <i>
      <x/>
    </i>
    <i>
      <x v="1"/>
    </i>
    <i>
      <x v="2"/>
    </i>
    <i>
      <x v="3"/>
    </i>
    <i>
      <x v="4"/>
    </i>
    <i t="grand">
      <x/>
    </i>
  </rowItems>
  <colFields count="1">
    <field x="-2"/>
  </colFields>
  <colItems count="6">
    <i>
      <x/>
    </i>
    <i i="1">
      <x v="1"/>
    </i>
    <i i="2">
      <x v="2"/>
    </i>
    <i i="3">
      <x v="3"/>
    </i>
    <i i="4">
      <x v="4"/>
    </i>
    <i i="5">
      <x v="5"/>
    </i>
  </colItems>
  <dataFields count="6">
    <dataField name="Sum of Clicks" fld="10" baseField="0" baseItem="0"/>
    <dataField name="Average of Clicks" fld="10" subtotal="average" baseField="12" baseItem="0" numFmtId="1"/>
    <dataField name="Sum of Impressions" fld="8" baseField="0" baseItem="0"/>
    <dataField name="Average of Impressions" fld="8" subtotal="average" baseField="12" baseItem="0" numFmtId="1"/>
    <dataField name="Sum of Likes" fld="5" baseField="0" baseItem="0"/>
    <dataField name="Average of Likes" fld="5" subtotal="average" baseField="12"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BF6F5-1323-440E-BBCA-C8917EE8B1A9}" name="Table2" displayName="Table2" ref="A1:I202" totalsRowShown="0" headerRowDxfId="56">
  <autoFilter ref="A1:I202" xr:uid="{2E3BF1AF-C845-4DFE-A346-14C63B987195}"/>
  <tableColumns count="9">
    <tableColumn id="1" xr3:uid="{FA4C2730-4913-4B72-BA5C-2976290C1637}" name="Week_Start_Date" dataDxfId="55"/>
    <tableColumn id="2" xr3:uid="{789D03B5-1046-43C8-B86F-ACC5012F7776}" name="Platform" dataDxfId="54"/>
    <tableColumn id="3" xr3:uid="{4A33A6D5-8A3B-48DB-893D-81714E045138}" name="New_Followers" dataDxfId="53"/>
    <tableColumn id="4" xr3:uid="{7657A763-DBFD-44A8-8B61-3E45C499A817}" name="Unfollows" dataDxfId="52"/>
    <tableColumn id="5" xr3:uid="{E724F260-E354-48B3-8750-232D78D4F734}" name="Total_Followers" dataDxfId="51"/>
    <tableColumn id="6" xr3:uid="{DF2CEC3E-D0E2-4561-A659-BD940DCECBE5}" name="Engagement_Rate" dataDxfId="50"/>
    <tableColumn id="7" xr3:uid="{E455010A-E1B0-44F8-AA0E-CA00958AF630}" name="Ad_Spend" dataDxfId="49"/>
    <tableColumn id="8" xr3:uid="{A9092A86-10E3-48A8-87C3-1DF21AC1E766}" name="follower gain" dataDxfId="48">
      <calculatedColumnFormula>Table2[[#This Row],[New_Followers]]-Table2[[#This Row],[Unfollows]]</calculatedColumnFormula>
    </tableColumn>
    <tableColumn id="9" xr3:uid="{CB89E98B-8108-4941-97D4-2A02FE104E74}" name="Follower Growth Rate" dataDxfId="47">
      <calculatedColumnFormula>(Table2[[#This Row],[follower gain]]/Table2[[#This Row],[Total_Followers]])*100</calculatedColumnFormula>
    </tableColumn>
  </tableColumns>
  <tableStyleInfo name="TableStyleDark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547B21-5CEA-4319-986F-CABBDF6138B5}" name="Table3" displayName="Table3" ref="A1:J5" totalsRowShown="0" headerRowDxfId="46" dataDxfId="44" headerRowBorderDxfId="45" tableBorderDxfId="43">
  <autoFilter ref="A1:J5" xr:uid="{39547B21-5CEA-4319-986F-CABBDF6138B5}"/>
  <tableColumns count="10">
    <tableColumn id="1" xr3:uid="{9DD35F4F-D391-4666-9EDA-2B78FB4868DC}" name="Campaign_Name" dataDxfId="42"/>
    <tableColumn id="2" xr3:uid="{E07D5C6A-567B-4547-98A1-76A98DEC4645}" name="Start_Date" dataDxfId="41"/>
    <tableColumn id="3" xr3:uid="{2FC6F6B1-F0D0-4BE2-A0DF-AB475560F00C}" name="End_Date" dataDxfId="40"/>
    <tableColumn id="4" xr3:uid="{E6AA0333-F2E1-418A-AB87-4049B37B4DFB}" name="Objective" dataDxfId="39"/>
    <tableColumn id="5" xr3:uid="{0A71F97A-B748-47FC-A54F-732CD04DA888}" name="Objective2" dataDxfId="38">
      <calculatedColumnFormula>PROPER(TRIM(D2))</calculatedColumnFormula>
    </tableColumn>
    <tableColumn id="6" xr3:uid="{E00310E0-7F65-47C1-9352-4B62ABD0EF83}" name="Total_Budget" dataDxfId="37"/>
    <tableColumn id="7" xr3:uid="{FC5C1500-FFAA-4388-97BD-F5229FF801B0}" name="Target_Platforms" dataDxfId="36"/>
    <tableColumn id="8" xr3:uid="{2BE85260-344C-48FA-8CEE-63512FBFE7F2}" name="Primary_Hashtags" dataDxfId="35"/>
    <tableColumn id="9" xr3:uid="{4E8835A5-5FFF-44BF-B6E1-D351946DEC51}" name="Engagement" dataDxfId="34">
      <calculatedColumnFormula>SUMIFS(Posts!R:R, Posts!C:C, "&gt;="&amp;B2, Posts!C:C, "&lt;="&amp;C2)</calculatedColumnFormula>
    </tableColumn>
    <tableColumn id="10" xr3:uid="{42C83EE9-7DFC-4340-A567-FCF1B00DFC05}" name="Followers" dataDxfId="33">
      <calculatedColumnFormula>SUMIFS('Engagement Summary'!H:H, 'Engagement Summary'!A:A, "&gt;="&amp;B2, 'Engagement Summary'!A:A, "&lt;=" &amp; C2)</calculatedColumnFormula>
    </tableColumn>
  </tableColumns>
  <tableStyleInfo name="TableStyleDark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20435C-0095-4058-8454-CCC291DB284A}" name="Table4" displayName="Table4" ref="A1:R301" totalsRowShown="0" dataDxfId="32">
  <autoFilter ref="A1:R301" xr:uid="{5220435C-0095-4058-8454-CCC291DB284A}"/>
  <tableColumns count="18">
    <tableColumn id="1" xr3:uid="{63BF71A3-2EA1-44BF-A122-D59555643A6E}" name="Post ID" dataDxfId="31"/>
    <tableColumn id="2" xr3:uid="{5A257E49-3A87-40A9-9525-E47230B2861F}" name="Platform" dataDxfId="30"/>
    <tableColumn id="3" xr3:uid="{A4258D79-BA8A-43F5-B931-0A810C3EA0FA}" name="Date" dataDxfId="29"/>
    <tableColumn id="4" xr3:uid="{1F0E4F47-C224-4630-9B6B-D99B84BB74EC}" name="Content Type" dataDxfId="28"/>
    <tableColumn id="5" xr3:uid="{5669A54C-2063-4884-B262-789EA8097881}" name="Post Text" dataDxfId="27"/>
    <tableColumn id="6" xr3:uid="{21650F34-D222-4CA8-8B34-C4146098E335}" name="Likes" dataDxfId="26"/>
    <tableColumn id="7" xr3:uid="{B7CC4412-131B-49F1-90C5-EE965E66E963}" name="Shares" dataDxfId="25"/>
    <tableColumn id="8" xr3:uid="{4C89280D-69D2-43C6-9AC7-CDFF46C03F37}" name="Comments" dataDxfId="24"/>
    <tableColumn id="9" xr3:uid="{BC5E6104-D1DE-4531-9EBC-AC0370793506}" name="Impressions" dataDxfId="23"/>
    <tableColumn id="10" xr3:uid="{F8E6943B-9F2B-48EF-AD31-7BFBB1097E11}" name="Reach" dataDxfId="22"/>
    <tableColumn id="11" xr3:uid="{854BDBD2-0B0D-466D-AAA7-B02A6F4F44B0}" name="Clicks" dataDxfId="21"/>
    <tableColumn id="12" xr3:uid="{BA9829C1-665B-40B6-935A-671C07C75391}" name="Hashtags Used" dataDxfId="20"/>
    <tableColumn id="13" xr3:uid="{3E7E5F28-2ED2-4516-BCE9-60EFC425DF5F}" name="Campaign_Name" dataDxfId="19"/>
    <tableColumn id="14" xr3:uid="{1631594D-978A-427D-8B4B-FE3DF5EB1A40}" name="Campaign start date " dataDxfId="18">
      <calculatedColumnFormula>INDEX('[1]Campaign Metadata '!B:B,MATCH(M2,'[1]Campaign Metadata '!A:A,0))</calculatedColumnFormula>
    </tableColumn>
    <tableColumn id="15" xr3:uid="{E5B642BD-B012-4D3D-8D51-1F3B87D7F4A7}" name="Campaign end date" dataDxfId="17">
      <calculatedColumnFormula>INDEX('[1]Campaign Metadata '!C:C,MATCH(M2,'[1]Campaign Metadata '!A:A,0))</calculatedColumnFormula>
    </tableColumn>
    <tableColumn id="16" xr3:uid="{04BD729F-9ED8-44E3-81DE-D6C377C292FF}" name="Campaign phase" dataDxfId="16">
      <calculatedColumnFormula>IF(AND(C2&lt;=O2,C2&gt;=N2),"DURING",IF(C2&lt;O2,"BEFORE", "AFTER"))</calculatedColumnFormula>
    </tableColumn>
    <tableColumn id="17" xr3:uid="{5C97BAF3-BC7D-47FB-B1D2-4D68D20250A2}" name="Engagement Rate">
      <calculatedColumnFormula>(Posts!$F2+Posts!$G2+Posts!$H2)/Posts!$I2</calculatedColumnFormula>
    </tableColumn>
    <tableColumn id="18" xr3:uid="{AB523614-8ECF-4D3E-8AD0-489514D2EF8D}" name="Engagement" dataDxfId="15">
      <calculatedColumnFormula>F2+G2+H2</calculatedColumnFormula>
    </tableColumn>
  </tableColumns>
  <tableStyleInfo name="TableStyleDark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43017-3FD4-4902-BF1F-C6938656748F}">
  <dimension ref="A1:I1000"/>
  <sheetViews>
    <sheetView workbookViewId="0">
      <selection activeCell="I2" sqref="I2"/>
    </sheetView>
  </sheetViews>
  <sheetFormatPr defaultColWidth="14.42578125" defaultRowHeight="15" customHeight="1"/>
  <cols>
    <col min="1" max="1" width="23.85546875" style="11" customWidth="1"/>
    <col min="2" max="2" width="23.85546875" style="20" customWidth="1"/>
    <col min="3" max="3" width="17.42578125" style="1" customWidth="1"/>
    <col min="4" max="4" width="12.7109375" style="1" customWidth="1"/>
    <col min="5" max="5" width="17.85546875" style="1" customWidth="1"/>
    <col min="6" max="6" width="21.7109375" style="21" customWidth="1"/>
    <col min="7" max="7" width="12.7109375" style="1" customWidth="1"/>
    <col min="8" max="8" width="19.5703125" customWidth="1"/>
    <col min="9" max="9" width="23.28515625" customWidth="1"/>
    <col min="10" max="26" width="8.7109375" customWidth="1"/>
  </cols>
  <sheetData>
    <row r="1" spans="1:9">
      <c r="A1" s="5" t="s">
        <v>364</v>
      </c>
      <c r="B1" s="17" t="s">
        <v>7</v>
      </c>
      <c r="C1" s="6" t="s">
        <v>365</v>
      </c>
      <c r="D1" s="6" t="s">
        <v>366</v>
      </c>
      <c r="E1" s="6" t="s">
        <v>367</v>
      </c>
      <c r="F1" s="18" t="s">
        <v>368</v>
      </c>
      <c r="G1" s="6" t="s">
        <v>369</v>
      </c>
      <c r="H1" s="6" t="s">
        <v>384</v>
      </c>
      <c r="I1" s="6" t="s">
        <v>383</v>
      </c>
    </row>
    <row r="2" spans="1:9">
      <c r="A2" s="7">
        <v>45446</v>
      </c>
      <c r="B2" s="17" t="s">
        <v>23</v>
      </c>
      <c r="C2" s="8">
        <v>1402</v>
      </c>
      <c r="D2" s="8">
        <v>68</v>
      </c>
      <c r="E2" s="8">
        <v>124562</v>
      </c>
      <c r="F2" s="19">
        <v>9.92</v>
      </c>
      <c r="G2" s="8">
        <v>23125</v>
      </c>
      <c r="H2" s="1">
        <f>Table2[[#This Row],[New_Followers]]-Table2[[#This Row],[Unfollows]]</f>
        <v>1334</v>
      </c>
      <c r="I2" s="4">
        <f>(Table2[[#This Row],[follower gain]]/Table2[[#This Row],[Total_Followers]])*100</f>
        <v>1.0709526179733788</v>
      </c>
    </row>
    <row r="3" spans="1:9">
      <c r="A3" s="7">
        <v>45446</v>
      </c>
      <c r="B3" s="17" t="s">
        <v>31</v>
      </c>
      <c r="C3" s="8">
        <v>995</v>
      </c>
      <c r="D3" s="8">
        <v>86</v>
      </c>
      <c r="E3" s="8">
        <v>227958</v>
      </c>
      <c r="F3" s="19">
        <v>8.0500000000000007</v>
      </c>
      <c r="G3" s="8">
        <v>22788</v>
      </c>
      <c r="H3" s="1">
        <f>Table2[[#This Row],[New_Followers]]-Table2[[#This Row],[Unfollows]]</f>
        <v>909</v>
      </c>
      <c r="I3" s="4">
        <f>(Table2[[#This Row],[follower gain]]/Table2[[#This Row],[Total_Followers]])*100</f>
        <v>0.39875766588582107</v>
      </c>
    </row>
    <row r="4" spans="1:9">
      <c r="A4" s="7">
        <v>45446</v>
      </c>
      <c r="B4" s="17" t="s">
        <v>38</v>
      </c>
      <c r="C4" s="8">
        <v>1472</v>
      </c>
      <c r="D4" s="8">
        <v>296</v>
      </c>
      <c r="E4" s="8">
        <v>370242</v>
      </c>
      <c r="F4" s="19">
        <v>7.72</v>
      </c>
      <c r="G4" s="8">
        <v>7810</v>
      </c>
      <c r="H4" s="1">
        <f>Table2[[#This Row],[New_Followers]]-Table2[[#This Row],[Unfollows]]</f>
        <v>1176</v>
      </c>
      <c r="I4" s="4">
        <f>(Table2[[#This Row],[follower gain]]/Table2[[#This Row],[Total_Followers]])*100</f>
        <v>0.31763009058939828</v>
      </c>
    </row>
    <row r="5" spans="1:9">
      <c r="A5" s="7">
        <v>45453</v>
      </c>
      <c r="B5" s="17" t="s">
        <v>23</v>
      </c>
      <c r="C5" s="8">
        <v>1018</v>
      </c>
      <c r="D5" s="8">
        <v>90</v>
      </c>
      <c r="E5" s="8">
        <v>92474</v>
      </c>
      <c r="F5" s="19">
        <v>9.4</v>
      </c>
      <c r="G5" s="8">
        <v>11966</v>
      </c>
      <c r="H5" s="1">
        <f>Table2[[#This Row],[New_Followers]]-Table2[[#This Row],[Unfollows]]</f>
        <v>928</v>
      </c>
      <c r="I5" s="4">
        <f>(Table2[[#This Row],[follower gain]]/Table2[[#This Row],[Total_Followers]])*100</f>
        <v>1.0035253152237384</v>
      </c>
    </row>
    <row r="6" spans="1:9">
      <c r="A6" s="7">
        <v>45453</v>
      </c>
      <c r="B6" s="17" t="s">
        <v>31</v>
      </c>
      <c r="C6" s="8">
        <v>1461</v>
      </c>
      <c r="D6" s="8">
        <v>64</v>
      </c>
      <c r="E6" s="8">
        <v>328902</v>
      </c>
      <c r="F6" s="19">
        <v>9.02</v>
      </c>
      <c r="G6" s="8">
        <v>26298</v>
      </c>
      <c r="H6" s="1">
        <f>Table2[[#This Row],[New_Followers]]-Table2[[#This Row],[Unfollows]]</f>
        <v>1397</v>
      </c>
      <c r="I6" s="4">
        <f>(Table2[[#This Row],[follower gain]]/Table2[[#This Row],[Total_Followers]])*100</f>
        <v>0.42474658104845819</v>
      </c>
    </row>
    <row r="7" spans="1:9">
      <c r="A7" s="7">
        <v>45453</v>
      </c>
      <c r="B7" s="17" t="s">
        <v>38</v>
      </c>
      <c r="C7" s="8">
        <v>545</v>
      </c>
      <c r="D7" s="8">
        <v>93</v>
      </c>
      <c r="E7" s="8">
        <v>391621</v>
      </c>
      <c r="F7" s="19">
        <v>9.9600000000000009</v>
      </c>
      <c r="G7" s="8">
        <v>22029</v>
      </c>
      <c r="H7" s="1">
        <f>Table2[[#This Row],[New_Followers]]-Table2[[#This Row],[Unfollows]]</f>
        <v>452</v>
      </c>
      <c r="I7" s="4">
        <f>(Table2[[#This Row],[follower gain]]/Table2[[#This Row],[Total_Followers]])*100</f>
        <v>0.11541771253329111</v>
      </c>
    </row>
    <row r="8" spans="1:9">
      <c r="A8" s="7">
        <v>45460</v>
      </c>
      <c r="B8" s="17" t="s">
        <v>23</v>
      </c>
      <c r="C8" s="8">
        <v>881</v>
      </c>
      <c r="D8" s="8">
        <v>291</v>
      </c>
      <c r="E8" s="8">
        <v>95885</v>
      </c>
      <c r="F8" s="19">
        <v>5.29</v>
      </c>
      <c r="G8" s="8">
        <v>12391</v>
      </c>
      <c r="H8" s="1">
        <f>Table2[[#This Row],[New_Followers]]-Table2[[#This Row],[Unfollows]]</f>
        <v>590</v>
      </c>
      <c r="I8" s="4">
        <f>(Table2[[#This Row],[follower gain]]/Table2[[#This Row],[Total_Followers]])*100</f>
        <v>0.61532043593888508</v>
      </c>
    </row>
    <row r="9" spans="1:9">
      <c r="A9" s="7">
        <v>45460</v>
      </c>
      <c r="B9" s="17" t="s">
        <v>31</v>
      </c>
      <c r="C9" s="8">
        <v>1414</v>
      </c>
      <c r="D9" s="8">
        <v>131</v>
      </c>
      <c r="E9" s="8">
        <v>245947</v>
      </c>
      <c r="F9" s="19">
        <v>8.3000000000000007</v>
      </c>
      <c r="G9" s="8">
        <v>14477</v>
      </c>
      <c r="H9" s="1">
        <f>Table2[[#This Row],[New_Followers]]-Table2[[#This Row],[Unfollows]]</f>
        <v>1283</v>
      </c>
      <c r="I9" s="4">
        <f>(Table2[[#This Row],[follower gain]]/Table2[[#This Row],[Total_Followers]])*100</f>
        <v>0.52165710498603357</v>
      </c>
    </row>
    <row r="10" spans="1:9">
      <c r="A10" s="7">
        <v>45460</v>
      </c>
      <c r="B10" s="17" t="s">
        <v>38</v>
      </c>
      <c r="C10" s="8">
        <v>1472</v>
      </c>
      <c r="D10" s="8">
        <v>170</v>
      </c>
      <c r="E10" s="8">
        <v>250428</v>
      </c>
      <c r="F10" s="19">
        <v>4.66</v>
      </c>
      <c r="G10" s="8">
        <v>25040</v>
      </c>
      <c r="H10" s="1">
        <f>Table2[[#This Row],[New_Followers]]-Table2[[#This Row],[Unfollows]]</f>
        <v>1302</v>
      </c>
      <c r="I10" s="4">
        <f>(Table2[[#This Row],[follower gain]]/Table2[[#This Row],[Total_Followers]])*100</f>
        <v>0.51990991422684363</v>
      </c>
    </row>
    <row r="11" spans="1:9">
      <c r="A11" s="7">
        <v>45467</v>
      </c>
      <c r="B11" s="17" t="s">
        <v>23</v>
      </c>
      <c r="C11" s="8">
        <v>809</v>
      </c>
      <c r="D11" s="8">
        <v>197</v>
      </c>
      <c r="E11" s="8">
        <v>87186</v>
      </c>
      <c r="F11" s="19">
        <v>9.48</v>
      </c>
      <c r="G11" s="8">
        <v>22619</v>
      </c>
      <c r="H11" s="1">
        <f>Table2[[#This Row],[New_Followers]]-Table2[[#This Row],[Unfollows]]</f>
        <v>612</v>
      </c>
      <c r="I11" s="4">
        <f>(Table2[[#This Row],[follower gain]]/Table2[[#This Row],[Total_Followers]])*100</f>
        <v>0.70194756038813566</v>
      </c>
    </row>
    <row r="12" spans="1:9">
      <c r="A12" s="7">
        <v>45467</v>
      </c>
      <c r="B12" s="17" t="s">
        <v>31</v>
      </c>
      <c r="C12" s="8">
        <v>1371</v>
      </c>
      <c r="D12" s="8">
        <v>250</v>
      </c>
      <c r="E12" s="8">
        <v>128620</v>
      </c>
      <c r="F12" s="19">
        <v>7.11</v>
      </c>
      <c r="G12" s="8">
        <v>12399</v>
      </c>
      <c r="H12" s="1">
        <f>Table2[[#This Row],[New_Followers]]-Table2[[#This Row],[Unfollows]]</f>
        <v>1121</v>
      </c>
      <c r="I12" s="4">
        <f>(Table2[[#This Row],[follower gain]]/Table2[[#This Row],[Total_Followers]])*100</f>
        <v>0.87155963302752304</v>
      </c>
    </row>
    <row r="13" spans="1:9">
      <c r="A13" s="7">
        <v>45467</v>
      </c>
      <c r="B13" s="17" t="s">
        <v>38</v>
      </c>
      <c r="C13" s="8">
        <v>844</v>
      </c>
      <c r="D13" s="8">
        <v>144</v>
      </c>
      <c r="E13" s="8">
        <v>126015</v>
      </c>
      <c r="F13" s="19">
        <v>9.65</v>
      </c>
      <c r="G13" s="8">
        <v>22456</v>
      </c>
      <c r="H13" s="1">
        <f>Table2[[#This Row],[New_Followers]]-Table2[[#This Row],[Unfollows]]</f>
        <v>700</v>
      </c>
      <c r="I13" s="4">
        <f>(Table2[[#This Row],[follower gain]]/Table2[[#This Row],[Total_Followers]])*100</f>
        <v>0.55548942586200056</v>
      </c>
    </row>
    <row r="14" spans="1:9">
      <c r="A14" s="7">
        <v>45474</v>
      </c>
      <c r="B14" s="17" t="s">
        <v>23</v>
      </c>
      <c r="C14" s="8">
        <v>786</v>
      </c>
      <c r="D14" s="8">
        <v>72</v>
      </c>
      <c r="E14" s="8">
        <v>178615</v>
      </c>
      <c r="F14" s="19">
        <v>5.43</v>
      </c>
      <c r="G14" s="8">
        <v>19328</v>
      </c>
      <c r="H14" s="1">
        <f>Table2[[#This Row],[New_Followers]]-Table2[[#This Row],[Unfollows]]</f>
        <v>714</v>
      </c>
      <c r="I14" s="4">
        <f>(Table2[[#This Row],[follower gain]]/Table2[[#This Row],[Total_Followers]])*100</f>
        <v>0.39974246283906723</v>
      </c>
    </row>
    <row r="15" spans="1:9">
      <c r="A15" s="7">
        <v>45474</v>
      </c>
      <c r="B15" s="17" t="s">
        <v>31</v>
      </c>
      <c r="C15" s="8">
        <v>845</v>
      </c>
      <c r="D15" s="8">
        <v>250</v>
      </c>
      <c r="E15" s="8">
        <v>218228</v>
      </c>
      <c r="F15" s="19">
        <v>4.5199999999999996</v>
      </c>
      <c r="G15" s="8">
        <v>21107</v>
      </c>
      <c r="H15" s="1">
        <f>Table2[[#This Row],[New_Followers]]-Table2[[#This Row],[Unfollows]]</f>
        <v>595</v>
      </c>
      <c r="I15" s="4">
        <f>(Table2[[#This Row],[follower gain]]/Table2[[#This Row],[Total_Followers]])*100</f>
        <v>0.27265062228494968</v>
      </c>
    </row>
    <row r="16" spans="1:9">
      <c r="A16" s="7">
        <v>45474</v>
      </c>
      <c r="B16" s="17" t="s">
        <v>38</v>
      </c>
      <c r="C16" s="8">
        <v>1218</v>
      </c>
      <c r="D16" s="8">
        <v>101</v>
      </c>
      <c r="E16" s="8">
        <v>300397</v>
      </c>
      <c r="F16" s="19">
        <v>4.33</v>
      </c>
      <c r="G16" s="8">
        <v>12277</v>
      </c>
      <c r="H16" s="1">
        <f>Table2[[#This Row],[New_Followers]]-Table2[[#This Row],[Unfollows]]</f>
        <v>1117</v>
      </c>
      <c r="I16" s="4">
        <f>(Table2[[#This Row],[follower gain]]/Table2[[#This Row],[Total_Followers]])*100</f>
        <v>0.37184126339477425</v>
      </c>
    </row>
    <row r="17" spans="1:9">
      <c r="A17" s="7">
        <v>45481</v>
      </c>
      <c r="B17" s="17" t="s">
        <v>23</v>
      </c>
      <c r="C17" s="8">
        <v>797</v>
      </c>
      <c r="D17" s="8">
        <v>130</v>
      </c>
      <c r="E17" s="8">
        <v>340121</v>
      </c>
      <c r="F17" s="19">
        <v>8.52</v>
      </c>
      <c r="G17" s="8">
        <v>11684</v>
      </c>
      <c r="H17" s="1">
        <f>Table2[[#This Row],[New_Followers]]-Table2[[#This Row],[Unfollows]]</f>
        <v>667</v>
      </c>
      <c r="I17" s="4">
        <f>(Table2[[#This Row],[follower gain]]/Table2[[#This Row],[Total_Followers]])*100</f>
        <v>0.19610667968164272</v>
      </c>
    </row>
    <row r="18" spans="1:9">
      <c r="A18" s="7">
        <v>45481</v>
      </c>
      <c r="B18" s="17" t="s">
        <v>31</v>
      </c>
      <c r="C18" s="8">
        <v>1471</v>
      </c>
      <c r="D18" s="8">
        <v>100</v>
      </c>
      <c r="E18" s="8">
        <v>76866</v>
      </c>
      <c r="F18" s="19">
        <v>8.5500000000000007</v>
      </c>
      <c r="G18" s="8">
        <v>14412</v>
      </c>
      <c r="H18" s="1">
        <f>Table2[[#This Row],[New_Followers]]-Table2[[#This Row],[Unfollows]]</f>
        <v>1371</v>
      </c>
      <c r="I18" s="4">
        <f>(Table2[[#This Row],[follower gain]]/Table2[[#This Row],[Total_Followers]])*100</f>
        <v>1.7836234485988602</v>
      </c>
    </row>
    <row r="19" spans="1:9">
      <c r="A19" s="7">
        <v>45481</v>
      </c>
      <c r="B19" s="17" t="s">
        <v>38</v>
      </c>
      <c r="C19" s="8">
        <v>1253</v>
      </c>
      <c r="D19" s="8">
        <v>136</v>
      </c>
      <c r="E19" s="8">
        <v>193131</v>
      </c>
      <c r="F19" s="19">
        <v>7.99</v>
      </c>
      <c r="G19" s="8">
        <v>15924</v>
      </c>
      <c r="H19" s="1">
        <f>Table2[[#This Row],[New_Followers]]-Table2[[#This Row],[Unfollows]]</f>
        <v>1117</v>
      </c>
      <c r="I19" s="4">
        <f>(Table2[[#This Row],[follower gain]]/Table2[[#This Row],[Total_Followers]])*100</f>
        <v>0.57836390843520724</v>
      </c>
    </row>
    <row r="20" spans="1:9">
      <c r="A20" s="7">
        <v>45488</v>
      </c>
      <c r="B20" s="17" t="s">
        <v>23</v>
      </c>
      <c r="C20" s="8">
        <v>616</v>
      </c>
      <c r="D20" s="8">
        <v>257</v>
      </c>
      <c r="E20" s="8">
        <v>169665</v>
      </c>
      <c r="F20" s="19">
        <v>6.31</v>
      </c>
      <c r="G20" s="8">
        <v>12390</v>
      </c>
      <c r="H20" s="1">
        <f>Table2[[#This Row],[New_Followers]]-Table2[[#This Row],[Unfollows]]</f>
        <v>359</v>
      </c>
      <c r="I20" s="4">
        <f>(Table2[[#This Row],[follower gain]]/Table2[[#This Row],[Total_Followers]])*100</f>
        <v>0.21159343412017798</v>
      </c>
    </row>
    <row r="21" spans="1:9" ht="15.75" customHeight="1">
      <c r="A21" s="7">
        <v>45488</v>
      </c>
      <c r="B21" s="17" t="s">
        <v>31</v>
      </c>
      <c r="C21" s="8">
        <v>1308</v>
      </c>
      <c r="D21" s="8">
        <v>210</v>
      </c>
      <c r="E21" s="8">
        <v>263729</v>
      </c>
      <c r="F21" s="19">
        <v>8.5299999999999994</v>
      </c>
      <c r="G21" s="8">
        <v>25742</v>
      </c>
      <c r="H21" s="1">
        <f>Table2[[#This Row],[New_Followers]]-Table2[[#This Row],[Unfollows]]</f>
        <v>1098</v>
      </c>
      <c r="I21" s="4">
        <f>(Table2[[#This Row],[follower gain]]/Table2[[#This Row],[Total_Followers]])*100</f>
        <v>0.41633646660018431</v>
      </c>
    </row>
    <row r="22" spans="1:9" ht="15.75" customHeight="1">
      <c r="A22" s="7">
        <v>45488</v>
      </c>
      <c r="B22" s="17" t="s">
        <v>38</v>
      </c>
      <c r="C22" s="8">
        <v>981</v>
      </c>
      <c r="D22" s="8">
        <v>69</v>
      </c>
      <c r="E22" s="8">
        <v>206921</v>
      </c>
      <c r="F22" s="19">
        <v>8.42</v>
      </c>
      <c r="G22" s="8">
        <v>10495</v>
      </c>
      <c r="H22" s="1">
        <f>Table2[[#This Row],[New_Followers]]-Table2[[#This Row],[Unfollows]]</f>
        <v>912</v>
      </c>
      <c r="I22" s="4">
        <f>(Table2[[#This Row],[follower gain]]/Table2[[#This Row],[Total_Followers]])*100</f>
        <v>0.44074791828765564</v>
      </c>
    </row>
    <row r="23" spans="1:9" ht="15.75" customHeight="1">
      <c r="A23" s="7">
        <v>45495</v>
      </c>
      <c r="B23" s="17" t="s">
        <v>23</v>
      </c>
      <c r="C23" s="8">
        <v>866</v>
      </c>
      <c r="D23" s="8">
        <v>74</v>
      </c>
      <c r="E23" s="8">
        <v>204121</v>
      </c>
      <c r="F23" s="19">
        <v>9.34</v>
      </c>
      <c r="G23" s="8">
        <v>7797</v>
      </c>
      <c r="H23" s="1">
        <f>Table2[[#This Row],[New_Followers]]-Table2[[#This Row],[Unfollows]]</f>
        <v>792</v>
      </c>
      <c r="I23" s="4">
        <f>(Table2[[#This Row],[follower gain]]/Table2[[#This Row],[Total_Followers]])*100</f>
        <v>0.38800515380583089</v>
      </c>
    </row>
    <row r="24" spans="1:9" ht="15.75" customHeight="1">
      <c r="A24" s="7">
        <v>45495</v>
      </c>
      <c r="B24" s="17" t="s">
        <v>31</v>
      </c>
      <c r="C24" s="8">
        <v>547</v>
      </c>
      <c r="D24" s="8">
        <v>183</v>
      </c>
      <c r="E24" s="8">
        <v>266350</v>
      </c>
      <c r="F24" s="19">
        <v>5.65</v>
      </c>
      <c r="G24" s="8">
        <v>15595</v>
      </c>
      <c r="H24" s="1">
        <f>Table2[[#This Row],[New_Followers]]-Table2[[#This Row],[Unfollows]]</f>
        <v>364</v>
      </c>
      <c r="I24" s="4">
        <f>(Table2[[#This Row],[follower gain]]/Table2[[#This Row],[Total_Followers]])*100</f>
        <v>0.13666228646517742</v>
      </c>
    </row>
    <row r="25" spans="1:9" ht="15.75" customHeight="1">
      <c r="A25" s="7">
        <v>45495</v>
      </c>
      <c r="B25" s="17" t="s">
        <v>38</v>
      </c>
      <c r="C25" s="8">
        <v>1241</v>
      </c>
      <c r="D25" s="8">
        <v>116</v>
      </c>
      <c r="E25" s="8">
        <v>380606</v>
      </c>
      <c r="F25" s="19">
        <v>4.2</v>
      </c>
      <c r="G25" s="8">
        <v>24617</v>
      </c>
      <c r="H25" s="1">
        <f>Table2[[#This Row],[New_Followers]]-Table2[[#This Row],[Unfollows]]</f>
        <v>1125</v>
      </c>
      <c r="I25" s="4">
        <f>(Table2[[#This Row],[follower gain]]/Table2[[#This Row],[Total_Followers]])*100</f>
        <v>0.29558125725816198</v>
      </c>
    </row>
    <row r="26" spans="1:9" ht="15.75" customHeight="1">
      <c r="A26" s="7">
        <v>45502</v>
      </c>
      <c r="B26" s="17" t="s">
        <v>23</v>
      </c>
      <c r="C26" s="8">
        <v>973</v>
      </c>
      <c r="D26" s="8">
        <v>104</v>
      </c>
      <c r="E26" s="8">
        <v>376358</v>
      </c>
      <c r="F26" s="19">
        <v>3.87</v>
      </c>
      <c r="G26" s="8">
        <v>9847</v>
      </c>
      <c r="H26" s="1">
        <f>Table2[[#This Row],[New_Followers]]-Table2[[#This Row],[Unfollows]]</f>
        <v>869</v>
      </c>
      <c r="I26" s="4">
        <f>(Table2[[#This Row],[follower gain]]/Table2[[#This Row],[Total_Followers]])*100</f>
        <v>0.23089717768720205</v>
      </c>
    </row>
    <row r="27" spans="1:9" ht="15.75" customHeight="1">
      <c r="A27" s="7">
        <v>45502</v>
      </c>
      <c r="B27" s="17" t="s">
        <v>31</v>
      </c>
      <c r="C27" s="8">
        <v>611</v>
      </c>
      <c r="D27" s="8">
        <v>197</v>
      </c>
      <c r="E27" s="8">
        <v>79423</v>
      </c>
      <c r="F27" s="19">
        <v>5.82</v>
      </c>
      <c r="G27" s="8">
        <v>13644</v>
      </c>
      <c r="H27" s="1">
        <f>Table2[[#This Row],[New_Followers]]-Table2[[#This Row],[Unfollows]]</f>
        <v>414</v>
      </c>
      <c r="I27" s="4">
        <f>(Table2[[#This Row],[follower gain]]/Table2[[#This Row],[Total_Followers]])*100</f>
        <v>0.52125958475504575</v>
      </c>
    </row>
    <row r="28" spans="1:9" ht="15.75" customHeight="1">
      <c r="A28" s="7">
        <v>45502</v>
      </c>
      <c r="B28" s="17" t="s">
        <v>38</v>
      </c>
      <c r="C28" s="8">
        <v>983</v>
      </c>
      <c r="D28" s="8">
        <v>134</v>
      </c>
      <c r="E28" s="8">
        <v>352178</v>
      </c>
      <c r="F28" s="19">
        <v>3.55</v>
      </c>
      <c r="G28" s="8">
        <v>11421</v>
      </c>
      <c r="H28" s="1">
        <f>Table2[[#This Row],[New_Followers]]-Table2[[#This Row],[Unfollows]]</f>
        <v>849</v>
      </c>
      <c r="I28" s="4">
        <f>(Table2[[#This Row],[follower gain]]/Table2[[#This Row],[Total_Followers]])*100</f>
        <v>0.24107127645679174</v>
      </c>
    </row>
    <row r="29" spans="1:9" ht="15.75" customHeight="1">
      <c r="A29" s="7">
        <v>45509</v>
      </c>
      <c r="B29" s="17" t="s">
        <v>23</v>
      </c>
      <c r="C29" s="8">
        <v>1449</v>
      </c>
      <c r="D29" s="8">
        <v>96</v>
      </c>
      <c r="E29" s="8">
        <v>200636</v>
      </c>
      <c r="F29" s="19">
        <v>9.92</v>
      </c>
      <c r="G29" s="8">
        <v>15613</v>
      </c>
      <c r="H29" s="1">
        <f>Table2[[#This Row],[New_Followers]]-Table2[[#This Row],[Unfollows]]</f>
        <v>1353</v>
      </c>
      <c r="I29" s="4">
        <f>(Table2[[#This Row],[follower gain]]/Table2[[#This Row],[Total_Followers]])*100</f>
        <v>0.67435554935305719</v>
      </c>
    </row>
    <row r="30" spans="1:9" ht="15.75" customHeight="1">
      <c r="A30" s="7">
        <v>45509</v>
      </c>
      <c r="B30" s="17" t="s">
        <v>31</v>
      </c>
      <c r="C30" s="8">
        <v>752</v>
      </c>
      <c r="D30" s="8">
        <v>170</v>
      </c>
      <c r="E30" s="8">
        <v>132756</v>
      </c>
      <c r="F30" s="19">
        <v>8.17</v>
      </c>
      <c r="G30" s="8">
        <v>23900</v>
      </c>
      <c r="H30" s="1">
        <f>Table2[[#This Row],[New_Followers]]-Table2[[#This Row],[Unfollows]]</f>
        <v>582</v>
      </c>
      <c r="I30" s="4">
        <f>(Table2[[#This Row],[follower gain]]/Table2[[#This Row],[Total_Followers]])*100</f>
        <v>0.43839826448522107</v>
      </c>
    </row>
    <row r="31" spans="1:9" ht="15.75" customHeight="1">
      <c r="A31" s="7">
        <v>45509</v>
      </c>
      <c r="B31" s="17" t="s">
        <v>38</v>
      </c>
      <c r="C31" s="8">
        <v>937</v>
      </c>
      <c r="D31" s="8">
        <v>179</v>
      </c>
      <c r="E31" s="8">
        <v>318098</v>
      </c>
      <c r="F31" s="19">
        <v>5.3</v>
      </c>
      <c r="G31" s="8">
        <v>5836</v>
      </c>
      <c r="H31" s="1">
        <f>Table2[[#This Row],[New_Followers]]-Table2[[#This Row],[Unfollows]]</f>
        <v>758</v>
      </c>
      <c r="I31" s="4">
        <f>(Table2[[#This Row],[follower gain]]/Table2[[#This Row],[Total_Followers]])*100</f>
        <v>0.23829134417695177</v>
      </c>
    </row>
    <row r="32" spans="1:9" ht="15.75" customHeight="1">
      <c r="A32" s="7">
        <v>45516</v>
      </c>
      <c r="B32" s="17" t="s">
        <v>23</v>
      </c>
      <c r="C32" s="8">
        <v>1060</v>
      </c>
      <c r="D32" s="8">
        <v>83</v>
      </c>
      <c r="E32" s="8">
        <v>68724</v>
      </c>
      <c r="F32" s="19">
        <v>5.98</v>
      </c>
      <c r="G32" s="8">
        <v>5624</v>
      </c>
      <c r="H32" s="1">
        <f>Table2[[#This Row],[New_Followers]]-Table2[[#This Row],[Unfollows]]</f>
        <v>977</v>
      </c>
      <c r="I32" s="4">
        <f>(Table2[[#This Row],[follower gain]]/Table2[[#This Row],[Total_Followers]])*100</f>
        <v>1.4216285431581397</v>
      </c>
    </row>
    <row r="33" spans="1:9" ht="15.75" customHeight="1">
      <c r="A33" s="7">
        <v>45516</v>
      </c>
      <c r="B33" s="17" t="s">
        <v>31</v>
      </c>
      <c r="C33" s="8">
        <v>1456</v>
      </c>
      <c r="D33" s="8">
        <v>265</v>
      </c>
      <c r="E33" s="8">
        <v>115505</v>
      </c>
      <c r="F33" s="19">
        <v>7.49</v>
      </c>
      <c r="G33" s="8">
        <v>10311</v>
      </c>
      <c r="H33" s="1">
        <f>Table2[[#This Row],[New_Followers]]-Table2[[#This Row],[Unfollows]]</f>
        <v>1191</v>
      </c>
      <c r="I33" s="4">
        <f>(Table2[[#This Row],[follower gain]]/Table2[[#This Row],[Total_Followers]])*100</f>
        <v>1.0311241937578459</v>
      </c>
    </row>
    <row r="34" spans="1:9" ht="15.75" customHeight="1">
      <c r="A34" s="7">
        <v>45516</v>
      </c>
      <c r="B34" s="17" t="s">
        <v>38</v>
      </c>
      <c r="C34" s="8">
        <v>1109</v>
      </c>
      <c r="D34" s="8">
        <v>205</v>
      </c>
      <c r="E34" s="8">
        <v>276722</v>
      </c>
      <c r="F34" s="19">
        <v>9.3800000000000008</v>
      </c>
      <c r="G34" s="8">
        <v>8274</v>
      </c>
      <c r="H34" s="1">
        <f>Table2[[#This Row],[New_Followers]]-Table2[[#This Row],[Unfollows]]</f>
        <v>904</v>
      </c>
      <c r="I34" s="4">
        <f>(Table2[[#This Row],[follower gain]]/Table2[[#This Row],[Total_Followers]])*100</f>
        <v>0.32668165162148294</v>
      </c>
    </row>
    <row r="35" spans="1:9" ht="15.75" customHeight="1">
      <c r="A35" s="7">
        <v>45523</v>
      </c>
      <c r="B35" s="17" t="s">
        <v>23</v>
      </c>
      <c r="C35" s="8">
        <v>1002</v>
      </c>
      <c r="D35" s="8">
        <v>93</v>
      </c>
      <c r="E35" s="8">
        <v>353538</v>
      </c>
      <c r="F35" s="19">
        <v>5.84</v>
      </c>
      <c r="G35" s="8">
        <v>6031</v>
      </c>
      <c r="H35" s="1">
        <f>Table2[[#This Row],[New_Followers]]-Table2[[#This Row],[Unfollows]]</f>
        <v>909</v>
      </c>
      <c r="I35" s="4">
        <f>(Table2[[#This Row],[follower gain]]/Table2[[#This Row],[Total_Followers]])*100</f>
        <v>0.25711521816608118</v>
      </c>
    </row>
    <row r="36" spans="1:9" ht="15.75" customHeight="1">
      <c r="A36" s="7">
        <v>45523</v>
      </c>
      <c r="B36" s="17" t="s">
        <v>31</v>
      </c>
      <c r="C36" s="8">
        <v>571</v>
      </c>
      <c r="D36" s="8">
        <v>189</v>
      </c>
      <c r="E36" s="8">
        <v>61445</v>
      </c>
      <c r="F36" s="19">
        <v>5.41</v>
      </c>
      <c r="G36" s="8">
        <v>27829</v>
      </c>
      <c r="H36" s="1">
        <f>Table2[[#This Row],[New_Followers]]-Table2[[#This Row],[Unfollows]]</f>
        <v>382</v>
      </c>
      <c r="I36" s="4">
        <f>(Table2[[#This Row],[follower gain]]/Table2[[#This Row],[Total_Followers]])*100</f>
        <v>0.62169419806330861</v>
      </c>
    </row>
    <row r="37" spans="1:9" ht="15.75" customHeight="1">
      <c r="A37" s="7">
        <v>45523</v>
      </c>
      <c r="B37" s="17" t="s">
        <v>38</v>
      </c>
      <c r="C37" s="8">
        <v>1240</v>
      </c>
      <c r="D37" s="8">
        <v>231</v>
      </c>
      <c r="E37" s="8">
        <v>165035</v>
      </c>
      <c r="F37" s="19">
        <v>6.05</v>
      </c>
      <c r="G37" s="8">
        <v>18267</v>
      </c>
      <c r="H37" s="1">
        <f>Table2[[#This Row],[New_Followers]]-Table2[[#This Row],[Unfollows]]</f>
        <v>1009</v>
      </c>
      <c r="I37" s="4">
        <f>(Table2[[#This Row],[follower gain]]/Table2[[#This Row],[Total_Followers]])*100</f>
        <v>0.6113854636895204</v>
      </c>
    </row>
    <row r="38" spans="1:9" ht="15.75" customHeight="1">
      <c r="A38" s="7">
        <v>45530</v>
      </c>
      <c r="B38" s="17" t="s">
        <v>23</v>
      </c>
      <c r="C38" s="8">
        <v>1154</v>
      </c>
      <c r="D38" s="8">
        <v>132</v>
      </c>
      <c r="E38" s="8">
        <v>194595</v>
      </c>
      <c r="F38" s="19">
        <v>7.54</v>
      </c>
      <c r="G38" s="8">
        <v>26624</v>
      </c>
      <c r="H38" s="1">
        <f>Table2[[#This Row],[New_Followers]]-Table2[[#This Row],[Unfollows]]</f>
        <v>1022</v>
      </c>
      <c r="I38" s="4">
        <f>(Table2[[#This Row],[follower gain]]/Table2[[#This Row],[Total_Followers]])*100</f>
        <v>0.52519335029163128</v>
      </c>
    </row>
    <row r="39" spans="1:9" ht="15.75" customHeight="1">
      <c r="A39" s="7">
        <v>45530</v>
      </c>
      <c r="B39" s="17" t="s">
        <v>31</v>
      </c>
      <c r="C39" s="8">
        <v>537</v>
      </c>
      <c r="D39" s="8">
        <v>275</v>
      </c>
      <c r="E39" s="8">
        <v>236238</v>
      </c>
      <c r="F39" s="19">
        <v>5.87</v>
      </c>
      <c r="G39" s="8">
        <v>26644</v>
      </c>
      <c r="H39" s="1">
        <f>Table2[[#This Row],[New_Followers]]-Table2[[#This Row],[Unfollows]]</f>
        <v>262</v>
      </c>
      <c r="I39" s="4">
        <f>(Table2[[#This Row],[follower gain]]/Table2[[#This Row],[Total_Followers]])*100</f>
        <v>0.11090510417460359</v>
      </c>
    </row>
    <row r="40" spans="1:9" ht="15.75" customHeight="1">
      <c r="A40" s="7">
        <v>45530</v>
      </c>
      <c r="B40" s="17" t="s">
        <v>38</v>
      </c>
      <c r="C40" s="8">
        <v>1456</v>
      </c>
      <c r="D40" s="8">
        <v>290</v>
      </c>
      <c r="E40" s="8">
        <v>271044</v>
      </c>
      <c r="F40" s="19">
        <v>7.17</v>
      </c>
      <c r="G40" s="8">
        <v>13051</v>
      </c>
      <c r="H40" s="1">
        <f>Table2[[#This Row],[New_Followers]]-Table2[[#This Row],[Unfollows]]</f>
        <v>1166</v>
      </c>
      <c r="I40" s="4">
        <f>(Table2[[#This Row],[follower gain]]/Table2[[#This Row],[Total_Followers]])*100</f>
        <v>0.43018845648676968</v>
      </c>
    </row>
    <row r="41" spans="1:9" ht="15.75" customHeight="1">
      <c r="A41" s="7">
        <v>45537</v>
      </c>
      <c r="B41" s="17" t="s">
        <v>23</v>
      </c>
      <c r="C41" s="8">
        <v>721</v>
      </c>
      <c r="D41" s="8">
        <v>206</v>
      </c>
      <c r="E41" s="8">
        <v>334887</v>
      </c>
      <c r="F41" s="19">
        <v>6.05</v>
      </c>
      <c r="G41" s="8">
        <v>14217</v>
      </c>
      <c r="H41" s="1">
        <f>Table2[[#This Row],[New_Followers]]-Table2[[#This Row],[Unfollows]]</f>
        <v>515</v>
      </c>
      <c r="I41" s="4">
        <f>(Table2[[#This Row],[follower gain]]/Table2[[#This Row],[Total_Followers]])*100</f>
        <v>0.15378321642822804</v>
      </c>
    </row>
    <row r="42" spans="1:9" ht="15.75" customHeight="1">
      <c r="A42" s="7">
        <v>45537</v>
      </c>
      <c r="B42" s="17" t="s">
        <v>31</v>
      </c>
      <c r="C42" s="8">
        <v>1098</v>
      </c>
      <c r="D42" s="8">
        <v>142</v>
      </c>
      <c r="E42" s="8">
        <v>359150</v>
      </c>
      <c r="F42" s="19">
        <v>7.51</v>
      </c>
      <c r="G42" s="8">
        <v>16385</v>
      </c>
      <c r="H42" s="1">
        <f>Table2[[#This Row],[New_Followers]]-Table2[[#This Row],[Unfollows]]</f>
        <v>956</v>
      </c>
      <c r="I42" s="4">
        <f>(Table2[[#This Row],[follower gain]]/Table2[[#This Row],[Total_Followers]])*100</f>
        <v>0.26618404566337184</v>
      </c>
    </row>
    <row r="43" spans="1:9" ht="15.75" customHeight="1">
      <c r="A43" s="7">
        <v>45537</v>
      </c>
      <c r="B43" s="17" t="s">
        <v>38</v>
      </c>
      <c r="C43" s="8">
        <v>1096</v>
      </c>
      <c r="D43" s="8">
        <v>65</v>
      </c>
      <c r="E43" s="8">
        <v>358295</v>
      </c>
      <c r="F43" s="19">
        <v>7.66</v>
      </c>
      <c r="G43" s="8">
        <v>24548</v>
      </c>
      <c r="H43" s="1">
        <f>Table2[[#This Row],[New_Followers]]-Table2[[#This Row],[Unfollows]]</f>
        <v>1031</v>
      </c>
      <c r="I43" s="4">
        <f>(Table2[[#This Row],[follower gain]]/Table2[[#This Row],[Total_Followers]])*100</f>
        <v>0.28775171297394603</v>
      </c>
    </row>
    <row r="44" spans="1:9" ht="15.75" customHeight="1">
      <c r="A44" s="7">
        <v>45544</v>
      </c>
      <c r="B44" s="17" t="s">
        <v>23</v>
      </c>
      <c r="C44" s="8">
        <v>912</v>
      </c>
      <c r="D44" s="8">
        <v>275</v>
      </c>
      <c r="E44" s="8">
        <v>368454</v>
      </c>
      <c r="F44" s="19">
        <v>6.03</v>
      </c>
      <c r="G44" s="8">
        <v>9195</v>
      </c>
      <c r="H44" s="1">
        <f>Table2[[#This Row],[New_Followers]]-Table2[[#This Row],[Unfollows]]</f>
        <v>637</v>
      </c>
      <c r="I44" s="4">
        <f>(Table2[[#This Row],[follower gain]]/Table2[[#This Row],[Total_Followers]])*100</f>
        <v>0.1728845391826388</v>
      </c>
    </row>
    <row r="45" spans="1:9" ht="15.75" customHeight="1">
      <c r="A45" s="7">
        <v>45544</v>
      </c>
      <c r="B45" s="17" t="s">
        <v>31</v>
      </c>
      <c r="C45" s="8">
        <v>1430</v>
      </c>
      <c r="D45" s="8">
        <v>162</v>
      </c>
      <c r="E45" s="8">
        <v>269082</v>
      </c>
      <c r="F45" s="19">
        <v>3.4</v>
      </c>
      <c r="G45" s="8">
        <v>18071</v>
      </c>
      <c r="H45" s="1">
        <f>Table2[[#This Row],[New_Followers]]-Table2[[#This Row],[Unfollows]]</f>
        <v>1268</v>
      </c>
      <c r="I45" s="4">
        <f>(Table2[[#This Row],[follower gain]]/Table2[[#This Row],[Total_Followers]])*100</f>
        <v>0.47123181781018425</v>
      </c>
    </row>
    <row r="46" spans="1:9" ht="15.75" customHeight="1">
      <c r="A46" s="7">
        <v>45544</v>
      </c>
      <c r="B46" s="17" t="s">
        <v>38</v>
      </c>
      <c r="C46" s="8">
        <v>854</v>
      </c>
      <c r="D46" s="8">
        <v>129</v>
      </c>
      <c r="E46" s="8">
        <v>310903</v>
      </c>
      <c r="F46" s="19">
        <v>7.83</v>
      </c>
      <c r="G46" s="8">
        <v>16875</v>
      </c>
      <c r="H46" s="1">
        <f>Table2[[#This Row],[New_Followers]]-Table2[[#This Row],[Unfollows]]</f>
        <v>725</v>
      </c>
      <c r="I46" s="4">
        <f>(Table2[[#This Row],[follower gain]]/Table2[[#This Row],[Total_Followers]])*100</f>
        <v>0.23319170287838972</v>
      </c>
    </row>
    <row r="47" spans="1:9" ht="15.75" customHeight="1">
      <c r="A47" s="7">
        <v>45551</v>
      </c>
      <c r="B47" s="17" t="s">
        <v>23</v>
      </c>
      <c r="C47" s="8">
        <v>681</v>
      </c>
      <c r="D47" s="8">
        <v>210</v>
      </c>
      <c r="E47" s="8">
        <v>248581</v>
      </c>
      <c r="F47" s="19">
        <v>8.76</v>
      </c>
      <c r="G47" s="8">
        <v>9567</v>
      </c>
      <c r="H47" s="1">
        <f>Table2[[#This Row],[New_Followers]]-Table2[[#This Row],[Unfollows]]</f>
        <v>471</v>
      </c>
      <c r="I47" s="4">
        <f>(Table2[[#This Row],[follower gain]]/Table2[[#This Row],[Total_Followers]])*100</f>
        <v>0.18947546272643526</v>
      </c>
    </row>
    <row r="48" spans="1:9" ht="15.75" customHeight="1">
      <c r="A48" s="7">
        <v>45551</v>
      </c>
      <c r="B48" s="17" t="s">
        <v>31</v>
      </c>
      <c r="C48" s="8">
        <v>1373</v>
      </c>
      <c r="D48" s="8">
        <v>82</v>
      </c>
      <c r="E48" s="8">
        <v>371015</v>
      </c>
      <c r="F48" s="19">
        <v>9.52</v>
      </c>
      <c r="G48" s="8">
        <v>20306</v>
      </c>
      <c r="H48" s="1">
        <f>Table2[[#This Row],[New_Followers]]-Table2[[#This Row],[Unfollows]]</f>
        <v>1291</v>
      </c>
      <c r="I48" s="4">
        <f>(Table2[[#This Row],[follower gain]]/Table2[[#This Row],[Total_Followers]])*100</f>
        <v>0.34796436801746561</v>
      </c>
    </row>
    <row r="49" spans="1:9" ht="15.75" customHeight="1">
      <c r="A49" s="7">
        <v>45551</v>
      </c>
      <c r="B49" s="17" t="s">
        <v>38</v>
      </c>
      <c r="C49" s="8">
        <v>685</v>
      </c>
      <c r="D49" s="8">
        <v>285</v>
      </c>
      <c r="E49" s="8">
        <v>177452</v>
      </c>
      <c r="F49" s="19">
        <v>3.36</v>
      </c>
      <c r="G49" s="8">
        <v>21134</v>
      </c>
      <c r="H49" s="1">
        <f>Table2[[#This Row],[New_Followers]]-Table2[[#This Row],[Unfollows]]</f>
        <v>400</v>
      </c>
      <c r="I49" s="4">
        <f>(Table2[[#This Row],[follower gain]]/Table2[[#This Row],[Total_Followers]])*100</f>
        <v>0.22541306944976669</v>
      </c>
    </row>
    <row r="50" spans="1:9" ht="15.75" customHeight="1">
      <c r="A50" s="7">
        <v>45558</v>
      </c>
      <c r="B50" s="17" t="s">
        <v>23</v>
      </c>
      <c r="C50" s="8">
        <v>1290</v>
      </c>
      <c r="D50" s="8">
        <v>177</v>
      </c>
      <c r="E50" s="8">
        <v>80745</v>
      </c>
      <c r="F50" s="19">
        <v>9.2200000000000006</v>
      </c>
      <c r="G50" s="8">
        <v>26872</v>
      </c>
      <c r="H50" s="1">
        <f>Table2[[#This Row],[New_Followers]]-Table2[[#This Row],[Unfollows]]</f>
        <v>1113</v>
      </c>
      <c r="I50" s="4">
        <f>(Table2[[#This Row],[follower gain]]/Table2[[#This Row],[Total_Followers]])*100</f>
        <v>1.3784135240572171</v>
      </c>
    </row>
    <row r="51" spans="1:9" ht="15.75" customHeight="1">
      <c r="A51" s="7">
        <v>45558</v>
      </c>
      <c r="B51" s="17" t="s">
        <v>31</v>
      </c>
      <c r="C51" s="8">
        <v>1437</v>
      </c>
      <c r="D51" s="8">
        <v>239</v>
      </c>
      <c r="E51" s="8">
        <v>362441</v>
      </c>
      <c r="F51" s="19">
        <v>5.57</v>
      </c>
      <c r="G51" s="8">
        <v>10253</v>
      </c>
      <c r="H51" s="1">
        <f>Table2[[#This Row],[New_Followers]]-Table2[[#This Row],[Unfollows]]</f>
        <v>1198</v>
      </c>
      <c r="I51" s="4">
        <f>(Table2[[#This Row],[follower gain]]/Table2[[#This Row],[Total_Followers]])*100</f>
        <v>0.33053655629467971</v>
      </c>
    </row>
    <row r="52" spans="1:9" ht="15.75" customHeight="1">
      <c r="A52" s="7">
        <v>45558</v>
      </c>
      <c r="B52" s="17" t="s">
        <v>38</v>
      </c>
      <c r="C52" s="8">
        <v>769</v>
      </c>
      <c r="D52" s="8">
        <v>295</v>
      </c>
      <c r="E52" s="8">
        <v>344771</v>
      </c>
      <c r="F52" s="19">
        <v>8.06</v>
      </c>
      <c r="G52" s="8">
        <v>23963</v>
      </c>
      <c r="H52" s="1">
        <f>Table2[[#This Row],[New_Followers]]-Table2[[#This Row],[Unfollows]]</f>
        <v>474</v>
      </c>
      <c r="I52" s="4">
        <f>(Table2[[#This Row],[follower gain]]/Table2[[#This Row],[Total_Followers]])*100</f>
        <v>0.13748256088824176</v>
      </c>
    </row>
    <row r="53" spans="1:9" ht="15.75" customHeight="1">
      <c r="A53" s="7">
        <v>45565</v>
      </c>
      <c r="B53" s="17" t="s">
        <v>23</v>
      </c>
      <c r="C53" s="8">
        <v>1416</v>
      </c>
      <c r="D53" s="8">
        <v>284</v>
      </c>
      <c r="E53" s="8">
        <v>374952</v>
      </c>
      <c r="F53" s="19">
        <v>3.45</v>
      </c>
      <c r="G53" s="8">
        <v>11335</v>
      </c>
      <c r="H53" s="1">
        <f>Table2[[#This Row],[New_Followers]]-Table2[[#This Row],[Unfollows]]</f>
        <v>1132</v>
      </c>
      <c r="I53" s="4">
        <f>(Table2[[#This Row],[follower gain]]/Table2[[#This Row],[Total_Followers]])*100</f>
        <v>0.30190531054641656</v>
      </c>
    </row>
    <row r="54" spans="1:9" ht="15.75" customHeight="1">
      <c r="A54" s="7">
        <v>45565</v>
      </c>
      <c r="B54" s="17" t="s">
        <v>31</v>
      </c>
      <c r="C54" s="8">
        <v>998</v>
      </c>
      <c r="D54" s="8">
        <v>154</v>
      </c>
      <c r="E54" s="8">
        <v>179781</v>
      </c>
      <c r="F54" s="19">
        <v>9.58</v>
      </c>
      <c r="G54" s="8">
        <v>12115</v>
      </c>
      <c r="H54" s="1">
        <f>Table2[[#This Row],[New_Followers]]-Table2[[#This Row],[Unfollows]]</f>
        <v>844</v>
      </c>
      <c r="I54" s="4">
        <f>(Table2[[#This Row],[follower gain]]/Table2[[#This Row],[Total_Followers]])*100</f>
        <v>0.46946006530167261</v>
      </c>
    </row>
    <row r="55" spans="1:9" ht="15.75" customHeight="1">
      <c r="A55" s="7">
        <v>45565</v>
      </c>
      <c r="B55" s="17" t="s">
        <v>38</v>
      </c>
      <c r="C55" s="8">
        <v>1421</v>
      </c>
      <c r="D55" s="8">
        <v>246</v>
      </c>
      <c r="E55" s="8">
        <v>358581</v>
      </c>
      <c r="F55" s="19">
        <v>8.8800000000000008</v>
      </c>
      <c r="G55" s="8">
        <v>24358</v>
      </c>
      <c r="H55" s="1">
        <f>Table2[[#This Row],[New_Followers]]-Table2[[#This Row],[Unfollows]]</f>
        <v>1175</v>
      </c>
      <c r="I55" s="4">
        <f>(Table2[[#This Row],[follower gain]]/Table2[[#This Row],[Total_Followers]])*100</f>
        <v>0.3276804961779905</v>
      </c>
    </row>
    <row r="56" spans="1:9" ht="15.75" customHeight="1">
      <c r="A56" s="7">
        <v>45572</v>
      </c>
      <c r="B56" s="17" t="s">
        <v>23</v>
      </c>
      <c r="C56" s="8">
        <v>764</v>
      </c>
      <c r="D56" s="8">
        <v>205</v>
      </c>
      <c r="E56" s="8">
        <v>319294</v>
      </c>
      <c r="F56" s="19">
        <v>6.23</v>
      </c>
      <c r="G56" s="8">
        <v>12181</v>
      </c>
      <c r="H56" s="1">
        <f>Table2[[#This Row],[New_Followers]]-Table2[[#This Row],[Unfollows]]</f>
        <v>559</v>
      </c>
      <c r="I56" s="4">
        <f>(Table2[[#This Row],[follower gain]]/Table2[[#This Row],[Total_Followers]])*100</f>
        <v>0.17507375647522347</v>
      </c>
    </row>
    <row r="57" spans="1:9" ht="15.75" customHeight="1">
      <c r="A57" s="7">
        <v>45572</v>
      </c>
      <c r="B57" s="17" t="s">
        <v>31</v>
      </c>
      <c r="C57" s="8">
        <v>678</v>
      </c>
      <c r="D57" s="8">
        <v>124</v>
      </c>
      <c r="E57" s="8">
        <v>192022</v>
      </c>
      <c r="F57" s="19">
        <v>8.4499999999999993</v>
      </c>
      <c r="G57" s="8">
        <v>17729</v>
      </c>
      <c r="H57" s="1">
        <f>Table2[[#This Row],[New_Followers]]-Table2[[#This Row],[Unfollows]]</f>
        <v>554</v>
      </c>
      <c r="I57" s="4">
        <f>(Table2[[#This Row],[follower gain]]/Table2[[#This Row],[Total_Followers]])*100</f>
        <v>0.28850860838862213</v>
      </c>
    </row>
    <row r="58" spans="1:9" ht="15.75" customHeight="1">
      <c r="A58" s="7">
        <v>45572</v>
      </c>
      <c r="B58" s="17" t="s">
        <v>38</v>
      </c>
      <c r="C58" s="8">
        <v>1328</v>
      </c>
      <c r="D58" s="8">
        <v>103</v>
      </c>
      <c r="E58" s="8">
        <v>151462</v>
      </c>
      <c r="F58" s="19">
        <v>8.4</v>
      </c>
      <c r="G58" s="8">
        <v>10881</v>
      </c>
      <c r="H58" s="1">
        <f>Table2[[#This Row],[New_Followers]]-Table2[[#This Row],[Unfollows]]</f>
        <v>1225</v>
      </c>
      <c r="I58" s="4">
        <f>(Table2[[#This Row],[follower gain]]/Table2[[#This Row],[Total_Followers]])*100</f>
        <v>0.80878372132944243</v>
      </c>
    </row>
    <row r="59" spans="1:9" ht="15.75" customHeight="1">
      <c r="A59" s="7">
        <v>45579</v>
      </c>
      <c r="B59" s="17" t="s">
        <v>23</v>
      </c>
      <c r="C59" s="8">
        <v>1161</v>
      </c>
      <c r="D59" s="8">
        <v>269</v>
      </c>
      <c r="E59" s="8">
        <v>188193</v>
      </c>
      <c r="F59" s="19">
        <v>7.34</v>
      </c>
      <c r="G59" s="8">
        <v>18576</v>
      </c>
      <c r="H59" s="1">
        <f>Table2[[#This Row],[New_Followers]]-Table2[[#This Row],[Unfollows]]</f>
        <v>892</v>
      </c>
      <c r="I59" s="4">
        <f>(Table2[[#This Row],[follower gain]]/Table2[[#This Row],[Total_Followers]])*100</f>
        <v>0.47398149771776843</v>
      </c>
    </row>
    <row r="60" spans="1:9" ht="15.75" customHeight="1">
      <c r="A60" s="7">
        <v>45579</v>
      </c>
      <c r="B60" s="17" t="s">
        <v>31</v>
      </c>
      <c r="C60" s="8">
        <v>588</v>
      </c>
      <c r="D60" s="8">
        <v>52</v>
      </c>
      <c r="E60" s="8">
        <v>292040</v>
      </c>
      <c r="F60" s="19">
        <v>8.14</v>
      </c>
      <c r="G60" s="8">
        <v>9383</v>
      </c>
      <c r="H60" s="1">
        <f>Table2[[#This Row],[New_Followers]]-Table2[[#This Row],[Unfollows]]</f>
        <v>536</v>
      </c>
      <c r="I60" s="4">
        <f>(Table2[[#This Row],[follower gain]]/Table2[[#This Row],[Total_Followers]])*100</f>
        <v>0.18353650184906178</v>
      </c>
    </row>
    <row r="61" spans="1:9" ht="15.75" customHeight="1">
      <c r="A61" s="7">
        <v>45579</v>
      </c>
      <c r="B61" s="17" t="s">
        <v>38</v>
      </c>
      <c r="C61" s="8">
        <v>1457</v>
      </c>
      <c r="D61" s="8">
        <v>215</v>
      </c>
      <c r="E61" s="8">
        <v>325325</v>
      </c>
      <c r="F61" s="19">
        <v>9.58</v>
      </c>
      <c r="G61" s="8">
        <v>14178</v>
      </c>
      <c r="H61" s="1">
        <f>Table2[[#This Row],[New_Followers]]-Table2[[#This Row],[Unfollows]]</f>
        <v>1242</v>
      </c>
      <c r="I61" s="4">
        <f>(Table2[[#This Row],[follower gain]]/Table2[[#This Row],[Total_Followers]])*100</f>
        <v>0.38177207407976638</v>
      </c>
    </row>
    <row r="62" spans="1:9" ht="15.75" customHeight="1">
      <c r="A62" s="7">
        <v>45586</v>
      </c>
      <c r="B62" s="17" t="s">
        <v>23</v>
      </c>
      <c r="C62" s="8">
        <v>1190</v>
      </c>
      <c r="D62" s="8">
        <v>242</v>
      </c>
      <c r="E62" s="8">
        <v>86849</v>
      </c>
      <c r="F62" s="19">
        <v>8.06</v>
      </c>
      <c r="G62" s="8">
        <v>21254</v>
      </c>
      <c r="H62" s="1">
        <f>Table2[[#This Row],[New_Followers]]-Table2[[#This Row],[Unfollows]]</f>
        <v>948</v>
      </c>
      <c r="I62" s="4">
        <f>(Table2[[#This Row],[follower gain]]/Table2[[#This Row],[Total_Followers]])*100</f>
        <v>1.0915497012055406</v>
      </c>
    </row>
    <row r="63" spans="1:9" ht="15.75" customHeight="1">
      <c r="A63" s="7">
        <v>45586</v>
      </c>
      <c r="B63" s="17" t="s">
        <v>31</v>
      </c>
      <c r="C63" s="8">
        <v>886</v>
      </c>
      <c r="D63" s="8">
        <v>124</v>
      </c>
      <c r="E63" s="8">
        <v>141161</v>
      </c>
      <c r="F63" s="19">
        <v>8.19</v>
      </c>
      <c r="G63" s="8">
        <v>14215</v>
      </c>
      <c r="H63" s="1">
        <f>Table2[[#This Row],[New_Followers]]-Table2[[#This Row],[Unfollows]]</f>
        <v>762</v>
      </c>
      <c r="I63" s="4">
        <f>(Table2[[#This Row],[follower gain]]/Table2[[#This Row],[Total_Followers]])*100</f>
        <v>0.53980915408646857</v>
      </c>
    </row>
    <row r="64" spans="1:9" ht="15.75" customHeight="1">
      <c r="A64" s="7">
        <v>45586</v>
      </c>
      <c r="B64" s="17" t="s">
        <v>38</v>
      </c>
      <c r="C64" s="8">
        <v>1237</v>
      </c>
      <c r="D64" s="8">
        <v>155</v>
      </c>
      <c r="E64" s="8">
        <v>149916</v>
      </c>
      <c r="F64" s="19">
        <v>4.4800000000000004</v>
      </c>
      <c r="G64" s="8">
        <v>16921</v>
      </c>
      <c r="H64" s="1">
        <f>Table2[[#This Row],[New_Followers]]-Table2[[#This Row],[Unfollows]]</f>
        <v>1082</v>
      </c>
      <c r="I64" s="4">
        <f>(Table2[[#This Row],[follower gain]]/Table2[[#This Row],[Total_Followers]])*100</f>
        <v>0.72173750633688194</v>
      </c>
    </row>
    <row r="65" spans="1:9" ht="15.75" customHeight="1">
      <c r="A65" s="7">
        <v>45593</v>
      </c>
      <c r="B65" s="17" t="s">
        <v>23</v>
      </c>
      <c r="C65" s="8">
        <v>1435</v>
      </c>
      <c r="D65" s="8">
        <v>261</v>
      </c>
      <c r="E65" s="8">
        <v>308533</v>
      </c>
      <c r="F65" s="19">
        <v>4.5199999999999996</v>
      </c>
      <c r="G65" s="8">
        <v>25130</v>
      </c>
      <c r="H65" s="1">
        <f>Table2[[#This Row],[New_Followers]]-Table2[[#This Row],[Unfollows]]</f>
        <v>1174</v>
      </c>
      <c r="I65" s="4">
        <f>(Table2[[#This Row],[follower gain]]/Table2[[#This Row],[Total_Followers]])*100</f>
        <v>0.38051035059458793</v>
      </c>
    </row>
    <row r="66" spans="1:9" ht="15.75" customHeight="1">
      <c r="A66" s="7">
        <v>45593</v>
      </c>
      <c r="B66" s="17" t="s">
        <v>31</v>
      </c>
      <c r="C66" s="8">
        <v>746</v>
      </c>
      <c r="D66" s="8">
        <v>282</v>
      </c>
      <c r="E66" s="8">
        <v>293894</v>
      </c>
      <c r="F66" s="19">
        <v>5.42</v>
      </c>
      <c r="G66" s="8">
        <v>25537</v>
      </c>
      <c r="H66" s="1">
        <f>Table2[[#This Row],[New_Followers]]-Table2[[#This Row],[Unfollows]]</f>
        <v>464</v>
      </c>
      <c r="I66" s="4">
        <f>(Table2[[#This Row],[follower gain]]/Table2[[#This Row],[Total_Followers]])*100</f>
        <v>0.15788005199153438</v>
      </c>
    </row>
    <row r="67" spans="1:9" ht="15.75" customHeight="1">
      <c r="A67" s="7">
        <v>45593</v>
      </c>
      <c r="B67" s="17" t="s">
        <v>38</v>
      </c>
      <c r="C67" s="8">
        <v>759</v>
      </c>
      <c r="D67" s="8">
        <v>216</v>
      </c>
      <c r="E67" s="8">
        <v>147656</v>
      </c>
      <c r="F67" s="19">
        <v>4.08</v>
      </c>
      <c r="G67" s="8">
        <v>24943</v>
      </c>
      <c r="H67" s="1">
        <f>Table2[[#This Row],[New_Followers]]-Table2[[#This Row],[Unfollows]]</f>
        <v>543</v>
      </c>
      <c r="I67" s="4">
        <f>(Table2[[#This Row],[follower gain]]/Table2[[#This Row],[Total_Followers]])*100</f>
        <v>0.36774665438586984</v>
      </c>
    </row>
    <row r="68" spans="1:9" ht="15.75" customHeight="1">
      <c r="A68" s="7">
        <v>45600</v>
      </c>
      <c r="B68" s="17" t="s">
        <v>23</v>
      </c>
      <c r="C68" s="8">
        <v>1437</v>
      </c>
      <c r="D68" s="8">
        <v>235</v>
      </c>
      <c r="E68" s="8">
        <v>326791</v>
      </c>
      <c r="F68" s="19">
        <v>4.0599999999999996</v>
      </c>
      <c r="G68" s="8">
        <v>14563</v>
      </c>
      <c r="H68" s="1">
        <f>Table2[[#This Row],[New_Followers]]-Table2[[#This Row],[Unfollows]]</f>
        <v>1202</v>
      </c>
      <c r="I68" s="4">
        <f>(Table2[[#This Row],[follower gain]]/Table2[[#This Row],[Total_Followers]])*100</f>
        <v>0.36781918718691764</v>
      </c>
    </row>
    <row r="69" spans="1:9" ht="15.75" customHeight="1">
      <c r="A69" s="7">
        <v>45600</v>
      </c>
      <c r="B69" s="17" t="s">
        <v>31</v>
      </c>
      <c r="C69" s="8">
        <v>1463</v>
      </c>
      <c r="D69" s="8">
        <v>73</v>
      </c>
      <c r="E69" s="8">
        <v>348877</v>
      </c>
      <c r="F69" s="19">
        <v>9.91</v>
      </c>
      <c r="G69" s="8">
        <v>26273</v>
      </c>
      <c r="H69" s="1">
        <f>Table2[[#This Row],[New_Followers]]-Table2[[#This Row],[Unfollows]]</f>
        <v>1390</v>
      </c>
      <c r="I69" s="4">
        <f>(Table2[[#This Row],[follower gain]]/Table2[[#This Row],[Total_Followers]])*100</f>
        <v>0.39842122008616215</v>
      </c>
    </row>
    <row r="70" spans="1:9" ht="15.75" customHeight="1">
      <c r="A70" s="7">
        <v>45600</v>
      </c>
      <c r="B70" s="17" t="s">
        <v>38</v>
      </c>
      <c r="C70" s="8">
        <v>1208</v>
      </c>
      <c r="D70" s="8">
        <v>224</v>
      </c>
      <c r="E70" s="8">
        <v>122730</v>
      </c>
      <c r="F70" s="19">
        <v>8.7200000000000006</v>
      </c>
      <c r="G70" s="8">
        <v>10858</v>
      </c>
      <c r="H70" s="1">
        <f>Table2[[#This Row],[New_Followers]]-Table2[[#This Row],[Unfollows]]</f>
        <v>984</v>
      </c>
      <c r="I70" s="4">
        <f>(Table2[[#This Row],[follower gain]]/Table2[[#This Row],[Total_Followers]])*100</f>
        <v>0.80175996088975798</v>
      </c>
    </row>
    <row r="71" spans="1:9" ht="15.75" customHeight="1">
      <c r="A71" s="7">
        <v>45607</v>
      </c>
      <c r="B71" s="17" t="s">
        <v>23</v>
      </c>
      <c r="C71" s="8">
        <v>1391</v>
      </c>
      <c r="D71" s="8">
        <v>187</v>
      </c>
      <c r="E71" s="8">
        <v>306508</v>
      </c>
      <c r="F71" s="19">
        <v>8.3800000000000008</v>
      </c>
      <c r="G71" s="8">
        <v>25038</v>
      </c>
      <c r="H71" s="1">
        <f>Table2[[#This Row],[New_Followers]]-Table2[[#This Row],[Unfollows]]</f>
        <v>1204</v>
      </c>
      <c r="I71" s="4">
        <f>(Table2[[#This Row],[follower gain]]/Table2[[#This Row],[Total_Followers]])*100</f>
        <v>0.39281193313061974</v>
      </c>
    </row>
    <row r="72" spans="1:9" ht="15.75" customHeight="1">
      <c r="A72" s="7">
        <v>45607</v>
      </c>
      <c r="B72" s="17" t="s">
        <v>31</v>
      </c>
      <c r="C72" s="8">
        <v>655</v>
      </c>
      <c r="D72" s="8">
        <v>123</v>
      </c>
      <c r="E72" s="8">
        <v>202472</v>
      </c>
      <c r="F72" s="19">
        <v>7.56</v>
      </c>
      <c r="G72" s="8">
        <v>9092</v>
      </c>
      <c r="H72" s="1">
        <f>Table2[[#This Row],[New_Followers]]-Table2[[#This Row],[Unfollows]]</f>
        <v>532</v>
      </c>
      <c r="I72" s="4">
        <f>(Table2[[#This Row],[follower gain]]/Table2[[#This Row],[Total_Followers]])*100</f>
        <v>0.26275238057607969</v>
      </c>
    </row>
    <row r="73" spans="1:9" ht="15.75" customHeight="1">
      <c r="A73" s="7">
        <v>45607</v>
      </c>
      <c r="B73" s="17" t="s">
        <v>38</v>
      </c>
      <c r="C73" s="8">
        <v>1148</v>
      </c>
      <c r="D73" s="8">
        <v>90</v>
      </c>
      <c r="E73" s="8">
        <v>227249</v>
      </c>
      <c r="F73" s="19">
        <v>7.24</v>
      </c>
      <c r="G73" s="8">
        <v>17662</v>
      </c>
      <c r="H73" s="1">
        <f>Table2[[#This Row],[New_Followers]]-Table2[[#This Row],[Unfollows]]</f>
        <v>1058</v>
      </c>
      <c r="I73" s="4">
        <f>(Table2[[#This Row],[follower gain]]/Table2[[#This Row],[Total_Followers]])*100</f>
        <v>0.46556860536239986</v>
      </c>
    </row>
    <row r="74" spans="1:9" ht="15.75" customHeight="1">
      <c r="A74" s="7">
        <v>45614</v>
      </c>
      <c r="B74" s="17" t="s">
        <v>23</v>
      </c>
      <c r="C74" s="8">
        <v>946</v>
      </c>
      <c r="D74" s="8">
        <v>270</v>
      </c>
      <c r="E74" s="8">
        <v>246567</v>
      </c>
      <c r="F74" s="19">
        <v>4.53</v>
      </c>
      <c r="G74" s="8">
        <v>5924</v>
      </c>
      <c r="H74" s="1">
        <f>Table2[[#This Row],[New_Followers]]-Table2[[#This Row],[Unfollows]]</f>
        <v>676</v>
      </c>
      <c r="I74" s="4">
        <f>(Table2[[#This Row],[follower gain]]/Table2[[#This Row],[Total_Followers]])*100</f>
        <v>0.27416483146568682</v>
      </c>
    </row>
    <row r="75" spans="1:9" ht="15.75" customHeight="1">
      <c r="A75" s="7">
        <v>45614</v>
      </c>
      <c r="B75" s="17" t="s">
        <v>31</v>
      </c>
      <c r="C75" s="8">
        <v>791</v>
      </c>
      <c r="D75" s="8">
        <v>214</v>
      </c>
      <c r="E75" s="8">
        <v>114738</v>
      </c>
      <c r="F75" s="19">
        <v>6.62</v>
      </c>
      <c r="G75" s="8">
        <v>25347</v>
      </c>
      <c r="H75" s="1">
        <f>Table2[[#This Row],[New_Followers]]-Table2[[#This Row],[Unfollows]]</f>
        <v>577</v>
      </c>
      <c r="I75" s="4">
        <f>(Table2[[#This Row],[follower gain]]/Table2[[#This Row],[Total_Followers]])*100</f>
        <v>0.5028848332723248</v>
      </c>
    </row>
    <row r="76" spans="1:9" ht="15.75" customHeight="1">
      <c r="A76" s="7">
        <v>45614</v>
      </c>
      <c r="B76" s="17" t="s">
        <v>38</v>
      </c>
      <c r="C76" s="8">
        <v>793</v>
      </c>
      <c r="D76" s="8">
        <v>111</v>
      </c>
      <c r="E76" s="8">
        <v>333500</v>
      </c>
      <c r="F76" s="19">
        <v>6.36</v>
      </c>
      <c r="G76" s="8">
        <v>8910</v>
      </c>
      <c r="H76" s="1">
        <f>Table2[[#This Row],[New_Followers]]-Table2[[#This Row],[Unfollows]]</f>
        <v>682</v>
      </c>
      <c r="I76" s="4">
        <f>(Table2[[#This Row],[follower gain]]/Table2[[#This Row],[Total_Followers]])*100</f>
        <v>0.2044977511244378</v>
      </c>
    </row>
    <row r="77" spans="1:9" ht="15.75" customHeight="1">
      <c r="A77" s="7">
        <v>45621</v>
      </c>
      <c r="B77" s="17" t="s">
        <v>23</v>
      </c>
      <c r="C77" s="8">
        <v>663</v>
      </c>
      <c r="D77" s="8">
        <v>213</v>
      </c>
      <c r="E77" s="8">
        <v>352677</v>
      </c>
      <c r="F77" s="19">
        <v>9</v>
      </c>
      <c r="G77" s="8">
        <v>20438</v>
      </c>
      <c r="H77" s="1">
        <f>Table2[[#This Row],[New_Followers]]-Table2[[#This Row],[Unfollows]]</f>
        <v>450</v>
      </c>
      <c r="I77" s="4">
        <f>(Table2[[#This Row],[follower gain]]/Table2[[#This Row],[Total_Followers]])*100</f>
        <v>0.1275955052356689</v>
      </c>
    </row>
    <row r="78" spans="1:9" ht="15.75" customHeight="1">
      <c r="A78" s="7">
        <v>45621</v>
      </c>
      <c r="B78" s="17" t="s">
        <v>31</v>
      </c>
      <c r="C78" s="8">
        <v>954</v>
      </c>
      <c r="D78" s="8">
        <v>271</v>
      </c>
      <c r="E78" s="8">
        <v>160936</v>
      </c>
      <c r="F78" s="19">
        <v>8.83</v>
      </c>
      <c r="G78" s="8">
        <v>8760</v>
      </c>
      <c r="H78" s="1">
        <f>Table2[[#This Row],[New_Followers]]-Table2[[#This Row],[Unfollows]]</f>
        <v>683</v>
      </c>
      <c r="I78" s="4">
        <f>(Table2[[#This Row],[follower gain]]/Table2[[#This Row],[Total_Followers]])*100</f>
        <v>0.42439230501565839</v>
      </c>
    </row>
    <row r="79" spans="1:9" ht="15.75" customHeight="1">
      <c r="A79" s="7">
        <v>45621</v>
      </c>
      <c r="B79" s="17" t="s">
        <v>38</v>
      </c>
      <c r="C79" s="8">
        <v>1313</v>
      </c>
      <c r="D79" s="8">
        <v>159</v>
      </c>
      <c r="E79" s="8">
        <v>197183</v>
      </c>
      <c r="F79" s="19">
        <v>9.7100000000000009</v>
      </c>
      <c r="G79" s="8">
        <v>6625</v>
      </c>
      <c r="H79" s="1">
        <f>Table2[[#This Row],[New_Followers]]-Table2[[#This Row],[Unfollows]]</f>
        <v>1154</v>
      </c>
      <c r="I79" s="4">
        <f>(Table2[[#This Row],[follower gain]]/Table2[[#This Row],[Total_Followers]])*100</f>
        <v>0.58524314976443204</v>
      </c>
    </row>
    <row r="80" spans="1:9" ht="15.75" customHeight="1">
      <c r="A80" s="7">
        <v>45628</v>
      </c>
      <c r="B80" s="17" t="s">
        <v>23</v>
      </c>
      <c r="C80" s="8">
        <v>895</v>
      </c>
      <c r="D80" s="8">
        <v>87</v>
      </c>
      <c r="E80" s="8">
        <v>171271</v>
      </c>
      <c r="F80" s="19">
        <v>6.68</v>
      </c>
      <c r="G80" s="8">
        <v>23329</v>
      </c>
      <c r="H80" s="1">
        <f>Table2[[#This Row],[New_Followers]]-Table2[[#This Row],[Unfollows]]</f>
        <v>808</v>
      </c>
      <c r="I80" s="4">
        <f>(Table2[[#This Row],[follower gain]]/Table2[[#This Row],[Total_Followers]])*100</f>
        <v>0.47176696580273364</v>
      </c>
    </row>
    <row r="81" spans="1:9" ht="15.75" customHeight="1">
      <c r="A81" s="7">
        <v>45628</v>
      </c>
      <c r="B81" s="17" t="s">
        <v>31</v>
      </c>
      <c r="C81" s="8">
        <v>1027</v>
      </c>
      <c r="D81" s="8">
        <v>156</v>
      </c>
      <c r="E81" s="8">
        <v>111293</v>
      </c>
      <c r="F81" s="19">
        <v>5.51</v>
      </c>
      <c r="G81" s="8">
        <v>7299</v>
      </c>
      <c r="H81" s="1">
        <f>Table2[[#This Row],[New_Followers]]-Table2[[#This Row],[Unfollows]]</f>
        <v>871</v>
      </c>
      <c r="I81" s="4">
        <f>(Table2[[#This Row],[follower gain]]/Table2[[#This Row],[Total_Followers]])*100</f>
        <v>0.78261885293774092</v>
      </c>
    </row>
    <row r="82" spans="1:9" ht="15.75" customHeight="1">
      <c r="A82" s="7">
        <v>45628</v>
      </c>
      <c r="B82" s="17" t="s">
        <v>38</v>
      </c>
      <c r="C82" s="8">
        <v>990</v>
      </c>
      <c r="D82" s="8">
        <v>286</v>
      </c>
      <c r="E82" s="8">
        <v>351493</v>
      </c>
      <c r="F82" s="19">
        <v>7.97</v>
      </c>
      <c r="G82" s="8">
        <v>14496</v>
      </c>
      <c r="H82" s="1">
        <f>Table2[[#This Row],[New_Followers]]-Table2[[#This Row],[Unfollows]]</f>
        <v>704</v>
      </c>
      <c r="I82" s="4">
        <f>(Table2[[#This Row],[follower gain]]/Table2[[#This Row],[Total_Followers]])*100</f>
        <v>0.20028848369668811</v>
      </c>
    </row>
    <row r="83" spans="1:9" ht="15.75" customHeight="1">
      <c r="A83" s="7">
        <v>45635</v>
      </c>
      <c r="B83" s="17" t="s">
        <v>23</v>
      </c>
      <c r="C83" s="8">
        <v>875</v>
      </c>
      <c r="D83" s="8">
        <v>264</v>
      </c>
      <c r="E83" s="8">
        <v>345631</v>
      </c>
      <c r="F83" s="19">
        <v>9.18</v>
      </c>
      <c r="G83" s="8">
        <v>25703</v>
      </c>
      <c r="H83" s="1">
        <f>Table2[[#This Row],[New_Followers]]-Table2[[#This Row],[Unfollows]]</f>
        <v>611</v>
      </c>
      <c r="I83" s="4">
        <f>(Table2[[#This Row],[follower gain]]/Table2[[#This Row],[Total_Followers]])*100</f>
        <v>0.17677812464738407</v>
      </c>
    </row>
    <row r="84" spans="1:9" ht="15.75" customHeight="1">
      <c r="A84" s="7">
        <v>45635</v>
      </c>
      <c r="B84" s="17" t="s">
        <v>31</v>
      </c>
      <c r="C84" s="8">
        <v>599</v>
      </c>
      <c r="D84" s="8">
        <v>194</v>
      </c>
      <c r="E84" s="8">
        <v>105622</v>
      </c>
      <c r="F84" s="19">
        <v>6.44</v>
      </c>
      <c r="G84" s="8">
        <v>15108</v>
      </c>
      <c r="H84" s="1">
        <f>Table2[[#This Row],[New_Followers]]-Table2[[#This Row],[Unfollows]]</f>
        <v>405</v>
      </c>
      <c r="I84" s="4">
        <f>(Table2[[#This Row],[follower gain]]/Table2[[#This Row],[Total_Followers]])*100</f>
        <v>0.38344284334702994</v>
      </c>
    </row>
    <row r="85" spans="1:9" ht="15.75" customHeight="1">
      <c r="A85" s="7">
        <v>45635</v>
      </c>
      <c r="B85" s="17" t="s">
        <v>38</v>
      </c>
      <c r="C85" s="8">
        <v>630</v>
      </c>
      <c r="D85" s="8">
        <v>248</v>
      </c>
      <c r="E85" s="8">
        <v>119054</v>
      </c>
      <c r="F85" s="19">
        <v>5.0199999999999996</v>
      </c>
      <c r="G85" s="8">
        <v>18867</v>
      </c>
      <c r="H85" s="1">
        <f>Table2[[#This Row],[New_Followers]]-Table2[[#This Row],[Unfollows]]</f>
        <v>382</v>
      </c>
      <c r="I85" s="4">
        <f>(Table2[[#This Row],[follower gain]]/Table2[[#This Row],[Total_Followers]])*100</f>
        <v>0.32086280175382598</v>
      </c>
    </row>
    <row r="86" spans="1:9" ht="15.75" customHeight="1">
      <c r="A86" s="7">
        <v>45642</v>
      </c>
      <c r="B86" s="17" t="s">
        <v>23</v>
      </c>
      <c r="C86" s="8">
        <v>1350</v>
      </c>
      <c r="D86" s="8">
        <v>233</v>
      </c>
      <c r="E86" s="8">
        <v>171670</v>
      </c>
      <c r="F86" s="19">
        <v>4.53</v>
      </c>
      <c r="G86" s="8">
        <v>17574</v>
      </c>
      <c r="H86" s="1">
        <f>Table2[[#This Row],[New_Followers]]-Table2[[#This Row],[Unfollows]]</f>
        <v>1117</v>
      </c>
      <c r="I86" s="4">
        <f>(Table2[[#This Row],[follower gain]]/Table2[[#This Row],[Total_Followers]])*100</f>
        <v>0.65066697734024581</v>
      </c>
    </row>
    <row r="87" spans="1:9" ht="15.75" customHeight="1">
      <c r="A87" s="7">
        <v>45642</v>
      </c>
      <c r="B87" s="17" t="s">
        <v>31</v>
      </c>
      <c r="C87" s="8">
        <v>632</v>
      </c>
      <c r="D87" s="8">
        <v>155</v>
      </c>
      <c r="E87" s="8">
        <v>170432</v>
      </c>
      <c r="F87" s="19">
        <v>9.17</v>
      </c>
      <c r="G87" s="8">
        <v>12840</v>
      </c>
      <c r="H87" s="1">
        <f>Table2[[#This Row],[New_Followers]]-Table2[[#This Row],[Unfollows]]</f>
        <v>477</v>
      </c>
      <c r="I87" s="4">
        <f>(Table2[[#This Row],[follower gain]]/Table2[[#This Row],[Total_Followers]])*100</f>
        <v>0.27987701840030044</v>
      </c>
    </row>
    <row r="88" spans="1:9" ht="15.75" customHeight="1">
      <c r="A88" s="7">
        <v>45642</v>
      </c>
      <c r="B88" s="17" t="s">
        <v>38</v>
      </c>
      <c r="C88" s="8">
        <v>1182</v>
      </c>
      <c r="D88" s="8">
        <v>83</v>
      </c>
      <c r="E88" s="8">
        <v>140300</v>
      </c>
      <c r="F88" s="19">
        <v>3.27</v>
      </c>
      <c r="G88" s="8">
        <v>21079</v>
      </c>
      <c r="H88" s="1">
        <f>Table2[[#This Row],[New_Followers]]-Table2[[#This Row],[Unfollows]]</f>
        <v>1099</v>
      </c>
      <c r="I88" s="4">
        <f>(Table2[[#This Row],[follower gain]]/Table2[[#This Row],[Total_Followers]])*100</f>
        <v>0.78332145402708486</v>
      </c>
    </row>
    <row r="89" spans="1:9" ht="15.75" customHeight="1">
      <c r="A89" s="7">
        <v>45649</v>
      </c>
      <c r="B89" s="17" t="s">
        <v>23</v>
      </c>
      <c r="C89" s="8">
        <v>661</v>
      </c>
      <c r="D89" s="8">
        <v>94</v>
      </c>
      <c r="E89" s="8">
        <v>116538</v>
      </c>
      <c r="F89" s="19">
        <v>5.31</v>
      </c>
      <c r="G89" s="8">
        <v>23486</v>
      </c>
      <c r="H89" s="1">
        <f>Table2[[#This Row],[New_Followers]]-Table2[[#This Row],[Unfollows]]</f>
        <v>567</v>
      </c>
      <c r="I89" s="4">
        <f>(Table2[[#This Row],[follower gain]]/Table2[[#This Row],[Total_Followers]])*100</f>
        <v>0.48653658034289238</v>
      </c>
    </row>
    <row r="90" spans="1:9" ht="15.75" customHeight="1">
      <c r="A90" s="7">
        <v>45649</v>
      </c>
      <c r="B90" s="17" t="s">
        <v>31</v>
      </c>
      <c r="C90" s="8">
        <v>1360</v>
      </c>
      <c r="D90" s="8">
        <v>227</v>
      </c>
      <c r="E90" s="8">
        <v>176902</v>
      </c>
      <c r="F90" s="19">
        <v>6.03</v>
      </c>
      <c r="G90" s="8">
        <v>5960</v>
      </c>
      <c r="H90" s="1">
        <f>Table2[[#This Row],[New_Followers]]-Table2[[#This Row],[Unfollows]]</f>
        <v>1133</v>
      </c>
      <c r="I90" s="4">
        <f>(Table2[[#This Row],[follower gain]]/Table2[[#This Row],[Total_Followers]])*100</f>
        <v>0.64046760353189902</v>
      </c>
    </row>
    <row r="91" spans="1:9" ht="15.75" customHeight="1">
      <c r="A91" s="7">
        <v>45649</v>
      </c>
      <c r="B91" s="17" t="s">
        <v>38</v>
      </c>
      <c r="C91" s="8">
        <v>935</v>
      </c>
      <c r="D91" s="8">
        <v>85</v>
      </c>
      <c r="E91" s="8">
        <v>326821</v>
      </c>
      <c r="F91" s="19">
        <v>8.89</v>
      </c>
      <c r="G91" s="8">
        <v>13301</v>
      </c>
      <c r="H91" s="1">
        <f>Table2[[#This Row],[New_Followers]]-Table2[[#This Row],[Unfollows]]</f>
        <v>850</v>
      </c>
      <c r="I91" s="4">
        <f>(Table2[[#This Row],[follower gain]]/Table2[[#This Row],[Total_Followers]])*100</f>
        <v>0.260081206532016</v>
      </c>
    </row>
    <row r="92" spans="1:9" ht="15.75" customHeight="1">
      <c r="A92" s="7">
        <v>45656</v>
      </c>
      <c r="B92" s="17" t="s">
        <v>23</v>
      </c>
      <c r="C92" s="8">
        <v>664</v>
      </c>
      <c r="D92" s="8">
        <v>251</v>
      </c>
      <c r="E92" s="8">
        <v>240598</v>
      </c>
      <c r="F92" s="19">
        <v>4.79</v>
      </c>
      <c r="G92" s="8">
        <v>10563</v>
      </c>
      <c r="H92" s="1">
        <f>Table2[[#This Row],[New_Followers]]-Table2[[#This Row],[Unfollows]]</f>
        <v>413</v>
      </c>
      <c r="I92" s="4">
        <f>(Table2[[#This Row],[follower gain]]/Table2[[#This Row],[Total_Followers]])*100</f>
        <v>0.17165562473503521</v>
      </c>
    </row>
    <row r="93" spans="1:9" ht="15.75" customHeight="1">
      <c r="A93" s="7">
        <v>45656</v>
      </c>
      <c r="B93" s="17" t="s">
        <v>31</v>
      </c>
      <c r="C93" s="8">
        <v>1490</v>
      </c>
      <c r="D93" s="8">
        <v>103</v>
      </c>
      <c r="E93" s="8">
        <v>373274</v>
      </c>
      <c r="F93" s="19">
        <v>4.8</v>
      </c>
      <c r="G93" s="8">
        <v>19949</v>
      </c>
      <c r="H93" s="1">
        <f>Table2[[#This Row],[New_Followers]]-Table2[[#This Row],[Unfollows]]</f>
        <v>1387</v>
      </c>
      <c r="I93" s="4">
        <f>(Table2[[#This Row],[follower gain]]/Table2[[#This Row],[Total_Followers]])*100</f>
        <v>0.37157691133055076</v>
      </c>
    </row>
    <row r="94" spans="1:9" ht="15.75" customHeight="1">
      <c r="A94" s="7">
        <v>45656</v>
      </c>
      <c r="B94" s="17" t="s">
        <v>38</v>
      </c>
      <c r="C94" s="8">
        <v>601</v>
      </c>
      <c r="D94" s="8">
        <v>64</v>
      </c>
      <c r="E94" s="8">
        <v>123272</v>
      </c>
      <c r="F94" s="19">
        <v>4.07</v>
      </c>
      <c r="G94" s="8">
        <v>14273</v>
      </c>
      <c r="H94" s="1">
        <f>Table2[[#This Row],[New_Followers]]-Table2[[#This Row],[Unfollows]]</f>
        <v>537</v>
      </c>
      <c r="I94" s="4">
        <f>(Table2[[#This Row],[follower gain]]/Table2[[#This Row],[Total_Followers]])*100</f>
        <v>0.43562203906807706</v>
      </c>
    </row>
    <row r="95" spans="1:9" ht="15.75" customHeight="1">
      <c r="A95" s="7">
        <v>45663</v>
      </c>
      <c r="B95" s="17" t="s">
        <v>23</v>
      </c>
      <c r="C95" s="8">
        <v>613</v>
      </c>
      <c r="D95" s="8">
        <v>170</v>
      </c>
      <c r="E95" s="8">
        <v>139266</v>
      </c>
      <c r="F95" s="19">
        <v>6.06</v>
      </c>
      <c r="G95" s="8">
        <v>9247</v>
      </c>
      <c r="H95" s="1">
        <f>Table2[[#This Row],[New_Followers]]-Table2[[#This Row],[Unfollows]]</f>
        <v>443</v>
      </c>
      <c r="I95" s="4">
        <f>(Table2[[#This Row],[follower gain]]/Table2[[#This Row],[Total_Followers]])*100</f>
        <v>0.31809630491290047</v>
      </c>
    </row>
    <row r="96" spans="1:9" ht="15.75" customHeight="1">
      <c r="A96" s="7">
        <v>45663</v>
      </c>
      <c r="B96" s="17" t="s">
        <v>31</v>
      </c>
      <c r="C96" s="8">
        <v>1340</v>
      </c>
      <c r="D96" s="8">
        <v>57</v>
      </c>
      <c r="E96" s="8">
        <v>155927</v>
      </c>
      <c r="F96" s="19">
        <v>7.79</v>
      </c>
      <c r="G96" s="8">
        <v>11972</v>
      </c>
      <c r="H96" s="1">
        <f>Table2[[#This Row],[New_Followers]]-Table2[[#This Row],[Unfollows]]</f>
        <v>1283</v>
      </c>
      <c r="I96" s="4">
        <f>(Table2[[#This Row],[follower gain]]/Table2[[#This Row],[Total_Followers]])*100</f>
        <v>0.82282093543773693</v>
      </c>
    </row>
    <row r="97" spans="1:9" ht="15.75" customHeight="1">
      <c r="A97" s="7">
        <v>45663</v>
      </c>
      <c r="B97" s="17" t="s">
        <v>38</v>
      </c>
      <c r="C97" s="8">
        <v>953</v>
      </c>
      <c r="D97" s="8">
        <v>228</v>
      </c>
      <c r="E97" s="8">
        <v>258398</v>
      </c>
      <c r="F97" s="19">
        <v>9.0500000000000007</v>
      </c>
      <c r="G97" s="8">
        <v>13314</v>
      </c>
      <c r="H97" s="1">
        <f>Table2[[#This Row],[New_Followers]]-Table2[[#This Row],[Unfollows]]</f>
        <v>725</v>
      </c>
      <c r="I97" s="4">
        <f>(Table2[[#This Row],[follower gain]]/Table2[[#This Row],[Total_Followers]])*100</f>
        <v>0.28057492705051895</v>
      </c>
    </row>
    <row r="98" spans="1:9" ht="15.75" customHeight="1">
      <c r="A98" s="7">
        <v>45670</v>
      </c>
      <c r="B98" s="17" t="s">
        <v>23</v>
      </c>
      <c r="C98" s="8">
        <v>532</v>
      </c>
      <c r="D98" s="8">
        <v>65</v>
      </c>
      <c r="E98" s="8">
        <v>338561</v>
      </c>
      <c r="F98" s="19">
        <v>3.5</v>
      </c>
      <c r="G98" s="8">
        <v>14749</v>
      </c>
      <c r="H98" s="1">
        <f>Table2[[#This Row],[New_Followers]]-Table2[[#This Row],[Unfollows]]</f>
        <v>467</v>
      </c>
      <c r="I98" s="4">
        <f>(Table2[[#This Row],[follower gain]]/Table2[[#This Row],[Total_Followers]])*100</f>
        <v>0.137936738135816</v>
      </c>
    </row>
    <row r="99" spans="1:9" ht="15.75" customHeight="1">
      <c r="A99" s="7">
        <v>45670</v>
      </c>
      <c r="B99" s="17" t="s">
        <v>31</v>
      </c>
      <c r="C99" s="8">
        <v>1414</v>
      </c>
      <c r="D99" s="8">
        <v>60</v>
      </c>
      <c r="E99" s="8">
        <v>341856</v>
      </c>
      <c r="F99" s="19">
        <v>8.76</v>
      </c>
      <c r="G99" s="8">
        <v>6868</v>
      </c>
      <c r="H99" s="1">
        <f>Table2[[#This Row],[New_Followers]]-Table2[[#This Row],[Unfollows]]</f>
        <v>1354</v>
      </c>
      <c r="I99" s="4">
        <f>(Table2[[#This Row],[follower gain]]/Table2[[#This Row],[Total_Followers]])*100</f>
        <v>0.39607320041186933</v>
      </c>
    </row>
    <row r="100" spans="1:9" ht="15.75" customHeight="1">
      <c r="A100" s="7">
        <v>45670</v>
      </c>
      <c r="B100" s="17" t="s">
        <v>38</v>
      </c>
      <c r="C100" s="8">
        <v>685</v>
      </c>
      <c r="D100" s="8">
        <v>165</v>
      </c>
      <c r="E100" s="8">
        <v>175860</v>
      </c>
      <c r="F100" s="19">
        <v>6.26</v>
      </c>
      <c r="G100" s="8">
        <v>6027</v>
      </c>
      <c r="H100" s="1">
        <f>Table2[[#This Row],[New_Followers]]-Table2[[#This Row],[Unfollows]]</f>
        <v>520</v>
      </c>
      <c r="I100" s="4">
        <f>(Table2[[#This Row],[follower gain]]/Table2[[#This Row],[Total_Followers]])*100</f>
        <v>0.2956897532127829</v>
      </c>
    </row>
    <row r="101" spans="1:9" ht="15.75" customHeight="1">
      <c r="A101" s="7">
        <v>45677</v>
      </c>
      <c r="B101" s="17" t="s">
        <v>23</v>
      </c>
      <c r="C101" s="8">
        <v>601</v>
      </c>
      <c r="D101" s="8">
        <v>159</v>
      </c>
      <c r="E101" s="8">
        <v>327722</v>
      </c>
      <c r="F101" s="19">
        <v>3.33</v>
      </c>
      <c r="G101" s="8">
        <v>25267</v>
      </c>
      <c r="H101" s="1">
        <f>Table2[[#This Row],[New_Followers]]-Table2[[#This Row],[Unfollows]]</f>
        <v>442</v>
      </c>
      <c r="I101" s="4">
        <f>(Table2[[#This Row],[follower gain]]/Table2[[#This Row],[Total_Followers]])*100</f>
        <v>0.13487040845594742</v>
      </c>
    </row>
    <row r="102" spans="1:9" ht="15.75" customHeight="1">
      <c r="A102" s="7">
        <v>45677</v>
      </c>
      <c r="B102" s="17" t="s">
        <v>31</v>
      </c>
      <c r="C102" s="8">
        <v>841</v>
      </c>
      <c r="D102" s="8">
        <v>295</v>
      </c>
      <c r="E102" s="8">
        <v>271638</v>
      </c>
      <c r="F102" s="19">
        <v>9.15</v>
      </c>
      <c r="G102" s="8">
        <v>5900</v>
      </c>
      <c r="H102" s="1">
        <f>Table2[[#This Row],[New_Followers]]-Table2[[#This Row],[Unfollows]]</f>
        <v>546</v>
      </c>
      <c r="I102" s="4">
        <f>(Table2[[#This Row],[follower gain]]/Table2[[#This Row],[Total_Followers]])*100</f>
        <v>0.20100280520398472</v>
      </c>
    </row>
    <row r="103" spans="1:9" ht="15.75" customHeight="1">
      <c r="A103" s="7">
        <v>45677</v>
      </c>
      <c r="B103" s="17" t="s">
        <v>38</v>
      </c>
      <c r="C103" s="8">
        <v>1105</v>
      </c>
      <c r="D103" s="8">
        <v>261</v>
      </c>
      <c r="E103" s="8">
        <v>333851</v>
      </c>
      <c r="F103" s="19">
        <v>6.03</v>
      </c>
      <c r="G103" s="8">
        <v>11181</v>
      </c>
      <c r="H103" s="1">
        <f>Table2[[#This Row],[New_Followers]]-Table2[[#This Row],[Unfollows]]</f>
        <v>844</v>
      </c>
      <c r="I103" s="4">
        <f>(Table2[[#This Row],[follower gain]]/Table2[[#This Row],[Total_Followers]])*100</f>
        <v>0.2528073901231388</v>
      </c>
    </row>
    <row r="104" spans="1:9" ht="15.75" customHeight="1">
      <c r="A104" s="7">
        <v>45684</v>
      </c>
      <c r="B104" s="17" t="s">
        <v>23</v>
      </c>
      <c r="C104" s="8">
        <v>566</v>
      </c>
      <c r="D104" s="8">
        <v>225</v>
      </c>
      <c r="E104" s="8">
        <v>368984</v>
      </c>
      <c r="F104" s="19">
        <v>9.82</v>
      </c>
      <c r="G104" s="8">
        <v>9592</v>
      </c>
      <c r="H104" s="1">
        <f>Table2[[#This Row],[New_Followers]]-Table2[[#This Row],[Unfollows]]</f>
        <v>341</v>
      </c>
      <c r="I104" s="4">
        <f>(Table2[[#This Row],[follower gain]]/Table2[[#This Row],[Total_Followers]])*100</f>
        <v>9.2415931314094923E-2</v>
      </c>
    </row>
    <row r="105" spans="1:9" ht="15.75" customHeight="1">
      <c r="A105" s="7">
        <v>45684</v>
      </c>
      <c r="B105" s="17" t="s">
        <v>31</v>
      </c>
      <c r="C105" s="8">
        <v>1149</v>
      </c>
      <c r="D105" s="8">
        <v>280</v>
      </c>
      <c r="E105" s="8">
        <v>167310</v>
      </c>
      <c r="F105" s="19">
        <v>3.7</v>
      </c>
      <c r="G105" s="8">
        <v>5291</v>
      </c>
      <c r="H105" s="1">
        <f>Table2[[#This Row],[New_Followers]]-Table2[[#This Row],[Unfollows]]</f>
        <v>869</v>
      </c>
      <c r="I105" s="4">
        <f>(Table2[[#This Row],[follower gain]]/Table2[[#This Row],[Total_Followers]])*100</f>
        <v>0.51939513477975008</v>
      </c>
    </row>
    <row r="106" spans="1:9" ht="15.75" customHeight="1">
      <c r="A106" s="7">
        <v>45684</v>
      </c>
      <c r="B106" s="17" t="s">
        <v>38</v>
      </c>
      <c r="C106" s="8">
        <v>819</v>
      </c>
      <c r="D106" s="8">
        <v>101</v>
      </c>
      <c r="E106" s="8">
        <v>194811</v>
      </c>
      <c r="F106" s="19">
        <v>3.35</v>
      </c>
      <c r="G106" s="8">
        <v>22244</v>
      </c>
      <c r="H106" s="1">
        <f>Table2[[#This Row],[New_Followers]]-Table2[[#This Row],[Unfollows]]</f>
        <v>718</v>
      </c>
      <c r="I106" s="4">
        <f>(Table2[[#This Row],[follower gain]]/Table2[[#This Row],[Total_Followers]])*100</f>
        <v>0.36856235017529809</v>
      </c>
    </row>
    <row r="107" spans="1:9" ht="15.75" customHeight="1">
      <c r="A107" s="7">
        <v>45691</v>
      </c>
      <c r="B107" s="17" t="s">
        <v>23</v>
      </c>
      <c r="C107" s="8">
        <v>795</v>
      </c>
      <c r="D107" s="8">
        <v>60</v>
      </c>
      <c r="E107" s="8">
        <v>314982</v>
      </c>
      <c r="F107" s="19">
        <v>7.31</v>
      </c>
      <c r="G107" s="8">
        <v>6824</v>
      </c>
      <c r="H107" s="1">
        <f>Table2[[#This Row],[New_Followers]]-Table2[[#This Row],[Unfollows]]</f>
        <v>735</v>
      </c>
      <c r="I107" s="4">
        <f>(Table2[[#This Row],[follower gain]]/Table2[[#This Row],[Total_Followers]])*100</f>
        <v>0.23334666742861496</v>
      </c>
    </row>
    <row r="108" spans="1:9" ht="15.75" customHeight="1">
      <c r="A108" s="7">
        <v>45691</v>
      </c>
      <c r="B108" s="17" t="s">
        <v>31</v>
      </c>
      <c r="C108" s="8">
        <v>681</v>
      </c>
      <c r="D108" s="8">
        <v>158</v>
      </c>
      <c r="E108" s="8">
        <v>75960</v>
      </c>
      <c r="F108" s="19">
        <v>3.13</v>
      </c>
      <c r="G108" s="8">
        <v>24112</v>
      </c>
      <c r="H108" s="1">
        <f>Table2[[#This Row],[New_Followers]]-Table2[[#This Row],[Unfollows]]</f>
        <v>523</v>
      </c>
      <c r="I108" s="4">
        <f>(Table2[[#This Row],[follower gain]]/Table2[[#This Row],[Total_Followers]])*100</f>
        <v>0.6885202738283307</v>
      </c>
    </row>
    <row r="109" spans="1:9" ht="15.75" customHeight="1">
      <c r="A109" s="7">
        <v>45691</v>
      </c>
      <c r="B109" s="17" t="s">
        <v>38</v>
      </c>
      <c r="C109" s="8">
        <v>534</v>
      </c>
      <c r="D109" s="8">
        <v>112</v>
      </c>
      <c r="E109" s="8">
        <v>360759</v>
      </c>
      <c r="F109" s="19">
        <v>4.8899999999999997</v>
      </c>
      <c r="G109" s="8">
        <v>25478</v>
      </c>
      <c r="H109" s="1">
        <f>Table2[[#This Row],[New_Followers]]-Table2[[#This Row],[Unfollows]]</f>
        <v>422</v>
      </c>
      <c r="I109" s="4">
        <f>(Table2[[#This Row],[follower gain]]/Table2[[#This Row],[Total_Followers]])*100</f>
        <v>0.11697559866836309</v>
      </c>
    </row>
    <row r="110" spans="1:9" ht="15.75" customHeight="1">
      <c r="A110" s="7">
        <v>45698</v>
      </c>
      <c r="B110" s="17" t="s">
        <v>23</v>
      </c>
      <c r="C110" s="8">
        <v>1066</v>
      </c>
      <c r="D110" s="8">
        <v>151</v>
      </c>
      <c r="E110" s="8">
        <v>297090</v>
      </c>
      <c r="F110" s="19">
        <v>8.6300000000000008</v>
      </c>
      <c r="G110" s="8">
        <v>11235</v>
      </c>
      <c r="H110" s="1">
        <f>Table2[[#This Row],[New_Followers]]-Table2[[#This Row],[Unfollows]]</f>
        <v>915</v>
      </c>
      <c r="I110" s="4">
        <f>(Table2[[#This Row],[follower gain]]/Table2[[#This Row],[Total_Followers]])*100</f>
        <v>0.30798747854185599</v>
      </c>
    </row>
    <row r="111" spans="1:9" ht="15.75" customHeight="1">
      <c r="A111" s="7">
        <v>45698</v>
      </c>
      <c r="B111" s="17" t="s">
        <v>31</v>
      </c>
      <c r="C111" s="8">
        <v>1270</v>
      </c>
      <c r="D111" s="8">
        <v>162</v>
      </c>
      <c r="E111" s="8">
        <v>92040</v>
      </c>
      <c r="F111" s="19">
        <v>8.0299999999999994</v>
      </c>
      <c r="G111" s="8">
        <v>6120</v>
      </c>
      <c r="H111" s="1">
        <f>Table2[[#This Row],[New_Followers]]-Table2[[#This Row],[Unfollows]]</f>
        <v>1108</v>
      </c>
      <c r="I111" s="4">
        <f>(Table2[[#This Row],[follower gain]]/Table2[[#This Row],[Total_Followers]])*100</f>
        <v>1.2038244241634073</v>
      </c>
    </row>
    <row r="112" spans="1:9" ht="15.75" customHeight="1">
      <c r="A112" s="7">
        <v>45698</v>
      </c>
      <c r="B112" s="17" t="s">
        <v>38</v>
      </c>
      <c r="C112" s="8">
        <v>536</v>
      </c>
      <c r="D112" s="8">
        <v>198</v>
      </c>
      <c r="E112" s="8">
        <v>174610</v>
      </c>
      <c r="F112" s="19">
        <v>7.85</v>
      </c>
      <c r="G112" s="8">
        <v>20572</v>
      </c>
      <c r="H112" s="1">
        <f>Table2[[#This Row],[New_Followers]]-Table2[[#This Row],[Unfollows]]</f>
        <v>338</v>
      </c>
      <c r="I112" s="4">
        <f>(Table2[[#This Row],[follower gain]]/Table2[[#This Row],[Total_Followers]])*100</f>
        <v>0.19357425118836263</v>
      </c>
    </row>
    <row r="113" spans="1:9" ht="15.75" customHeight="1">
      <c r="A113" s="7">
        <v>45705</v>
      </c>
      <c r="B113" s="17" t="s">
        <v>23</v>
      </c>
      <c r="C113" s="8">
        <v>819</v>
      </c>
      <c r="D113" s="8">
        <v>95</v>
      </c>
      <c r="E113" s="8">
        <v>177376</v>
      </c>
      <c r="F113" s="19">
        <v>6.12</v>
      </c>
      <c r="G113" s="8">
        <v>14975</v>
      </c>
      <c r="H113" s="1">
        <f>Table2[[#This Row],[New_Followers]]-Table2[[#This Row],[Unfollows]]</f>
        <v>724</v>
      </c>
      <c r="I113" s="4">
        <f>(Table2[[#This Row],[follower gain]]/Table2[[#This Row],[Total_Followers]])*100</f>
        <v>0.40817246978170663</v>
      </c>
    </row>
    <row r="114" spans="1:9" ht="15.75" customHeight="1">
      <c r="A114" s="7">
        <v>45705</v>
      </c>
      <c r="B114" s="17" t="s">
        <v>31</v>
      </c>
      <c r="C114" s="8">
        <v>681</v>
      </c>
      <c r="D114" s="8">
        <v>218</v>
      </c>
      <c r="E114" s="8">
        <v>198882</v>
      </c>
      <c r="F114" s="19">
        <v>7.16</v>
      </c>
      <c r="G114" s="8">
        <v>22234</v>
      </c>
      <c r="H114" s="1">
        <f>Table2[[#This Row],[New_Followers]]-Table2[[#This Row],[Unfollows]]</f>
        <v>463</v>
      </c>
      <c r="I114" s="4">
        <f>(Table2[[#This Row],[follower gain]]/Table2[[#This Row],[Total_Followers]])*100</f>
        <v>0.23280135960016493</v>
      </c>
    </row>
    <row r="115" spans="1:9" ht="15.75" customHeight="1">
      <c r="A115" s="7">
        <v>45705</v>
      </c>
      <c r="B115" s="17" t="s">
        <v>38</v>
      </c>
      <c r="C115" s="8">
        <v>646</v>
      </c>
      <c r="D115" s="8">
        <v>290</v>
      </c>
      <c r="E115" s="8">
        <v>336383</v>
      </c>
      <c r="F115" s="19">
        <v>7.04</v>
      </c>
      <c r="G115" s="8">
        <v>6532</v>
      </c>
      <c r="H115" s="1">
        <f>Table2[[#This Row],[New_Followers]]-Table2[[#This Row],[Unfollows]]</f>
        <v>356</v>
      </c>
      <c r="I115" s="4">
        <f>(Table2[[#This Row],[follower gain]]/Table2[[#This Row],[Total_Followers]])*100</f>
        <v>0.10583174536168594</v>
      </c>
    </row>
    <row r="116" spans="1:9" ht="15.75" customHeight="1">
      <c r="A116" s="7">
        <v>45712</v>
      </c>
      <c r="B116" s="17" t="s">
        <v>23</v>
      </c>
      <c r="C116" s="8">
        <v>645</v>
      </c>
      <c r="D116" s="8">
        <v>267</v>
      </c>
      <c r="E116" s="8">
        <v>346890</v>
      </c>
      <c r="F116" s="19">
        <v>3.71</v>
      </c>
      <c r="G116" s="8">
        <v>24858</v>
      </c>
      <c r="H116" s="1">
        <f>Table2[[#This Row],[New_Followers]]-Table2[[#This Row],[Unfollows]]</f>
        <v>378</v>
      </c>
      <c r="I116" s="4">
        <f>(Table2[[#This Row],[follower gain]]/Table2[[#This Row],[Total_Followers]])*100</f>
        <v>0.10896826083196401</v>
      </c>
    </row>
    <row r="117" spans="1:9" ht="15.75" customHeight="1">
      <c r="A117" s="7">
        <v>45712</v>
      </c>
      <c r="B117" s="17" t="s">
        <v>31</v>
      </c>
      <c r="C117" s="8">
        <v>886</v>
      </c>
      <c r="D117" s="8">
        <v>250</v>
      </c>
      <c r="E117" s="8">
        <v>168170</v>
      </c>
      <c r="F117" s="19">
        <v>4.12</v>
      </c>
      <c r="G117" s="8">
        <v>13883</v>
      </c>
      <c r="H117" s="1">
        <f>Table2[[#This Row],[New_Followers]]-Table2[[#This Row],[Unfollows]]</f>
        <v>636</v>
      </c>
      <c r="I117" s="4">
        <f>(Table2[[#This Row],[follower gain]]/Table2[[#This Row],[Total_Followers]])*100</f>
        <v>0.37818873758696553</v>
      </c>
    </row>
    <row r="118" spans="1:9" ht="15.75" customHeight="1">
      <c r="A118" s="7">
        <v>45712</v>
      </c>
      <c r="B118" s="17" t="s">
        <v>38</v>
      </c>
      <c r="C118" s="8">
        <v>978</v>
      </c>
      <c r="D118" s="8">
        <v>279</v>
      </c>
      <c r="E118" s="8">
        <v>368872</v>
      </c>
      <c r="F118" s="19">
        <v>6.82</v>
      </c>
      <c r="G118" s="8">
        <v>18654</v>
      </c>
      <c r="H118" s="1">
        <f>Table2[[#This Row],[New_Followers]]-Table2[[#This Row],[Unfollows]]</f>
        <v>699</v>
      </c>
      <c r="I118" s="4">
        <f>(Table2[[#This Row],[follower gain]]/Table2[[#This Row],[Total_Followers]])*100</f>
        <v>0.18949662755644234</v>
      </c>
    </row>
    <row r="119" spans="1:9" ht="15.75" customHeight="1">
      <c r="A119" s="7">
        <v>45719</v>
      </c>
      <c r="B119" s="17" t="s">
        <v>23</v>
      </c>
      <c r="C119" s="8">
        <v>1444</v>
      </c>
      <c r="D119" s="8">
        <v>165</v>
      </c>
      <c r="E119" s="8">
        <v>116436</v>
      </c>
      <c r="F119" s="19">
        <v>8.2200000000000006</v>
      </c>
      <c r="G119" s="8">
        <v>25234</v>
      </c>
      <c r="H119" s="1">
        <f>Table2[[#This Row],[New_Followers]]-Table2[[#This Row],[Unfollows]]</f>
        <v>1279</v>
      </c>
      <c r="I119" s="4">
        <f>(Table2[[#This Row],[follower gain]]/Table2[[#This Row],[Total_Followers]])*100</f>
        <v>1.0984575217286749</v>
      </c>
    </row>
    <row r="120" spans="1:9" ht="15.75" customHeight="1">
      <c r="A120" s="7">
        <v>45719</v>
      </c>
      <c r="B120" s="17" t="s">
        <v>31</v>
      </c>
      <c r="C120" s="8">
        <v>1234</v>
      </c>
      <c r="D120" s="8">
        <v>228</v>
      </c>
      <c r="E120" s="8">
        <v>127502</v>
      </c>
      <c r="F120" s="19">
        <v>7.71</v>
      </c>
      <c r="G120" s="8">
        <v>6772</v>
      </c>
      <c r="H120" s="1">
        <f>Table2[[#This Row],[New_Followers]]-Table2[[#This Row],[Unfollows]]</f>
        <v>1006</v>
      </c>
      <c r="I120" s="4">
        <f>(Table2[[#This Row],[follower gain]]/Table2[[#This Row],[Total_Followers]])*100</f>
        <v>0.78900723125911754</v>
      </c>
    </row>
    <row r="121" spans="1:9" ht="15.75" customHeight="1">
      <c r="A121" s="7">
        <v>45719</v>
      </c>
      <c r="B121" s="17" t="s">
        <v>38</v>
      </c>
      <c r="C121" s="8">
        <v>665</v>
      </c>
      <c r="D121" s="8">
        <v>187</v>
      </c>
      <c r="E121" s="8">
        <v>274567</v>
      </c>
      <c r="F121" s="19">
        <v>7.39</v>
      </c>
      <c r="G121" s="8">
        <v>22428</v>
      </c>
      <c r="H121" s="1">
        <f>Table2[[#This Row],[New_Followers]]-Table2[[#This Row],[Unfollows]]</f>
        <v>478</v>
      </c>
      <c r="I121" s="4">
        <f>(Table2[[#This Row],[follower gain]]/Table2[[#This Row],[Total_Followers]])*100</f>
        <v>0.17409229805475532</v>
      </c>
    </row>
    <row r="122" spans="1:9" ht="15.75" customHeight="1">
      <c r="A122" s="7">
        <v>45726</v>
      </c>
      <c r="B122" s="17" t="s">
        <v>23</v>
      </c>
      <c r="C122" s="8">
        <v>631</v>
      </c>
      <c r="D122" s="8">
        <v>86</v>
      </c>
      <c r="E122" s="8">
        <v>295090</v>
      </c>
      <c r="F122" s="19">
        <v>7.89</v>
      </c>
      <c r="G122" s="8">
        <v>11911</v>
      </c>
      <c r="H122" s="1">
        <f>Table2[[#This Row],[New_Followers]]-Table2[[#This Row],[Unfollows]]</f>
        <v>545</v>
      </c>
      <c r="I122" s="4">
        <f>(Table2[[#This Row],[follower gain]]/Table2[[#This Row],[Total_Followers]])*100</f>
        <v>0.18468941678809855</v>
      </c>
    </row>
    <row r="123" spans="1:9" ht="15.75" customHeight="1">
      <c r="A123" s="7">
        <v>45726</v>
      </c>
      <c r="B123" s="17" t="s">
        <v>31</v>
      </c>
      <c r="C123" s="8">
        <v>1159</v>
      </c>
      <c r="D123" s="8">
        <v>154</v>
      </c>
      <c r="E123" s="8">
        <v>194994</v>
      </c>
      <c r="F123" s="19">
        <v>6.39</v>
      </c>
      <c r="G123" s="8">
        <v>21900</v>
      </c>
      <c r="H123" s="1">
        <f>Table2[[#This Row],[New_Followers]]-Table2[[#This Row],[Unfollows]]</f>
        <v>1005</v>
      </c>
      <c r="I123" s="4">
        <f>(Table2[[#This Row],[follower gain]]/Table2[[#This Row],[Total_Followers]])*100</f>
        <v>0.51540047386073418</v>
      </c>
    </row>
    <row r="124" spans="1:9" ht="15.75" customHeight="1">
      <c r="A124" s="7">
        <v>45726</v>
      </c>
      <c r="B124" s="17" t="s">
        <v>38</v>
      </c>
      <c r="C124" s="8">
        <v>950</v>
      </c>
      <c r="D124" s="8">
        <v>185</v>
      </c>
      <c r="E124" s="8">
        <v>340750</v>
      </c>
      <c r="F124" s="19">
        <v>6.77</v>
      </c>
      <c r="G124" s="8">
        <v>25542</v>
      </c>
      <c r="H124" s="1">
        <f>Table2[[#This Row],[New_Followers]]-Table2[[#This Row],[Unfollows]]</f>
        <v>765</v>
      </c>
      <c r="I124" s="4">
        <f>(Table2[[#This Row],[follower gain]]/Table2[[#This Row],[Total_Followers]])*100</f>
        <v>0.22450476889214968</v>
      </c>
    </row>
    <row r="125" spans="1:9" ht="15.75" customHeight="1">
      <c r="A125" s="7">
        <v>45733</v>
      </c>
      <c r="B125" s="17" t="s">
        <v>23</v>
      </c>
      <c r="C125" s="8">
        <v>693</v>
      </c>
      <c r="D125" s="8">
        <v>129</v>
      </c>
      <c r="E125" s="8">
        <v>296031</v>
      </c>
      <c r="F125" s="19">
        <v>3.41</v>
      </c>
      <c r="G125" s="8">
        <v>7140</v>
      </c>
      <c r="H125" s="1">
        <f>Table2[[#This Row],[New_Followers]]-Table2[[#This Row],[Unfollows]]</f>
        <v>564</v>
      </c>
      <c r="I125" s="4">
        <f>(Table2[[#This Row],[follower gain]]/Table2[[#This Row],[Total_Followers]])*100</f>
        <v>0.19052058737091723</v>
      </c>
    </row>
    <row r="126" spans="1:9" ht="15.75" customHeight="1">
      <c r="A126" s="7">
        <v>45733</v>
      </c>
      <c r="B126" s="17" t="s">
        <v>31</v>
      </c>
      <c r="C126" s="8">
        <v>576</v>
      </c>
      <c r="D126" s="8">
        <v>80</v>
      </c>
      <c r="E126" s="8">
        <v>345688</v>
      </c>
      <c r="F126" s="19">
        <v>4.1100000000000003</v>
      </c>
      <c r="G126" s="8">
        <v>20474</v>
      </c>
      <c r="H126" s="1">
        <f>Table2[[#This Row],[New_Followers]]-Table2[[#This Row],[Unfollows]]</f>
        <v>496</v>
      </c>
      <c r="I126" s="4">
        <f>(Table2[[#This Row],[follower gain]]/Table2[[#This Row],[Total_Followers]])*100</f>
        <v>0.14348198375413668</v>
      </c>
    </row>
    <row r="127" spans="1:9" ht="15.75" customHeight="1">
      <c r="A127" s="7">
        <v>45733</v>
      </c>
      <c r="B127" s="17" t="s">
        <v>38</v>
      </c>
      <c r="C127" s="8">
        <v>1274</v>
      </c>
      <c r="D127" s="8">
        <v>146</v>
      </c>
      <c r="E127" s="8">
        <v>263488</v>
      </c>
      <c r="F127" s="19">
        <v>9.58</v>
      </c>
      <c r="G127" s="8">
        <v>8698</v>
      </c>
      <c r="H127" s="1">
        <f>Table2[[#This Row],[New_Followers]]-Table2[[#This Row],[Unfollows]]</f>
        <v>1128</v>
      </c>
      <c r="I127" s="4">
        <f>(Table2[[#This Row],[follower gain]]/Table2[[#This Row],[Total_Followers]])*100</f>
        <v>0.42810298761233906</v>
      </c>
    </row>
    <row r="128" spans="1:9" ht="15.75" customHeight="1">
      <c r="A128" s="7">
        <v>45740</v>
      </c>
      <c r="B128" s="17" t="s">
        <v>23</v>
      </c>
      <c r="C128" s="8">
        <v>818</v>
      </c>
      <c r="D128" s="8">
        <v>253</v>
      </c>
      <c r="E128" s="8">
        <v>184911</v>
      </c>
      <c r="F128" s="19">
        <v>3.39</v>
      </c>
      <c r="G128" s="8">
        <v>10402</v>
      </c>
      <c r="H128" s="1">
        <f>Table2[[#This Row],[New_Followers]]-Table2[[#This Row],[Unfollows]]</f>
        <v>565</v>
      </c>
      <c r="I128" s="4">
        <f>(Table2[[#This Row],[follower gain]]/Table2[[#This Row],[Total_Followers]])*100</f>
        <v>0.30555240088474994</v>
      </c>
    </row>
    <row r="129" spans="1:9" ht="15.75" customHeight="1">
      <c r="A129" s="7">
        <v>45740</v>
      </c>
      <c r="B129" s="17" t="s">
        <v>31</v>
      </c>
      <c r="C129" s="8">
        <v>975</v>
      </c>
      <c r="D129" s="8">
        <v>162</v>
      </c>
      <c r="E129" s="8">
        <v>124497</v>
      </c>
      <c r="F129" s="19">
        <v>9.58</v>
      </c>
      <c r="G129" s="8">
        <v>26618</v>
      </c>
      <c r="H129" s="1">
        <f>Table2[[#This Row],[New_Followers]]-Table2[[#This Row],[Unfollows]]</f>
        <v>813</v>
      </c>
      <c r="I129" s="4">
        <f>(Table2[[#This Row],[follower gain]]/Table2[[#This Row],[Total_Followers]])*100</f>
        <v>0.65302778380201931</v>
      </c>
    </row>
    <row r="130" spans="1:9" ht="15.75" customHeight="1">
      <c r="A130" s="7">
        <v>45740</v>
      </c>
      <c r="B130" s="17" t="s">
        <v>38</v>
      </c>
      <c r="C130" s="8">
        <v>1398</v>
      </c>
      <c r="D130" s="8">
        <v>97</v>
      </c>
      <c r="E130" s="8">
        <v>397607</v>
      </c>
      <c r="F130" s="19">
        <v>5.09</v>
      </c>
      <c r="G130" s="8">
        <v>7975</v>
      </c>
      <c r="H130" s="1">
        <f>Table2[[#This Row],[New_Followers]]-Table2[[#This Row],[Unfollows]]</f>
        <v>1301</v>
      </c>
      <c r="I130" s="4">
        <f>(Table2[[#This Row],[follower gain]]/Table2[[#This Row],[Total_Followers]])*100</f>
        <v>0.32720751898231165</v>
      </c>
    </row>
    <row r="131" spans="1:9" ht="15.75" customHeight="1">
      <c r="A131" s="7">
        <v>45747</v>
      </c>
      <c r="B131" s="17" t="s">
        <v>23</v>
      </c>
      <c r="C131" s="8">
        <v>591</v>
      </c>
      <c r="D131" s="8">
        <v>155</v>
      </c>
      <c r="E131" s="8">
        <v>138521</v>
      </c>
      <c r="F131" s="19">
        <v>7.85</v>
      </c>
      <c r="G131" s="8">
        <v>19054</v>
      </c>
      <c r="H131" s="1">
        <f>Table2[[#This Row],[New_Followers]]-Table2[[#This Row],[Unfollows]]</f>
        <v>436</v>
      </c>
      <c r="I131" s="4">
        <f>(Table2[[#This Row],[follower gain]]/Table2[[#This Row],[Total_Followers]])*100</f>
        <v>0.31475371965261584</v>
      </c>
    </row>
    <row r="132" spans="1:9" ht="15.75" customHeight="1">
      <c r="A132" s="7">
        <v>45747</v>
      </c>
      <c r="B132" s="17" t="s">
        <v>31</v>
      </c>
      <c r="C132" s="8">
        <v>1232</v>
      </c>
      <c r="D132" s="8">
        <v>254</v>
      </c>
      <c r="E132" s="8">
        <v>107718</v>
      </c>
      <c r="F132" s="19">
        <v>9.7100000000000009</v>
      </c>
      <c r="G132" s="8">
        <v>13740</v>
      </c>
      <c r="H132" s="1">
        <f>Table2[[#This Row],[New_Followers]]-Table2[[#This Row],[Unfollows]]</f>
        <v>978</v>
      </c>
      <c r="I132" s="4">
        <f>(Table2[[#This Row],[follower gain]]/Table2[[#This Row],[Total_Followers]])*100</f>
        <v>0.90792625187990861</v>
      </c>
    </row>
    <row r="133" spans="1:9" ht="15.75" customHeight="1">
      <c r="A133" s="7">
        <v>45747</v>
      </c>
      <c r="B133" s="17" t="s">
        <v>38</v>
      </c>
      <c r="C133" s="8">
        <v>1425</v>
      </c>
      <c r="D133" s="8">
        <v>58</v>
      </c>
      <c r="E133" s="8">
        <v>202234</v>
      </c>
      <c r="F133" s="19">
        <v>6.67</v>
      </c>
      <c r="G133" s="8">
        <v>18442</v>
      </c>
      <c r="H133" s="1">
        <f>Table2[[#This Row],[New_Followers]]-Table2[[#This Row],[Unfollows]]</f>
        <v>1367</v>
      </c>
      <c r="I133" s="4">
        <f>(Table2[[#This Row],[follower gain]]/Table2[[#This Row],[Total_Followers]])*100</f>
        <v>0.67594964249334932</v>
      </c>
    </row>
    <row r="134" spans="1:9" ht="15.75" customHeight="1">
      <c r="A134" s="7">
        <v>45754</v>
      </c>
      <c r="B134" s="17" t="s">
        <v>23</v>
      </c>
      <c r="C134" s="8">
        <v>1417</v>
      </c>
      <c r="D134" s="8">
        <v>80</v>
      </c>
      <c r="E134" s="8">
        <v>340987</v>
      </c>
      <c r="F134" s="19">
        <v>6.13</v>
      </c>
      <c r="G134" s="8">
        <v>10104</v>
      </c>
      <c r="H134" s="1">
        <f>Table2[[#This Row],[New_Followers]]-Table2[[#This Row],[Unfollows]]</f>
        <v>1337</v>
      </c>
      <c r="I134" s="4">
        <f>(Table2[[#This Row],[follower gain]]/Table2[[#This Row],[Total_Followers]])*100</f>
        <v>0.3920970594186875</v>
      </c>
    </row>
    <row r="135" spans="1:9" ht="15.75" customHeight="1">
      <c r="A135" s="7">
        <v>45754</v>
      </c>
      <c r="B135" s="17" t="s">
        <v>31</v>
      </c>
      <c r="C135" s="8">
        <v>1222</v>
      </c>
      <c r="D135" s="8">
        <v>208</v>
      </c>
      <c r="E135" s="8">
        <v>340098</v>
      </c>
      <c r="F135" s="19">
        <v>7.34</v>
      </c>
      <c r="G135" s="8">
        <v>21771</v>
      </c>
      <c r="H135" s="1">
        <f>Table2[[#This Row],[New_Followers]]-Table2[[#This Row],[Unfollows]]</f>
        <v>1014</v>
      </c>
      <c r="I135" s="4">
        <f>(Table2[[#This Row],[follower gain]]/Table2[[#This Row],[Total_Followers]])*100</f>
        <v>0.29814935695005557</v>
      </c>
    </row>
    <row r="136" spans="1:9" ht="15.75" customHeight="1">
      <c r="A136" s="7">
        <v>45754</v>
      </c>
      <c r="B136" s="17" t="s">
        <v>38</v>
      </c>
      <c r="C136" s="8">
        <v>1071</v>
      </c>
      <c r="D136" s="8">
        <v>131</v>
      </c>
      <c r="E136" s="8">
        <v>254727</v>
      </c>
      <c r="F136" s="19">
        <v>6.87</v>
      </c>
      <c r="G136" s="8">
        <v>22191</v>
      </c>
      <c r="H136" s="1">
        <f>Table2[[#This Row],[New_Followers]]-Table2[[#This Row],[Unfollows]]</f>
        <v>940</v>
      </c>
      <c r="I136" s="4">
        <f>(Table2[[#This Row],[follower gain]]/Table2[[#This Row],[Total_Followers]])*100</f>
        <v>0.36902252215116577</v>
      </c>
    </row>
    <row r="137" spans="1:9" ht="15.75" customHeight="1">
      <c r="A137" s="7">
        <v>45761</v>
      </c>
      <c r="B137" s="17" t="s">
        <v>23</v>
      </c>
      <c r="C137" s="8">
        <v>772</v>
      </c>
      <c r="D137" s="8">
        <v>82</v>
      </c>
      <c r="E137" s="8">
        <v>345659</v>
      </c>
      <c r="F137" s="19">
        <v>3.52</v>
      </c>
      <c r="G137" s="8">
        <v>27753</v>
      </c>
      <c r="H137" s="1">
        <f>Table2[[#This Row],[New_Followers]]-Table2[[#This Row],[Unfollows]]</f>
        <v>690</v>
      </c>
      <c r="I137" s="4">
        <f>(Table2[[#This Row],[follower gain]]/Table2[[#This Row],[Total_Followers]])*100</f>
        <v>0.19961869935398757</v>
      </c>
    </row>
    <row r="138" spans="1:9" ht="15.75" customHeight="1">
      <c r="A138" s="7">
        <v>45761</v>
      </c>
      <c r="B138" s="17" t="s">
        <v>31</v>
      </c>
      <c r="C138" s="8">
        <v>1472</v>
      </c>
      <c r="D138" s="8">
        <v>137</v>
      </c>
      <c r="E138" s="8">
        <v>213950</v>
      </c>
      <c r="F138" s="19">
        <v>6.96</v>
      </c>
      <c r="G138" s="8">
        <v>23736</v>
      </c>
      <c r="H138" s="1">
        <f>Table2[[#This Row],[New_Followers]]-Table2[[#This Row],[Unfollows]]</f>
        <v>1335</v>
      </c>
      <c r="I138" s="4">
        <f>(Table2[[#This Row],[follower gain]]/Table2[[#This Row],[Total_Followers]])*100</f>
        <v>0.62397756485160083</v>
      </c>
    </row>
    <row r="139" spans="1:9" ht="15.75" customHeight="1">
      <c r="A139" s="7">
        <v>45761</v>
      </c>
      <c r="B139" s="17" t="s">
        <v>38</v>
      </c>
      <c r="C139" s="8">
        <v>1472</v>
      </c>
      <c r="D139" s="8">
        <v>281</v>
      </c>
      <c r="E139" s="8">
        <v>258115</v>
      </c>
      <c r="F139" s="19">
        <v>7.23</v>
      </c>
      <c r="G139" s="8">
        <v>27393</v>
      </c>
      <c r="H139" s="1">
        <f>Table2[[#This Row],[New_Followers]]-Table2[[#This Row],[Unfollows]]</f>
        <v>1191</v>
      </c>
      <c r="I139" s="4">
        <f>(Table2[[#This Row],[follower gain]]/Table2[[#This Row],[Total_Followers]])*100</f>
        <v>0.46142223427541984</v>
      </c>
    </row>
    <row r="140" spans="1:9" ht="15.75" customHeight="1">
      <c r="A140" s="7">
        <v>45768</v>
      </c>
      <c r="B140" s="17" t="s">
        <v>23</v>
      </c>
      <c r="C140" s="8">
        <v>585</v>
      </c>
      <c r="D140" s="8">
        <v>232</v>
      </c>
      <c r="E140" s="8">
        <v>321258</v>
      </c>
      <c r="F140" s="19">
        <v>7.42</v>
      </c>
      <c r="G140" s="8">
        <v>10343</v>
      </c>
      <c r="H140" s="1">
        <f>Table2[[#This Row],[New_Followers]]-Table2[[#This Row],[Unfollows]]</f>
        <v>353</v>
      </c>
      <c r="I140" s="4">
        <f>(Table2[[#This Row],[follower gain]]/Table2[[#This Row],[Total_Followers]])*100</f>
        <v>0.10988053215795404</v>
      </c>
    </row>
    <row r="141" spans="1:9" ht="15.75" customHeight="1">
      <c r="A141" s="7">
        <v>45768</v>
      </c>
      <c r="B141" s="17" t="s">
        <v>31</v>
      </c>
      <c r="C141" s="8">
        <v>747</v>
      </c>
      <c r="D141" s="8">
        <v>261</v>
      </c>
      <c r="E141" s="8">
        <v>338650</v>
      </c>
      <c r="F141" s="19">
        <v>7.73</v>
      </c>
      <c r="G141" s="8">
        <v>25259</v>
      </c>
      <c r="H141" s="1">
        <f>Table2[[#This Row],[New_Followers]]-Table2[[#This Row],[Unfollows]]</f>
        <v>486</v>
      </c>
      <c r="I141" s="4">
        <f>(Table2[[#This Row],[follower gain]]/Table2[[#This Row],[Total_Followers]])*100</f>
        <v>0.14351099955706481</v>
      </c>
    </row>
    <row r="142" spans="1:9" ht="15.75" customHeight="1">
      <c r="A142" s="7">
        <v>45768</v>
      </c>
      <c r="B142" s="17" t="s">
        <v>38</v>
      </c>
      <c r="C142" s="8">
        <v>1113</v>
      </c>
      <c r="D142" s="8">
        <v>224</v>
      </c>
      <c r="E142" s="8">
        <v>272989</v>
      </c>
      <c r="F142" s="19">
        <v>5.13</v>
      </c>
      <c r="G142" s="8">
        <v>24827</v>
      </c>
      <c r="H142" s="1">
        <f>Table2[[#This Row],[New_Followers]]-Table2[[#This Row],[Unfollows]]</f>
        <v>889</v>
      </c>
      <c r="I142" s="4">
        <f>(Table2[[#This Row],[follower gain]]/Table2[[#This Row],[Total_Followers]])*100</f>
        <v>0.32565414723670183</v>
      </c>
    </row>
    <row r="143" spans="1:9" ht="15.75" customHeight="1">
      <c r="A143" s="7">
        <v>45775</v>
      </c>
      <c r="B143" s="17" t="s">
        <v>23</v>
      </c>
      <c r="C143" s="8">
        <v>1100</v>
      </c>
      <c r="D143" s="8">
        <v>117</v>
      </c>
      <c r="E143" s="8">
        <v>260204</v>
      </c>
      <c r="F143" s="19">
        <v>4.4000000000000004</v>
      </c>
      <c r="G143" s="8">
        <v>11908</v>
      </c>
      <c r="H143" s="1">
        <f>Table2[[#This Row],[New_Followers]]-Table2[[#This Row],[Unfollows]]</f>
        <v>983</v>
      </c>
      <c r="I143" s="4">
        <f>(Table2[[#This Row],[follower gain]]/Table2[[#This Row],[Total_Followers]])*100</f>
        <v>0.37778051067623863</v>
      </c>
    </row>
    <row r="144" spans="1:9" ht="15.75" customHeight="1">
      <c r="A144" s="7">
        <v>45775</v>
      </c>
      <c r="B144" s="17" t="s">
        <v>31</v>
      </c>
      <c r="C144" s="8">
        <v>751</v>
      </c>
      <c r="D144" s="8">
        <v>170</v>
      </c>
      <c r="E144" s="8">
        <v>283278</v>
      </c>
      <c r="F144" s="19">
        <v>3.49</v>
      </c>
      <c r="G144" s="8">
        <v>11005</v>
      </c>
      <c r="H144" s="1">
        <f>Table2[[#This Row],[New_Followers]]-Table2[[#This Row],[Unfollows]]</f>
        <v>581</v>
      </c>
      <c r="I144" s="4">
        <f>(Table2[[#This Row],[follower gain]]/Table2[[#This Row],[Total_Followers]])*100</f>
        <v>0.20509887813384731</v>
      </c>
    </row>
    <row r="145" spans="1:9" ht="15.75" customHeight="1">
      <c r="A145" s="7">
        <v>45775</v>
      </c>
      <c r="B145" s="17" t="s">
        <v>38</v>
      </c>
      <c r="C145" s="8">
        <v>864</v>
      </c>
      <c r="D145" s="8">
        <v>50</v>
      </c>
      <c r="E145" s="8">
        <v>277445</v>
      </c>
      <c r="F145" s="19">
        <v>3.57</v>
      </c>
      <c r="G145" s="8">
        <v>26333</v>
      </c>
      <c r="H145" s="1">
        <f>Table2[[#This Row],[New_Followers]]-Table2[[#This Row],[Unfollows]]</f>
        <v>814</v>
      </c>
      <c r="I145" s="4">
        <f>(Table2[[#This Row],[follower gain]]/Table2[[#This Row],[Total_Followers]])*100</f>
        <v>0.29339148299662998</v>
      </c>
    </row>
    <row r="146" spans="1:9" ht="15.75" customHeight="1">
      <c r="A146" s="7">
        <v>45782</v>
      </c>
      <c r="B146" s="17" t="s">
        <v>23</v>
      </c>
      <c r="C146" s="8">
        <v>1146</v>
      </c>
      <c r="D146" s="8">
        <v>227</v>
      </c>
      <c r="E146" s="8">
        <v>353781</v>
      </c>
      <c r="F146" s="19">
        <v>6.41</v>
      </c>
      <c r="G146" s="8">
        <v>5495</v>
      </c>
      <c r="H146" s="1">
        <f>Table2[[#This Row],[New_Followers]]-Table2[[#This Row],[Unfollows]]</f>
        <v>919</v>
      </c>
      <c r="I146" s="4">
        <f>(Table2[[#This Row],[follower gain]]/Table2[[#This Row],[Total_Followers]])*100</f>
        <v>0.25976522198761381</v>
      </c>
    </row>
    <row r="147" spans="1:9" ht="15.75" customHeight="1">
      <c r="A147" s="7">
        <v>45782</v>
      </c>
      <c r="B147" s="17" t="s">
        <v>31</v>
      </c>
      <c r="C147" s="8">
        <v>883</v>
      </c>
      <c r="D147" s="8">
        <v>207</v>
      </c>
      <c r="E147" s="8">
        <v>265019</v>
      </c>
      <c r="F147" s="19">
        <v>6.04</v>
      </c>
      <c r="G147" s="8">
        <v>15655</v>
      </c>
      <c r="H147" s="1">
        <f>Table2[[#This Row],[New_Followers]]-Table2[[#This Row],[Unfollows]]</f>
        <v>676</v>
      </c>
      <c r="I147" s="4">
        <f>(Table2[[#This Row],[follower gain]]/Table2[[#This Row],[Total_Followers]])*100</f>
        <v>0.25507605115104953</v>
      </c>
    </row>
    <row r="148" spans="1:9" ht="15.75" customHeight="1">
      <c r="A148" s="7">
        <v>45782</v>
      </c>
      <c r="B148" s="17" t="s">
        <v>38</v>
      </c>
      <c r="C148" s="8">
        <v>622</v>
      </c>
      <c r="D148" s="8">
        <v>163</v>
      </c>
      <c r="E148" s="8">
        <v>231925</v>
      </c>
      <c r="F148" s="19">
        <v>9.18</v>
      </c>
      <c r="G148" s="8">
        <v>13763</v>
      </c>
      <c r="H148" s="1">
        <f>Table2[[#This Row],[New_Followers]]-Table2[[#This Row],[Unfollows]]</f>
        <v>459</v>
      </c>
      <c r="I148" s="4">
        <f>(Table2[[#This Row],[follower gain]]/Table2[[#This Row],[Total_Followers]])*100</f>
        <v>0.19790880672631239</v>
      </c>
    </row>
    <row r="149" spans="1:9" ht="15.75" customHeight="1">
      <c r="A149" s="7">
        <v>45789</v>
      </c>
      <c r="B149" s="17" t="s">
        <v>23</v>
      </c>
      <c r="C149" s="8">
        <v>837</v>
      </c>
      <c r="D149" s="8">
        <v>261</v>
      </c>
      <c r="E149" s="8">
        <v>366149</v>
      </c>
      <c r="F149" s="19">
        <v>6.54</v>
      </c>
      <c r="G149" s="8">
        <v>26073</v>
      </c>
      <c r="H149" s="1">
        <f>Table2[[#This Row],[New_Followers]]-Table2[[#This Row],[Unfollows]]</f>
        <v>576</v>
      </c>
      <c r="I149" s="4">
        <f>(Table2[[#This Row],[follower gain]]/Table2[[#This Row],[Total_Followers]])*100</f>
        <v>0.15731300645365684</v>
      </c>
    </row>
    <row r="150" spans="1:9" ht="15.75" customHeight="1">
      <c r="A150" s="7">
        <v>45789</v>
      </c>
      <c r="B150" s="17" t="s">
        <v>31</v>
      </c>
      <c r="C150" s="8">
        <v>544</v>
      </c>
      <c r="D150" s="8">
        <v>97</v>
      </c>
      <c r="E150" s="8">
        <v>168375</v>
      </c>
      <c r="F150" s="19">
        <v>8.66</v>
      </c>
      <c r="G150" s="8">
        <v>12774</v>
      </c>
      <c r="H150" s="1">
        <f>Table2[[#This Row],[New_Followers]]-Table2[[#This Row],[Unfollows]]</f>
        <v>447</v>
      </c>
      <c r="I150" s="4">
        <f>(Table2[[#This Row],[follower gain]]/Table2[[#This Row],[Total_Followers]])*100</f>
        <v>0.26547884187082404</v>
      </c>
    </row>
    <row r="151" spans="1:9" ht="15.75" customHeight="1">
      <c r="A151" s="7">
        <v>45789</v>
      </c>
      <c r="B151" s="17" t="s">
        <v>38</v>
      </c>
      <c r="C151" s="8">
        <v>624</v>
      </c>
      <c r="D151" s="8">
        <v>247</v>
      </c>
      <c r="E151" s="8">
        <v>252763</v>
      </c>
      <c r="F151" s="19">
        <v>3.89</v>
      </c>
      <c r="G151" s="8">
        <v>19000</v>
      </c>
      <c r="H151" s="1">
        <f>Table2[[#This Row],[New_Followers]]-Table2[[#This Row],[Unfollows]]</f>
        <v>377</v>
      </c>
      <c r="I151" s="4">
        <f>(Table2[[#This Row],[follower gain]]/Table2[[#This Row],[Total_Followers]])*100</f>
        <v>0.1491515767734993</v>
      </c>
    </row>
    <row r="152" spans="1:9" ht="15.75" customHeight="1">
      <c r="A152" s="7">
        <v>45796</v>
      </c>
      <c r="B152" s="17" t="s">
        <v>23</v>
      </c>
      <c r="C152" s="8">
        <v>1073</v>
      </c>
      <c r="D152" s="8">
        <v>141</v>
      </c>
      <c r="E152" s="8">
        <v>118393</v>
      </c>
      <c r="F152" s="19">
        <v>7.95</v>
      </c>
      <c r="G152" s="8">
        <v>14051</v>
      </c>
      <c r="H152" s="1">
        <f>Table2[[#This Row],[New_Followers]]-Table2[[#This Row],[Unfollows]]</f>
        <v>932</v>
      </c>
      <c r="I152" s="4">
        <f>(Table2[[#This Row],[follower gain]]/Table2[[#This Row],[Total_Followers]])*100</f>
        <v>0.78720870321725112</v>
      </c>
    </row>
    <row r="153" spans="1:9" ht="15.75" customHeight="1">
      <c r="A153" s="7">
        <v>45796</v>
      </c>
      <c r="B153" s="17" t="s">
        <v>31</v>
      </c>
      <c r="C153" s="8">
        <v>1430</v>
      </c>
      <c r="D153" s="8">
        <v>74</v>
      </c>
      <c r="E153" s="8">
        <v>327012</v>
      </c>
      <c r="F153" s="19">
        <v>6.66</v>
      </c>
      <c r="G153" s="8">
        <v>27782</v>
      </c>
      <c r="H153" s="1">
        <f>Table2[[#This Row],[New_Followers]]-Table2[[#This Row],[Unfollows]]</f>
        <v>1356</v>
      </c>
      <c r="I153" s="4">
        <f>(Table2[[#This Row],[follower gain]]/Table2[[#This Row],[Total_Followers]])*100</f>
        <v>0.41466368206671317</v>
      </c>
    </row>
    <row r="154" spans="1:9" ht="15.75" customHeight="1">
      <c r="A154" s="7">
        <v>45796</v>
      </c>
      <c r="B154" s="17" t="s">
        <v>38</v>
      </c>
      <c r="C154" s="8">
        <v>1358</v>
      </c>
      <c r="D154" s="8">
        <v>77</v>
      </c>
      <c r="E154" s="8">
        <v>169688</v>
      </c>
      <c r="F154" s="19">
        <v>5.25</v>
      </c>
      <c r="G154" s="8">
        <v>7859</v>
      </c>
      <c r="H154" s="1">
        <f>Table2[[#This Row],[New_Followers]]-Table2[[#This Row],[Unfollows]]</f>
        <v>1281</v>
      </c>
      <c r="I154" s="4">
        <f>(Table2[[#This Row],[follower gain]]/Table2[[#This Row],[Total_Followers]])*100</f>
        <v>0.75491490264485406</v>
      </c>
    </row>
    <row r="155" spans="1:9" ht="15.75" customHeight="1">
      <c r="A155" s="7">
        <v>45803</v>
      </c>
      <c r="B155" s="17" t="s">
        <v>23</v>
      </c>
      <c r="C155" s="8">
        <v>1242</v>
      </c>
      <c r="D155" s="8">
        <v>201</v>
      </c>
      <c r="E155" s="8">
        <v>271935</v>
      </c>
      <c r="F155" s="19">
        <v>5.07</v>
      </c>
      <c r="G155" s="8">
        <v>15773</v>
      </c>
      <c r="H155" s="1">
        <f>Table2[[#This Row],[New_Followers]]-Table2[[#This Row],[Unfollows]]</f>
        <v>1041</v>
      </c>
      <c r="I155" s="4">
        <f>(Table2[[#This Row],[follower gain]]/Table2[[#This Row],[Total_Followers]])*100</f>
        <v>0.3828120690606211</v>
      </c>
    </row>
    <row r="156" spans="1:9" ht="15.75" customHeight="1">
      <c r="A156" s="7">
        <v>45803</v>
      </c>
      <c r="B156" s="17" t="s">
        <v>31</v>
      </c>
      <c r="C156" s="8">
        <v>1389</v>
      </c>
      <c r="D156" s="8">
        <v>205</v>
      </c>
      <c r="E156" s="8">
        <v>315981</v>
      </c>
      <c r="F156" s="19">
        <v>7.62</v>
      </c>
      <c r="G156" s="8">
        <v>20595</v>
      </c>
      <c r="H156" s="1">
        <f>Table2[[#This Row],[New_Followers]]-Table2[[#This Row],[Unfollows]]</f>
        <v>1184</v>
      </c>
      <c r="I156" s="4">
        <f>(Table2[[#This Row],[follower gain]]/Table2[[#This Row],[Total_Followers]])*100</f>
        <v>0.37470607409939205</v>
      </c>
    </row>
    <row r="157" spans="1:9" ht="15.75" customHeight="1">
      <c r="A157" s="7">
        <v>45803</v>
      </c>
      <c r="B157" s="17" t="s">
        <v>38</v>
      </c>
      <c r="C157" s="8">
        <v>826</v>
      </c>
      <c r="D157" s="8">
        <v>142</v>
      </c>
      <c r="E157" s="8">
        <v>341016</v>
      </c>
      <c r="F157" s="19">
        <v>7.44</v>
      </c>
      <c r="G157" s="8">
        <v>12031</v>
      </c>
      <c r="H157" s="1">
        <f>Table2[[#This Row],[New_Followers]]-Table2[[#This Row],[Unfollows]]</f>
        <v>684</v>
      </c>
      <c r="I157" s="4">
        <f>(Table2[[#This Row],[follower gain]]/Table2[[#This Row],[Total_Followers]])*100</f>
        <v>0.20057709902174681</v>
      </c>
    </row>
    <row r="158" spans="1:9" ht="15.75" customHeight="1">
      <c r="A158" s="7">
        <v>45810</v>
      </c>
      <c r="B158" s="17" t="s">
        <v>23</v>
      </c>
      <c r="C158" s="8">
        <v>618</v>
      </c>
      <c r="D158" s="8">
        <v>264</v>
      </c>
      <c r="E158" s="8">
        <v>285164</v>
      </c>
      <c r="F158" s="19">
        <v>4.8600000000000003</v>
      </c>
      <c r="G158" s="8">
        <v>15128</v>
      </c>
      <c r="H158" s="1">
        <f>Table2[[#This Row],[New_Followers]]-Table2[[#This Row],[Unfollows]]</f>
        <v>354</v>
      </c>
      <c r="I158" s="4">
        <f>(Table2[[#This Row],[follower gain]]/Table2[[#This Row],[Total_Followers]])*100</f>
        <v>0.12413909189098205</v>
      </c>
    </row>
    <row r="159" spans="1:9" ht="15.75" customHeight="1">
      <c r="A159" s="7">
        <v>45810</v>
      </c>
      <c r="B159" s="17" t="s">
        <v>31</v>
      </c>
      <c r="C159" s="8">
        <v>1419</v>
      </c>
      <c r="D159" s="8">
        <v>293</v>
      </c>
      <c r="E159" s="8">
        <v>116632</v>
      </c>
      <c r="F159" s="19">
        <v>6.93</v>
      </c>
      <c r="G159" s="8">
        <v>11826</v>
      </c>
      <c r="H159" s="1">
        <f>Table2[[#This Row],[New_Followers]]-Table2[[#This Row],[Unfollows]]</f>
        <v>1126</v>
      </c>
      <c r="I159" s="4">
        <f>(Table2[[#This Row],[follower gain]]/Table2[[#This Row],[Total_Followers]])*100</f>
        <v>0.96542972769051372</v>
      </c>
    </row>
    <row r="160" spans="1:9" ht="15.75" customHeight="1">
      <c r="A160" s="7">
        <v>45810</v>
      </c>
      <c r="B160" s="17" t="s">
        <v>38</v>
      </c>
      <c r="C160" s="8">
        <v>637</v>
      </c>
      <c r="D160" s="8">
        <v>68</v>
      </c>
      <c r="E160" s="8">
        <v>115694</v>
      </c>
      <c r="F160" s="19">
        <v>9.99</v>
      </c>
      <c r="G160" s="8">
        <v>12562</v>
      </c>
      <c r="H160" s="1">
        <f>Table2[[#This Row],[New_Followers]]-Table2[[#This Row],[Unfollows]]</f>
        <v>569</v>
      </c>
      <c r="I160" s="4">
        <f>(Table2[[#This Row],[follower gain]]/Table2[[#This Row],[Total_Followers]])*100</f>
        <v>0.49181461441388491</v>
      </c>
    </row>
    <row r="161" spans="1:9" ht="15.75" customHeight="1">
      <c r="A161" s="7">
        <v>45817</v>
      </c>
      <c r="B161" s="17" t="s">
        <v>23</v>
      </c>
      <c r="C161" s="8">
        <v>917</v>
      </c>
      <c r="D161" s="8">
        <v>187</v>
      </c>
      <c r="E161" s="8">
        <v>64444</v>
      </c>
      <c r="F161" s="19">
        <v>5.22</v>
      </c>
      <c r="G161" s="8">
        <v>13013</v>
      </c>
      <c r="H161" s="1">
        <f>Table2[[#This Row],[New_Followers]]-Table2[[#This Row],[Unfollows]]</f>
        <v>730</v>
      </c>
      <c r="I161" s="4">
        <f>(Table2[[#This Row],[follower gain]]/Table2[[#This Row],[Total_Followers]])*100</f>
        <v>1.1327664328719507</v>
      </c>
    </row>
    <row r="162" spans="1:9" ht="15.75" customHeight="1">
      <c r="A162" s="7">
        <v>45817</v>
      </c>
      <c r="B162" s="17" t="s">
        <v>31</v>
      </c>
      <c r="C162" s="8">
        <v>810</v>
      </c>
      <c r="D162" s="8">
        <v>232</v>
      </c>
      <c r="E162" s="8">
        <v>362559</v>
      </c>
      <c r="F162" s="19">
        <v>5.17</v>
      </c>
      <c r="G162" s="8">
        <v>12937</v>
      </c>
      <c r="H162" s="1">
        <f>Table2[[#This Row],[New_Followers]]-Table2[[#This Row],[Unfollows]]</f>
        <v>578</v>
      </c>
      <c r="I162" s="4">
        <f>(Table2[[#This Row],[follower gain]]/Table2[[#This Row],[Total_Followers]])*100</f>
        <v>0.15942232850377458</v>
      </c>
    </row>
    <row r="163" spans="1:9" ht="15.75" customHeight="1">
      <c r="A163" s="7">
        <v>45817</v>
      </c>
      <c r="B163" s="17" t="s">
        <v>38</v>
      </c>
      <c r="C163" s="8">
        <v>1183</v>
      </c>
      <c r="D163" s="8">
        <v>248</v>
      </c>
      <c r="E163" s="8">
        <v>226881</v>
      </c>
      <c r="F163" s="19">
        <v>5.17</v>
      </c>
      <c r="G163" s="8">
        <v>14534</v>
      </c>
      <c r="H163" s="1">
        <f>Table2[[#This Row],[New_Followers]]-Table2[[#This Row],[Unfollows]]</f>
        <v>935</v>
      </c>
      <c r="I163" s="4">
        <f>(Table2[[#This Row],[follower gain]]/Table2[[#This Row],[Total_Followers]])*100</f>
        <v>0.41211031333606601</v>
      </c>
    </row>
    <row r="164" spans="1:9" ht="15.75" customHeight="1">
      <c r="A164" s="7">
        <v>45824</v>
      </c>
      <c r="B164" s="17" t="s">
        <v>23</v>
      </c>
      <c r="C164" s="8">
        <v>765</v>
      </c>
      <c r="D164" s="8">
        <v>67</v>
      </c>
      <c r="E164" s="8">
        <v>283537</v>
      </c>
      <c r="F164" s="19">
        <v>6.18</v>
      </c>
      <c r="G164" s="8">
        <v>8182</v>
      </c>
      <c r="H164" s="1">
        <f>Table2[[#This Row],[New_Followers]]-Table2[[#This Row],[Unfollows]]</f>
        <v>698</v>
      </c>
      <c r="I164" s="4">
        <f>(Table2[[#This Row],[follower gain]]/Table2[[#This Row],[Total_Followers]])*100</f>
        <v>0.24617598408673294</v>
      </c>
    </row>
    <row r="165" spans="1:9" ht="15.75" customHeight="1">
      <c r="A165" s="7">
        <v>45824</v>
      </c>
      <c r="B165" s="17" t="s">
        <v>31</v>
      </c>
      <c r="C165" s="8">
        <v>540</v>
      </c>
      <c r="D165" s="8">
        <v>215</v>
      </c>
      <c r="E165" s="8">
        <v>62837</v>
      </c>
      <c r="F165" s="19">
        <v>5.3</v>
      </c>
      <c r="G165" s="8">
        <v>10615</v>
      </c>
      <c r="H165" s="1">
        <f>Table2[[#This Row],[New_Followers]]-Table2[[#This Row],[Unfollows]]</f>
        <v>325</v>
      </c>
      <c r="I165" s="4">
        <f>(Table2[[#This Row],[follower gain]]/Table2[[#This Row],[Total_Followers]])*100</f>
        <v>0.5172111972245651</v>
      </c>
    </row>
    <row r="166" spans="1:9" ht="15.75" customHeight="1">
      <c r="A166" s="7">
        <v>45824</v>
      </c>
      <c r="B166" s="17" t="s">
        <v>38</v>
      </c>
      <c r="C166" s="8">
        <v>1145</v>
      </c>
      <c r="D166" s="8">
        <v>151</v>
      </c>
      <c r="E166" s="8">
        <v>182759</v>
      </c>
      <c r="F166" s="19">
        <v>5.99</v>
      </c>
      <c r="G166" s="8">
        <v>20109</v>
      </c>
      <c r="H166" s="1">
        <f>Table2[[#This Row],[New_Followers]]-Table2[[#This Row],[Unfollows]]</f>
        <v>994</v>
      </c>
      <c r="I166" s="4">
        <f>(Table2[[#This Row],[follower gain]]/Table2[[#This Row],[Total_Followers]])*100</f>
        <v>0.5438856636335283</v>
      </c>
    </row>
    <row r="167" spans="1:9" ht="15.75" customHeight="1">
      <c r="A167" s="7">
        <v>45831</v>
      </c>
      <c r="B167" s="17" t="s">
        <v>23</v>
      </c>
      <c r="C167" s="8">
        <v>564</v>
      </c>
      <c r="D167" s="8">
        <v>244</v>
      </c>
      <c r="E167" s="8">
        <v>279405</v>
      </c>
      <c r="F167" s="19">
        <v>8.43</v>
      </c>
      <c r="G167" s="8">
        <v>26024</v>
      </c>
      <c r="H167" s="1">
        <f>Table2[[#This Row],[New_Followers]]-Table2[[#This Row],[Unfollows]]</f>
        <v>320</v>
      </c>
      <c r="I167" s="4">
        <f>(Table2[[#This Row],[follower gain]]/Table2[[#This Row],[Total_Followers]])*100</f>
        <v>0.11452908859898712</v>
      </c>
    </row>
    <row r="168" spans="1:9" ht="15.75" customHeight="1">
      <c r="A168" s="7">
        <v>45831</v>
      </c>
      <c r="B168" s="17" t="s">
        <v>31</v>
      </c>
      <c r="C168" s="8">
        <v>668</v>
      </c>
      <c r="D168" s="8">
        <v>124</v>
      </c>
      <c r="E168" s="8">
        <v>257485</v>
      </c>
      <c r="F168" s="19">
        <v>7.55</v>
      </c>
      <c r="G168" s="8">
        <v>26730</v>
      </c>
      <c r="H168" s="1">
        <f>Table2[[#This Row],[New_Followers]]-Table2[[#This Row],[Unfollows]]</f>
        <v>544</v>
      </c>
      <c r="I168" s="4">
        <f>(Table2[[#This Row],[follower gain]]/Table2[[#This Row],[Total_Followers]])*100</f>
        <v>0.21127444317144686</v>
      </c>
    </row>
    <row r="169" spans="1:9" ht="15.75" customHeight="1">
      <c r="A169" s="7">
        <v>45831</v>
      </c>
      <c r="B169" s="17" t="s">
        <v>38</v>
      </c>
      <c r="C169" s="8">
        <v>761</v>
      </c>
      <c r="D169" s="8">
        <v>241</v>
      </c>
      <c r="E169" s="8">
        <v>154977</v>
      </c>
      <c r="F169" s="19">
        <v>5.63</v>
      </c>
      <c r="G169" s="8">
        <v>10563</v>
      </c>
      <c r="H169" s="1">
        <f>Table2[[#This Row],[New_Followers]]-Table2[[#This Row],[Unfollows]]</f>
        <v>520</v>
      </c>
      <c r="I169" s="4">
        <f>(Table2[[#This Row],[follower gain]]/Table2[[#This Row],[Total_Followers]])*100</f>
        <v>0.33553365983339462</v>
      </c>
    </row>
    <row r="170" spans="1:9" ht="15.75" customHeight="1">
      <c r="A170" s="7">
        <v>45838</v>
      </c>
      <c r="B170" s="17" t="s">
        <v>23</v>
      </c>
      <c r="C170" s="8">
        <v>593</v>
      </c>
      <c r="D170" s="8">
        <v>108</v>
      </c>
      <c r="E170" s="8">
        <v>216500</v>
      </c>
      <c r="F170" s="19">
        <v>4.71</v>
      </c>
      <c r="G170" s="8">
        <v>27575</v>
      </c>
      <c r="H170" s="1">
        <f>Table2[[#This Row],[New_Followers]]-Table2[[#This Row],[Unfollows]]</f>
        <v>485</v>
      </c>
      <c r="I170" s="4">
        <f>(Table2[[#This Row],[follower gain]]/Table2[[#This Row],[Total_Followers]])*100</f>
        <v>0.22401847575057734</v>
      </c>
    </row>
    <row r="171" spans="1:9" ht="15.75" customHeight="1">
      <c r="A171" s="7">
        <v>45838</v>
      </c>
      <c r="B171" s="17" t="s">
        <v>31</v>
      </c>
      <c r="C171" s="8">
        <v>1349</v>
      </c>
      <c r="D171" s="8">
        <v>115</v>
      </c>
      <c r="E171" s="8">
        <v>102102</v>
      </c>
      <c r="F171" s="19">
        <v>5.28</v>
      </c>
      <c r="G171" s="8">
        <v>14479</v>
      </c>
      <c r="H171" s="1">
        <f>Table2[[#This Row],[New_Followers]]-Table2[[#This Row],[Unfollows]]</f>
        <v>1234</v>
      </c>
      <c r="I171" s="4">
        <f>(Table2[[#This Row],[follower gain]]/Table2[[#This Row],[Total_Followers]])*100</f>
        <v>1.208595326242385</v>
      </c>
    </row>
    <row r="172" spans="1:9" ht="15.75" customHeight="1">
      <c r="A172" s="7">
        <v>45838</v>
      </c>
      <c r="B172" s="17" t="s">
        <v>38</v>
      </c>
      <c r="C172" s="8">
        <v>693</v>
      </c>
      <c r="D172" s="8">
        <v>97</v>
      </c>
      <c r="E172" s="8">
        <v>92025</v>
      </c>
      <c r="F172" s="19">
        <v>5.95</v>
      </c>
      <c r="G172" s="8">
        <v>15915</v>
      </c>
      <c r="H172" s="1">
        <f>Table2[[#This Row],[New_Followers]]-Table2[[#This Row],[Unfollows]]</f>
        <v>596</v>
      </c>
      <c r="I172" s="4">
        <f>(Table2[[#This Row],[follower gain]]/Table2[[#This Row],[Total_Followers]])*100</f>
        <v>0.64765009508285798</v>
      </c>
    </row>
    <row r="173" spans="1:9" ht="15.75" customHeight="1">
      <c r="A173" s="7">
        <v>45845</v>
      </c>
      <c r="B173" s="17" t="s">
        <v>23</v>
      </c>
      <c r="C173" s="8">
        <v>974</v>
      </c>
      <c r="D173" s="8">
        <v>143</v>
      </c>
      <c r="E173" s="8">
        <v>247965</v>
      </c>
      <c r="F173" s="19">
        <v>9.98</v>
      </c>
      <c r="G173" s="8">
        <v>12767</v>
      </c>
      <c r="H173" s="1">
        <f>Table2[[#This Row],[New_Followers]]-Table2[[#This Row],[Unfollows]]</f>
        <v>831</v>
      </c>
      <c r="I173" s="4">
        <f>(Table2[[#This Row],[follower gain]]/Table2[[#This Row],[Total_Followers]])*100</f>
        <v>0.3351279414433489</v>
      </c>
    </row>
    <row r="174" spans="1:9" ht="15.75" customHeight="1">
      <c r="A174" s="7">
        <v>45845</v>
      </c>
      <c r="B174" s="17" t="s">
        <v>31</v>
      </c>
      <c r="C174" s="8">
        <v>1155</v>
      </c>
      <c r="D174" s="8">
        <v>122</v>
      </c>
      <c r="E174" s="8">
        <v>387352</v>
      </c>
      <c r="F174" s="19">
        <v>9.93</v>
      </c>
      <c r="G174" s="8">
        <v>12170</v>
      </c>
      <c r="H174" s="1">
        <f>Table2[[#This Row],[New_Followers]]-Table2[[#This Row],[Unfollows]]</f>
        <v>1033</v>
      </c>
      <c r="I174" s="4">
        <f>(Table2[[#This Row],[follower gain]]/Table2[[#This Row],[Total_Followers]])*100</f>
        <v>0.26668250067122412</v>
      </c>
    </row>
    <row r="175" spans="1:9" ht="15.75" customHeight="1">
      <c r="A175" s="7">
        <v>45845</v>
      </c>
      <c r="B175" s="17" t="s">
        <v>38</v>
      </c>
      <c r="C175" s="8">
        <v>1051</v>
      </c>
      <c r="D175" s="8">
        <v>246</v>
      </c>
      <c r="E175" s="8">
        <v>253985</v>
      </c>
      <c r="F175" s="19">
        <v>9.08</v>
      </c>
      <c r="G175" s="8">
        <v>7245</v>
      </c>
      <c r="H175" s="1">
        <f>Table2[[#This Row],[New_Followers]]-Table2[[#This Row],[Unfollows]]</f>
        <v>805</v>
      </c>
      <c r="I175" s="4">
        <f>(Table2[[#This Row],[follower gain]]/Table2[[#This Row],[Total_Followers]])*100</f>
        <v>0.31694785125105812</v>
      </c>
    </row>
    <row r="176" spans="1:9" ht="15.75" customHeight="1">
      <c r="A176" s="7">
        <v>45852</v>
      </c>
      <c r="B176" s="17" t="s">
        <v>23</v>
      </c>
      <c r="C176" s="8">
        <v>1457</v>
      </c>
      <c r="D176" s="8">
        <v>183</v>
      </c>
      <c r="E176" s="8">
        <v>129640</v>
      </c>
      <c r="F176" s="19">
        <v>7.98</v>
      </c>
      <c r="G176" s="8">
        <v>12985</v>
      </c>
      <c r="H176" s="1">
        <f>Table2[[#This Row],[New_Followers]]-Table2[[#This Row],[Unfollows]]</f>
        <v>1274</v>
      </c>
      <c r="I176" s="4">
        <f>(Table2[[#This Row],[follower gain]]/Table2[[#This Row],[Total_Followers]])*100</f>
        <v>0.98272138228941686</v>
      </c>
    </row>
    <row r="177" spans="1:9" ht="15.75" customHeight="1">
      <c r="A177" s="7">
        <v>45852</v>
      </c>
      <c r="B177" s="17" t="s">
        <v>31</v>
      </c>
      <c r="C177" s="8">
        <v>670</v>
      </c>
      <c r="D177" s="8">
        <v>242</v>
      </c>
      <c r="E177" s="8">
        <v>281913</v>
      </c>
      <c r="F177" s="19">
        <v>9.6199999999999992</v>
      </c>
      <c r="G177" s="8">
        <v>16377</v>
      </c>
      <c r="H177" s="1">
        <f>Table2[[#This Row],[New_Followers]]-Table2[[#This Row],[Unfollows]]</f>
        <v>428</v>
      </c>
      <c r="I177" s="4">
        <f>(Table2[[#This Row],[follower gain]]/Table2[[#This Row],[Total_Followers]])*100</f>
        <v>0.15181988769584942</v>
      </c>
    </row>
    <row r="178" spans="1:9" ht="15.75" customHeight="1">
      <c r="A178" s="7">
        <v>45852</v>
      </c>
      <c r="B178" s="17" t="s">
        <v>38</v>
      </c>
      <c r="C178" s="8">
        <v>1111</v>
      </c>
      <c r="D178" s="8">
        <v>159</v>
      </c>
      <c r="E178" s="8">
        <v>360770</v>
      </c>
      <c r="F178" s="19">
        <v>8.7100000000000009</v>
      </c>
      <c r="G178" s="8">
        <v>11453</v>
      </c>
      <c r="H178" s="1">
        <f>Table2[[#This Row],[New_Followers]]-Table2[[#This Row],[Unfollows]]</f>
        <v>952</v>
      </c>
      <c r="I178" s="4">
        <f>(Table2[[#This Row],[follower gain]]/Table2[[#This Row],[Total_Followers]])*100</f>
        <v>0.26388003437092888</v>
      </c>
    </row>
    <row r="179" spans="1:9" ht="15.75" customHeight="1">
      <c r="A179" s="7">
        <v>45859</v>
      </c>
      <c r="B179" s="17" t="s">
        <v>23</v>
      </c>
      <c r="C179" s="8">
        <v>1197</v>
      </c>
      <c r="D179" s="8">
        <v>246</v>
      </c>
      <c r="E179" s="8">
        <v>127273</v>
      </c>
      <c r="F179" s="19">
        <v>6.69</v>
      </c>
      <c r="G179" s="8">
        <v>12323</v>
      </c>
      <c r="H179" s="1">
        <f>Table2[[#This Row],[New_Followers]]-Table2[[#This Row],[Unfollows]]</f>
        <v>951</v>
      </c>
      <c r="I179" s="4">
        <f>(Table2[[#This Row],[follower gain]]/Table2[[#This Row],[Total_Followers]])*100</f>
        <v>0.74721268454424739</v>
      </c>
    </row>
    <row r="180" spans="1:9" ht="15.75" customHeight="1">
      <c r="A180" s="7">
        <v>45859</v>
      </c>
      <c r="B180" s="17" t="s">
        <v>31</v>
      </c>
      <c r="C180" s="8">
        <v>754</v>
      </c>
      <c r="D180" s="8">
        <v>150</v>
      </c>
      <c r="E180" s="8">
        <v>189622</v>
      </c>
      <c r="F180" s="19">
        <v>4.25</v>
      </c>
      <c r="G180" s="8">
        <v>11911</v>
      </c>
      <c r="H180" s="1">
        <f>Table2[[#This Row],[New_Followers]]-Table2[[#This Row],[Unfollows]]</f>
        <v>604</v>
      </c>
      <c r="I180" s="4">
        <f>(Table2[[#This Row],[follower gain]]/Table2[[#This Row],[Total_Followers]])*100</f>
        <v>0.31852844079273501</v>
      </c>
    </row>
    <row r="181" spans="1:9" ht="15.75" customHeight="1">
      <c r="A181" s="7">
        <v>45859</v>
      </c>
      <c r="B181" s="17" t="s">
        <v>38</v>
      </c>
      <c r="C181" s="8">
        <v>1246</v>
      </c>
      <c r="D181" s="8">
        <v>107</v>
      </c>
      <c r="E181" s="8">
        <v>350949</v>
      </c>
      <c r="F181" s="19">
        <v>4.9800000000000004</v>
      </c>
      <c r="G181" s="8">
        <v>27809</v>
      </c>
      <c r="H181" s="1">
        <f>Table2[[#This Row],[New_Followers]]-Table2[[#This Row],[Unfollows]]</f>
        <v>1139</v>
      </c>
      <c r="I181" s="4">
        <f>(Table2[[#This Row],[follower gain]]/Table2[[#This Row],[Total_Followers]])*100</f>
        <v>0.32454858113287116</v>
      </c>
    </row>
    <row r="182" spans="1:9" ht="15.75" customHeight="1">
      <c r="A182" s="7">
        <v>45866</v>
      </c>
      <c r="B182" s="17" t="s">
        <v>23</v>
      </c>
      <c r="C182" s="8">
        <v>780</v>
      </c>
      <c r="D182" s="8">
        <v>213</v>
      </c>
      <c r="E182" s="8">
        <v>121431</v>
      </c>
      <c r="F182" s="19">
        <v>4.97</v>
      </c>
      <c r="G182" s="8">
        <v>21464</v>
      </c>
      <c r="H182" s="1">
        <f>Table2[[#This Row],[New_Followers]]-Table2[[#This Row],[Unfollows]]</f>
        <v>567</v>
      </c>
      <c r="I182" s="4">
        <f>(Table2[[#This Row],[follower gain]]/Table2[[#This Row],[Total_Followers]])*100</f>
        <v>0.46693183783383158</v>
      </c>
    </row>
    <row r="183" spans="1:9" ht="15.75" customHeight="1">
      <c r="A183" s="7">
        <v>45866</v>
      </c>
      <c r="B183" s="17" t="s">
        <v>31</v>
      </c>
      <c r="C183" s="8">
        <v>1425</v>
      </c>
      <c r="D183" s="8">
        <v>143</v>
      </c>
      <c r="E183" s="8">
        <v>116742</v>
      </c>
      <c r="F183" s="19">
        <v>3.71</v>
      </c>
      <c r="G183" s="8">
        <v>27126</v>
      </c>
      <c r="H183" s="1">
        <f>Table2[[#This Row],[New_Followers]]-Table2[[#This Row],[Unfollows]]</f>
        <v>1282</v>
      </c>
      <c r="I183" s="4">
        <f>(Table2[[#This Row],[follower gain]]/Table2[[#This Row],[Total_Followers]])*100</f>
        <v>1.0981480529715097</v>
      </c>
    </row>
    <row r="184" spans="1:9" ht="15.75" customHeight="1">
      <c r="A184" s="7">
        <v>45866</v>
      </c>
      <c r="B184" s="17" t="s">
        <v>38</v>
      </c>
      <c r="C184" s="8">
        <v>1490</v>
      </c>
      <c r="D184" s="8">
        <v>103</v>
      </c>
      <c r="E184" s="8">
        <v>81184</v>
      </c>
      <c r="F184" s="19">
        <v>7.79</v>
      </c>
      <c r="G184" s="8">
        <v>10681</v>
      </c>
      <c r="H184" s="1">
        <f>Table2[[#This Row],[New_Followers]]-Table2[[#This Row],[Unfollows]]</f>
        <v>1387</v>
      </c>
      <c r="I184" s="4">
        <f>(Table2[[#This Row],[follower gain]]/Table2[[#This Row],[Total_Followers]])*100</f>
        <v>1.7084647221127316</v>
      </c>
    </row>
    <row r="185" spans="1:9" ht="15.75" customHeight="1">
      <c r="A185" s="7">
        <v>45873</v>
      </c>
      <c r="B185" s="17" t="s">
        <v>23</v>
      </c>
      <c r="C185" s="8">
        <v>949</v>
      </c>
      <c r="D185" s="8">
        <v>282</v>
      </c>
      <c r="E185" s="8">
        <v>87126</v>
      </c>
      <c r="F185" s="19">
        <v>4.96</v>
      </c>
      <c r="G185" s="8">
        <v>5413</v>
      </c>
      <c r="H185" s="1">
        <f>Table2[[#This Row],[New_Followers]]-Table2[[#This Row],[Unfollows]]</f>
        <v>667</v>
      </c>
      <c r="I185" s="4">
        <f>(Table2[[#This Row],[follower gain]]/Table2[[#This Row],[Total_Followers]])*100</f>
        <v>0.76555792759910934</v>
      </c>
    </row>
    <row r="186" spans="1:9" ht="15.75" customHeight="1">
      <c r="A186" s="7">
        <v>45873</v>
      </c>
      <c r="B186" s="17" t="s">
        <v>31</v>
      </c>
      <c r="C186" s="8">
        <v>640</v>
      </c>
      <c r="D186" s="8">
        <v>141</v>
      </c>
      <c r="E186" s="8">
        <v>267546</v>
      </c>
      <c r="F186" s="19">
        <v>8.58</v>
      </c>
      <c r="G186" s="8">
        <v>25058</v>
      </c>
      <c r="H186" s="1">
        <f>Table2[[#This Row],[New_Followers]]-Table2[[#This Row],[Unfollows]]</f>
        <v>499</v>
      </c>
      <c r="I186" s="4">
        <f>(Table2[[#This Row],[follower gain]]/Table2[[#This Row],[Total_Followers]])*100</f>
        <v>0.18650998332996943</v>
      </c>
    </row>
    <row r="187" spans="1:9" ht="15.75" customHeight="1">
      <c r="A187" s="7">
        <v>45873</v>
      </c>
      <c r="B187" s="17" t="s">
        <v>38</v>
      </c>
      <c r="C187" s="8">
        <v>616</v>
      </c>
      <c r="D187" s="8">
        <v>93</v>
      </c>
      <c r="E187" s="8">
        <v>133082</v>
      </c>
      <c r="F187" s="19">
        <v>8.51</v>
      </c>
      <c r="G187" s="8">
        <v>18303</v>
      </c>
      <c r="H187" s="1">
        <f>Table2[[#This Row],[New_Followers]]-Table2[[#This Row],[Unfollows]]</f>
        <v>523</v>
      </c>
      <c r="I187" s="4">
        <f>(Table2[[#This Row],[follower gain]]/Table2[[#This Row],[Total_Followers]])*100</f>
        <v>0.39299078763469142</v>
      </c>
    </row>
    <row r="188" spans="1:9" ht="15.75" customHeight="1">
      <c r="A188" s="7">
        <v>45880</v>
      </c>
      <c r="B188" s="17" t="s">
        <v>23</v>
      </c>
      <c r="C188" s="8">
        <v>1080</v>
      </c>
      <c r="D188" s="8">
        <v>184</v>
      </c>
      <c r="E188" s="8">
        <v>340557</v>
      </c>
      <c r="F188" s="19">
        <v>5.41</v>
      </c>
      <c r="G188" s="8">
        <v>5526</v>
      </c>
      <c r="H188" s="1">
        <f>Table2[[#This Row],[New_Followers]]-Table2[[#This Row],[Unfollows]]</f>
        <v>896</v>
      </c>
      <c r="I188" s="4">
        <f>(Table2[[#This Row],[follower gain]]/Table2[[#This Row],[Total_Followers]])*100</f>
        <v>0.26309839468870116</v>
      </c>
    </row>
    <row r="189" spans="1:9" ht="15.75" customHeight="1">
      <c r="A189" s="7">
        <v>45880</v>
      </c>
      <c r="B189" s="17" t="s">
        <v>31</v>
      </c>
      <c r="C189" s="8">
        <v>938</v>
      </c>
      <c r="D189" s="8">
        <v>236</v>
      </c>
      <c r="E189" s="8">
        <v>116472</v>
      </c>
      <c r="F189" s="19">
        <v>8.7200000000000006</v>
      </c>
      <c r="G189" s="8">
        <v>17460</v>
      </c>
      <c r="H189" s="1">
        <f>Table2[[#This Row],[New_Followers]]-Table2[[#This Row],[Unfollows]]</f>
        <v>702</v>
      </c>
      <c r="I189" s="4">
        <f>(Table2[[#This Row],[follower gain]]/Table2[[#This Row],[Total_Followers]])*100</f>
        <v>0.60271996703070263</v>
      </c>
    </row>
    <row r="190" spans="1:9" ht="15.75" customHeight="1">
      <c r="A190" s="7">
        <v>45880</v>
      </c>
      <c r="B190" s="17" t="s">
        <v>38</v>
      </c>
      <c r="C190" s="8">
        <v>1007</v>
      </c>
      <c r="D190" s="8">
        <v>258</v>
      </c>
      <c r="E190" s="8">
        <v>113412</v>
      </c>
      <c r="F190" s="19">
        <v>7.71</v>
      </c>
      <c r="G190" s="8">
        <v>14475</v>
      </c>
      <c r="H190" s="1">
        <f>Table2[[#This Row],[New_Followers]]-Table2[[#This Row],[Unfollows]]</f>
        <v>749</v>
      </c>
      <c r="I190" s="4">
        <f>(Table2[[#This Row],[follower gain]]/Table2[[#This Row],[Total_Followers]])*100</f>
        <v>0.6604239410291679</v>
      </c>
    </row>
    <row r="191" spans="1:9" ht="15.75" customHeight="1">
      <c r="A191" s="7">
        <v>45887</v>
      </c>
      <c r="B191" s="17" t="s">
        <v>23</v>
      </c>
      <c r="C191" s="8">
        <v>541</v>
      </c>
      <c r="D191" s="8">
        <v>208</v>
      </c>
      <c r="E191" s="8">
        <v>157547</v>
      </c>
      <c r="F191" s="19">
        <v>8.35</v>
      </c>
      <c r="G191" s="8">
        <v>20162</v>
      </c>
      <c r="H191" s="1">
        <f>Table2[[#This Row],[New_Followers]]-Table2[[#This Row],[Unfollows]]</f>
        <v>333</v>
      </c>
      <c r="I191" s="4">
        <f>(Table2[[#This Row],[follower gain]]/Table2[[#This Row],[Total_Followers]])*100</f>
        <v>0.2113654972801767</v>
      </c>
    </row>
    <row r="192" spans="1:9" ht="15.75" customHeight="1">
      <c r="A192" s="7">
        <v>45887</v>
      </c>
      <c r="B192" s="17" t="s">
        <v>31</v>
      </c>
      <c r="C192" s="8">
        <v>745</v>
      </c>
      <c r="D192" s="8">
        <v>98</v>
      </c>
      <c r="E192" s="8">
        <v>354816</v>
      </c>
      <c r="F192" s="19">
        <v>4.03</v>
      </c>
      <c r="G192" s="8">
        <v>17103</v>
      </c>
      <c r="H192" s="1">
        <f>Table2[[#This Row],[New_Followers]]-Table2[[#This Row],[Unfollows]]</f>
        <v>647</v>
      </c>
      <c r="I192" s="4">
        <f>(Table2[[#This Row],[follower gain]]/Table2[[#This Row],[Total_Followers]])*100</f>
        <v>0.18234803391053389</v>
      </c>
    </row>
    <row r="193" spans="1:9" ht="15.75" customHeight="1">
      <c r="A193" s="7">
        <v>45887</v>
      </c>
      <c r="B193" s="17" t="s">
        <v>38</v>
      </c>
      <c r="C193" s="8">
        <v>936</v>
      </c>
      <c r="D193" s="8">
        <v>97</v>
      </c>
      <c r="E193" s="8">
        <v>151799</v>
      </c>
      <c r="F193" s="19">
        <v>9.3699999999999992</v>
      </c>
      <c r="G193" s="8">
        <v>15461</v>
      </c>
      <c r="H193" s="1">
        <f>Table2[[#This Row],[New_Followers]]-Table2[[#This Row],[Unfollows]]</f>
        <v>839</v>
      </c>
      <c r="I193" s="4">
        <f>(Table2[[#This Row],[follower gain]]/Table2[[#This Row],[Total_Followers]])*100</f>
        <v>0.55270456327116779</v>
      </c>
    </row>
    <row r="194" spans="1:9" ht="15.75" customHeight="1">
      <c r="A194" s="7">
        <v>45894</v>
      </c>
      <c r="B194" s="17" t="s">
        <v>23</v>
      </c>
      <c r="C194" s="8">
        <v>1183</v>
      </c>
      <c r="D194" s="8">
        <v>223</v>
      </c>
      <c r="E194" s="8">
        <v>143811</v>
      </c>
      <c r="F194" s="19">
        <v>6.07</v>
      </c>
      <c r="G194" s="8">
        <v>22103</v>
      </c>
      <c r="H194" s="1">
        <f>Table2[[#This Row],[New_Followers]]-Table2[[#This Row],[Unfollows]]</f>
        <v>960</v>
      </c>
      <c r="I194" s="4">
        <f>(Table2[[#This Row],[follower gain]]/Table2[[#This Row],[Total_Followers]])*100</f>
        <v>0.66754281661347181</v>
      </c>
    </row>
    <row r="195" spans="1:9" ht="15.75" customHeight="1">
      <c r="A195" s="7">
        <v>45894</v>
      </c>
      <c r="B195" s="17" t="s">
        <v>31</v>
      </c>
      <c r="C195" s="8">
        <v>1413</v>
      </c>
      <c r="D195" s="8">
        <v>245</v>
      </c>
      <c r="E195" s="8">
        <v>296450</v>
      </c>
      <c r="F195" s="19">
        <v>6.52</v>
      </c>
      <c r="G195" s="8">
        <v>11625</v>
      </c>
      <c r="H195" s="1">
        <f>Table2[[#This Row],[New_Followers]]-Table2[[#This Row],[Unfollows]]</f>
        <v>1168</v>
      </c>
      <c r="I195" s="4">
        <f>(Table2[[#This Row],[follower gain]]/Table2[[#This Row],[Total_Followers]])*100</f>
        <v>0.39399561477483558</v>
      </c>
    </row>
    <row r="196" spans="1:9" ht="15.75" customHeight="1">
      <c r="A196" s="7">
        <v>45894</v>
      </c>
      <c r="B196" s="17" t="s">
        <v>38</v>
      </c>
      <c r="C196" s="8">
        <v>791</v>
      </c>
      <c r="D196" s="8">
        <v>273</v>
      </c>
      <c r="E196" s="8">
        <v>144049</v>
      </c>
      <c r="F196" s="19">
        <v>3.08</v>
      </c>
      <c r="G196" s="8">
        <v>5281</v>
      </c>
      <c r="H196" s="1">
        <f>Table2[[#This Row],[New_Followers]]-Table2[[#This Row],[Unfollows]]</f>
        <v>518</v>
      </c>
      <c r="I196" s="4">
        <f>(Table2[[#This Row],[follower gain]]/Table2[[#This Row],[Total_Followers]])*100</f>
        <v>0.35959985838152297</v>
      </c>
    </row>
    <row r="197" spans="1:9" ht="15.75" customHeight="1">
      <c r="A197" s="7">
        <v>45901</v>
      </c>
      <c r="B197" s="17" t="s">
        <v>23</v>
      </c>
      <c r="C197" s="8">
        <v>1052</v>
      </c>
      <c r="D197" s="8">
        <v>180</v>
      </c>
      <c r="E197" s="8">
        <v>272534</v>
      </c>
      <c r="F197" s="19">
        <v>5.34</v>
      </c>
      <c r="G197" s="8">
        <v>13424</v>
      </c>
      <c r="H197" s="1">
        <f>Table2[[#This Row],[New_Followers]]-Table2[[#This Row],[Unfollows]]</f>
        <v>872</v>
      </c>
      <c r="I197" s="4">
        <f>(Table2[[#This Row],[follower gain]]/Table2[[#This Row],[Total_Followers]])*100</f>
        <v>0.31996007837554213</v>
      </c>
    </row>
    <row r="198" spans="1:9" ht="15.75" customHeight="1">
      <c r="A198" s="7">
        <v>45901</v>
      </c>
      <c r="B198" s="17" t="s">
        <v>31</v>
      </c>
      <c r="C198" s="8">
        <v>572</v>
      </c>
      <c r="D198" s="8">
        <v>270</v>
      </c>
      <c r="E198" s="8">
        <v>82265</v>
      </c>
      <c r="F198" s="19">
        <v>3.65</v>
      </c>
      <c r="G198" s="8">
        <v>13140</v>
      </c>
      <c r="H198" s="1">
        <f>Table2[[#This Row],[New_Followers]]-Table2[[#This Row],[Unfollows]]</f>
        <v>302</v>
      </c>
      <c r="I198" s="4">
        <f>(Table2[[#This Row],[follower gain]]/Table2[[#This Row],[Total_Followers]])*100</f>
        <v>0.36710630280192064</v>
      </c>
    </row>
    <row r="199" spans="1:9" ht="15.75" customHeight="1">
      <c r="A199" s="7">
        <v>45901</v>
      </c>
      <c r="B199" s="17" t="s">
        <v>38</v>
      </c>
      <c r="C199" s="8">
        <v>503</v>
      </c>
      <c r="D199" s="8">
        <v>253</v>
      </c>
      <c r="E199" s="8">
        <v>313562</v>
      </c>
      <c r="F199" s="19">
        <v>4.18</v>
      </c>
      <c r="G199" s="8">
        <v>19538</v>
      </c>
      <c r="H199" s="1">
        <f>Table2[[#This Row],[New_Followers]]-Table2[[#This Row],[Unfollows]]</f>
        <v>250</v>
      </c>
      <c r="I199" s="4">
        <f>(Table2[[#This Row],[follower gain]]/Table2[[#This Row],[Total_Followers]])*100</f>
        <v>7.9729048800556188E-2</v>
      </c>
    </row>
    <row r="200" spans="1:9" ht="15.75" customHeight="1">
      <c r="A200" s="7">
        <v>45908</v>
      </c>
      <c r="B200" s="17" t="s">
        <v>23</v>
      </c>
      <c r="C200" s="8">
        <v>1017</v>
      </c>
      <c r="D200" s="8">
        <v>197</v>
      </c>
      <c r="E200" s="8">
        <v>89918</v>
      </c>
      <c r="F200" s="19">
        <v>3.91</v>
      </c>
      <c r="G200" s="8">
        <v>7881</v>
      </c>
      <c r="H200" s="1">
        <f>Table2[[#This Row],[New_Followers]]-Table2[[#This Row],[Unfollows]]</f>
        <v>820</v>
      </c>
      <c r="I200" s="4">
        <f>(Table2[[#This Row],[follower gain]]/Table2[[#This Row],[Total_Followers]])*100</f>
        <v>0.91194199159233968</v>
      </c>
    </row>
    <row r="201" spans="1:9" ht="15.75" customHeight="1">
      <c r="A201" s="7">
        <v>45908</v>
      </c>
      <c r="B201" s="17" t="s">
        <v>31</v>
      </c>
      <c r="C201" s="8">
        <v>860</v>
      </c>
      <c r="D201" s="8">
        <v>244</v>
      </c>
      <c r="E201" s="8">
        <v>348686</v>
      </c>
      <c r="F201" s="19">
        <v>5.12</v>
      </c>
      <c r="G201" s="8">
        <v>11418</v>
      </c>
      <c r="H201" s="1">
        <f>Table2[[#This Row],[New_Followers]]-Table2[[#This Row],[Unfollows]]</f>
        <v>616</v>
      </c>
      <c r="I201" s="4">
        <f>(Table2[[#This Row],[follower gain]]/Table2[[#This Row],[Total_Followers]])*100</f>
        <v>0.17666324429429342</v>
      </c>
    </row>
    <row r="202" spans="1:9" ht="15.75" customHeight="1">
      <c r="H202" s="1">
        <f>Table2[[#This Row],[New_Followers]]-Table2[[#This Row],[Unfollows]]</f>
        <v>0</v>
      </c>
      <c r="I202" s="4" t="e">
        <f>(Table2[[#This Row],[follower gain]]/Table2[[#This Row],[Total_Followers]])*100</f>
        <v>#DIV/0!</v>
      </c>
    </row>
    <row r="203" spans="1:9" ht="15.75" customHeight="1">
      <c r="A203" s="9"/>
      <c r="B203"/>
      <c r="C203"/>
      <c r="D203"/>
      <c r="E203"/>
      <c r="F203"/>
      <c r="G203"/>
    </row>
    <row r="204" spans="1:9" ht="15.75" customHeight="1">
      <c r="A204" s="9"/>
      <c r="B204"/>
      <c r="C204"/>
      <c r="D204"/>
      <c r="E204"/>
      <c r="F204"/>
      <c r="G204"/>
    </row>
    <row r="205" spans="1:9" ht="15.75" customHeight="1">
      <c r="A205" s="9"/>
      <c r="B205"/>
      <c r="C205"/>
      <c r="D205"/>
      <c r="E205"/>
      <c r="F205"/>
      <c r="G205"/>
    </row>
    <row r="206" spans="1:9" ht="15.75" customHeight="1">
      <c r="A206" s="9"/>
      <c r="B206"/>
      <c r="C206"/>
      <c r="D206"/>
      <c r="E206"/>
      <c r="F206"/>
      <c r="G206"/>
    </row>
    <row r="207" spans="1:9" ht="15.75" customHeight="1">
      <c r="A207" s="9"/>
      <c r="B207"/>
      <c r="C207"/>
      <c r="D207"/>
      <c r="E207"/>
      <c r="F207"/>
      <c r="G207"/>
    </row>
    <row r="208" spans="1:9" ht="15.75" customHeight="1">
      <c r="A208" s="9"/>
      <c r="B208"/>
      <c r="C208"/>
      <c r="D208"/>
      <c r="E208"/>
      <c r="F208"/>
      <c r="G208"/>
    </row>
    <row r="209" spans="1:1" customFormat="1" ht="15.75" customHeight="1">
      <c r="A209" s="9"/>
    </row>
    <row r="210" spans="1:1" customFormat="1" ht="15.75" customHeight="1">
      <c r="A210" s="9"/>
    </row>
    <row r="211" spans="1:1" customFormat="1" ht="15.75" customHeight="1">
      <c r="A211" s="9"/>
    </row>
    <row r="212" spans="1:1" customFormat="1" ht="15.75" customHeight="1">
      <c r="A212" s="9"/>
    </row>
    <row r="213" spans="1:1" customFormat="1" ht="15.75" customHeight="1">
      <c r="A213" s="9"/>
    </row>
    <row r="214" spans="1:1" customFormat="1" ht="15.75" customHeight="1">
      <c r="A214" s="9"/>
    </row>
    <row r="215" spans="1:1" customFormat="1" ht="15.75" customHeight="1">
      <c r="A215" s="9"/>
    </row>
    <row r="216" spans="1:1" customFormat="1" ht="15.75" customHeight="1">
      <c r="A216" s="9"/>
    </row>
    <row r="217" spans="1:1" customFormat="1" ht="15.75" customHeight="1">
      <c r="A217" s="9"/>
    </row>
    <row r="218" spans="1:1" customFormat="1" ht="15.75" customHeight="1">
      <c r="A218" s="9"/>
    </row>
    <row r="219" spans="1:1" customFormat="1" ht="15.75" customHeight="1">
      <c r="A219" s="9"/>
    </row>
    <row r="220" spans="1:1" customFormat="1" ht="15.75" customHeight="1">
      <c r="A220" s="9"/>
    </row>
    <row r="221" spans="1:1" customFormat="1" ht="15.75" customHeight="1">
      <c r="A221" s="9"/>
    </row>
    <row r="222" spans="1:1" customFormat="1" ht="15.75" customHeight="1">
      <c r="A222" s="9"/>
    </row>
    <row r="223" spans="1:1" customFormat="1" ht="15.75" customHeight="1">
      <c r="A223" s="9"/>
    </row>
    <row r="224" spans="1:1" customFormat="1" ht="15.75" customHeight="1">
      <c r="A224" s="9"/>
    </row>
    <row r="225" spans="1:1" customFormat="1" ht="15.75" customHeight="1">
      <c r="A225" s="9"/>
    </row>
    <row r="226" spans="1:1" customFormat="1" ht="15.75" customHeight="1">
      <c r="A226" s="9"/>
    </row>
    <row r="227" spans="1:1" customFormat="1" ht="15.75" customHeight="1">
      <c r="A227" s="9"/>
    </row>
    <row r="228" spans="1:1" customFormat="1" ht="15.75" customHeight="1">
      <c r="A228" s="9"/>
    </row>
    <row r="229" spans="1:1" customFormat="1" ht="15.75" customHeight="1">
      <c r="A229" s="9"/>
    </row>
    <row r="230" spans="1:1" customFormat="1" ht="15.75" customHeight="1">
      <c r="A230" s="9"/>
    </row>
    <row r="231" spans="1:1" customFormat="1" ht="15.75" customHeight="1">
      <c r="A231" s="9"/>
    </row>
    <row r="232" spans="1:1" customFormat="1" ht="15.75" customHeight="1">
      <c r="A232" s="9"/>
    </row>
    <row r="233" spans="1:1" customFormat="1" ht="15.75" customHeight="1">
      <c r="A233" s="9"/>
    </row>
    <row r="234" spans="1:1" customFormat="1" ht="15.75" customHeight="1">
      <c r="A234" s="9"/>
    </row>
    <row r="235" spans="1:1" customFormat="1" ht="15.75" customHeight="1">
      <c r="A235" s="9"/>
    </row>
    <row r="236" spans="1:1" customFormat="1" ht="15.75" customHeight="1">
      <c r="A236" s="9"/>
    </row>
    <row r="237" spans="1:1" customFormat="1" ht="15.75" customHeight="1">
      <c r="A237" s="9"/>
    </row>
    <row r="238" spans="1:1" customFormat="1" ht="15.75" customHeight="1">
      <c r="A238" s="9"/>
    </row>
    <row r="239" spans="1:1" customFormat="1" ht="15.75" customHeight="1">
      <c r="A239" s="9"/>
    </row>
    <row r="240" spans="1:1" customFormat="1" ht="15.75" customHeight="1">
      <c r="A240" s="9"/>
    </row>
    <row r="241" spans="1:1" customFormat="1" ht="15.75" customHeight="1">
      <c r="A241" s="9"/>
    </row>
    <row r="242" spans="1:1" customFormat="1" ht="15.75" customHeight="1">
      <c r="A242" s="9"/>
    </row>
    <row r="243" spans="1:1" customFormat="1" ht="15.75" customHeight="1">
      <c r="A243" s="9"/>
    </row>
    <row r="244" spans="1:1" customFormat="1" ht="15.75" customHeight="1">
      <c r="A244" s="9"/>
    </row>
    <row r="245" spans="1:1" customFormat="1" ht="15.75" customHeight="1">
      <c r="A245" s="9"/>
    </row>
    <row r="246" spans="1:1" customFormat="1" ht="15.75" customHeight="1">
      <c r="A246" s="9"/>
    </row>
    <row r="247" spans="1:1" customFormat="1" ht="15.75" customHeight="1">
      <c r="A247" s="9"/>
    </row>
    <row r="248" spans="1:1" customFormat="1" ht="15.75" customHeight="1">
      <c r="A248" s="9"/>
    </row>
    <row r="249" spans="1:1" customFormat="1" ht="15.75" customHeight="1">
      <c r="A249" s="9"/>
    </row>
    <row r="250" spans="1:1" customFormat="1" ht="15.75" customHeight="1">
      <c r="A250" s="9"/>
    </row>
    <row r="251" spans="1:1" customFormat="1" ht="15.75" customHeight="1">
      <c r="A251" s="9"/>
    </row>
    <row r="252" spans="1:1" customFormat="1" ht="15.75" customHeight="1">
      <c r="A252" s="9"/>
    </row>
    <row r="253" spans="1:1" customFormat="1" ht="15.75" customHeight="1">
      <c r="A253" s="9"/>
    </row>
    <row r="254" spans="1:1" customFormat="1" ht="15.75" customHeight="1">
      <c r="A254" s="9"/>
    </row>
    <row r="255" spans="1:1" customFormat="1" ht="15.75" customHeight="1">
      <c r="A255" s="9"/>
    </row>
    <row r="256" spans="1:1" customFormat="1" ht="15.75" customHeight="1">
      <c r="A256" s="9"/>
    </row>
    <row r="257" spans="1:1" customFormat="1" ht="15.75" customHeight="1">
      <c r="A257" s="9"/>
    </row>
    <row r="258" spans="1:1" customFormat="1" ht="15.75" customHeight="1">
      <c r="A258" s="9"/>
    </row>
    <row r="259" spans="1:1" customFormat="1" ht="15.75" customHeight="1">
      <c r="A259" s="9"/>
    </row>
    <row r="260" spans="1:1" customFormat="1" ht="15.75" customHeight="1">
      <c r="A260" s="9"/>
    </row>
    <row r="261" spans="1:1" customFormat="1" ht="15.75" customHeight="1">
      <c r="A261" s="9"/>
    </row>
    <row r="262" spans="1:1" customFormat="1" ht="15.75" customHeight="1">
      <c r="A262" s="9"/>
    </row>
    <row r="263" spans="1:1" customFormat="1" ht="15.75" customHeight="1">
      <c r="A263" s="9"/>
    </row>
    <row r="264" spans="1:1" customFormat="1" ht="15.75" customHeight="1">
      <c r="A264" s="9"/>
    </row>
    <row r="265" spans="1:1" customFormat="1" ht="15.75" customHeight="1">
      <c r="A265" s="9"/>
    </row>
    <row r="266" spans="1:1" customFormat="1" ht="15.75" customHeight="1">
      <c r="A266" s="9"/>
    </row>
    <row r="267" spans="1:1" customFormat="1" ht="15.75" customHeight="1">
      <c r="A267" s="9"/>
    </row>
    <row r="268" spans="1:1" customFormat="1" ht="15.75" customHeight="1">
      <c r="A268" s="9"/>
    </row>
    <row r="269" spans="1:1" customFormat="1" ht="15.75" customHeight="1">
      <c r="A269" s="9"/>
    </row>
    <row r="270" spans="1:1" customFormat="1" ht="15.75" customHeight="1">
      <c r="A270" s="9"/>
    </row>
    <row r="271" spans="1:1" customFormat="1" ht="15.75" customHeight="1">
      <c r="A271" s="9"/>
    </row>
    <row r="272" spans="1:1" customFormat="1" ht="15.75" customHeight="1">
      <c r="A272" s="9"/>
    </row>
    <row r="273" spans="1:1" customFormat="1" ht="15.75" customHeight="1">
      <c r="A273" s="9"/>
    </row>
    <row r="274" spans="1:1" customFormat="1" ht="15.75" customHeight="1">
      <c r="A274" s="9"/>
    </row>
    <row r="275" spans="1:1" customFormat="1" ht="15.75" customHeight="1">
      <c r="A275" s="9"/>
    </row>
    <row r="276" spans="1:1" customFormat="1" ht="15.75" customHeight="1">
      <c r="A276" s="9"/>
    </row>
    <row r="277" spans="1:1" customFormat="1" ht="15.75" customHeight="1">
      <c r="A277" s="9"/>
    </row>
    <row r="278" spans="1:1" customFormat="1" ht="15.75" customHeight="1">
      <c r="A278" s="9"/>
    </row>
    <row r="279" spans="1:1" customFormat="1" ht="15.75" customHeight="1">
      <c r="A279" s="9"/>
    </row>
    <row r="280" spans="1:1" customFormat="1" ht="15.75" customHeight="1">
      <c r="A280" s="9"/>
    </row>
    <row r="281" spans="1:1" customFormat="1" ht="15.75" customHeight="1">
      <c r="A281" s="9"/>
    </row>
    <row r="282" spans="1:1" customFormat="1" ht="15.75" customHeight="1">
      <c r="A282" s="9"/>
    </row>
    <row r="283" spans="1:1" customFormat="1" ht="15.75" customHeight="1">
      <c r="A283" s="9"/>
    </row>
    <row r="284" spans="1:1" customFormat="1" ht="15.75" customHeight="1">
      <c r="A284" s="9"/>
    </row>
    <row r="285" spans="1:1" customFormat="1" ht="15.75" customHeight="1">
      <c r="A285" s="9"/>
    </row>
    <row r="286" spans="1:1" customFormat="1" ht="15.75" customHeight="1">
      <c r="A286" s="9"/>
    </row>
    <row r="287" spans="1:1" customFormat="1" ht="15.75" customHeight="1">
      <c r="A287" s="9"/>
    </row>
    <row r="288" spans="1:1" customFormat="1" ht="15.75" customHeight="1">
      <c r="A288" s="9"/>
    </row>
    <row r="289" spans="1:1" customFormat="1" ht="15.75" customHeight="1">
      <c r="A289" s="9"/>
    </row>
    <row r="290" spans="1:1" customFormat="1" ht="15.75" customHeight="1">
      <c r="A290" s="9"/>
    </row>
    <row r="291" spans="1:1" customFormat="1" ht="15.75" customHeight="1">
      <c r="A291" s="9"/>
    </row>
    <row r="292" spans="1:1" customFormat="1" ht="15.75" customHeight="1">
      <c r="A292" s="9"/>
    </row>
    <row r="293" spans="1:1" customFormat="1" ht="15.75" customHeight="1">
      <c r="A293" s="9"/>
    </row>
    <row r="294" spans="1:1" customFormat="1" ht="15.75" customHeight="1">
      <c r="A294" s="9"/>
    </row>
    <row r="295" spans="1:1" customFormat="1" ht="15.75" customHeight="1">
      <c r="A295" s="9"/>
    </row>
    <row r="296" spans="1:1" customFormat="1" ht="15.75" customHeight="1">
      <c r="A296" s="9"/>
    </row>
    <row r="297" spans="1:1" customFormat="1" ht="15.75" customHeight="1">
      <c r="A297" s="9"/>
    </row>
    <row r="298" spans="1:1" customFormat="1" ht="15.75" customHeight="1">
      <c r="A298" s="9"/>
    </row>
    <row r="299" spans="1:1" customFormat="1" ht="15.75" customHeight="1">
      <c r="A299" s="9"/>
    </row>
    <row r="300" spans="1:1" customFormat="1" ht="15.75" customHeight="1">
      <c r="A300" s="9"/>
    </row>
    <row r="301" spans="1:1" customFormat="1" ht="15.75" customHeight="1">
      <c r="A301" s="9"/>
    </row>
    <row r="302" spans="1:1" customFormat="1" ht="15.75" customHeight="1">
      <c r="A302" s="9"/>
    </row>
    <row r="303" spans="1:1" customFormat="1" ht="15.75" customHeight="1">
      <c r="A303" s="9"/>
    </row>
    <row r="304" spans="1:1" customFormat="1" ht="15.75" customHeight="1">
      <c r="A304" s="9"/>
    </row>
    <row r="305" spans="1:1" customFormat="1" ht="15.75" customHeight="1">
      <c r="A305" s="9"/>
    </row>
    <row r="306" spans="1:1" customFormat="1" ht="15.75" customHeight="1">
      <c r="A306" s="9"/>
    </row>
    <row r="307" spans="1:1" customFormat="1" ht="15.75" customHeight="1">
      <c r="A307" s="9"/>
    </row>
    <row r="308" spans="1:1" customFormat="1" ht="15.75" customHeight="1">
      <c r="A308" s="9"/>
    </row>
    <row r="309" spans="1:1" customFormat="1" ht="15.75" customHeight="1">
      <c r="A309" s="9"/>
    </row>
    <row r="310" spans="1:1" customFormat="1" ht="15.75" customHeight="1">
      <c r="A310" s="9"/>
    </row>
    <row r="311" spans="1:1" customFormat="1" ht="15.75" customHeight="1">
      <c r="A311" s="9"/>
    </row>
    <row r="312" spans="1:1" customFormat="1" ht="15.75" customHeight="1">
      <c r="A312" s="9"/>
    </row>
    <row r="313" spans="1:1" customFormat="1" ht="15.75" customHeight="1">
      <c r="A313" s="9"/>
    </row>
    <row r="314" spans="1:1" customFormat="1" ht="15.75" customHeight="1">
      <c r="A314" s="9"/>
    </row>
    <row r="315" spans="1:1" customFormat="1" ht="15.75" customHeight="1">
      <c r="A315" s="9"/>
    </row>
    <row r="316" spans="1:1" customFormat="1" ht="15.75" customHeight="1">
      <c r="A316" s="9"/>
    </row>
    <row r="317" spans="1:1" customFormat="1" ht="15.75" customHeight="1">
      <c r="A317" s="9"/>
    </row>
    <row r="318" spans="1:1" customFormat="1" ht="15.75" customHeight="1">
      <c r="A318" s="9"/>
    </row>
    <row r="319" spans="1:1" customFormat="1" ht="15.75" customHeight="1">
      <c r="A319" s="9"/>
    </row>
    <row r="320" spans="1:1" customFormat="1" ht="15.75" customHeight="1">
      <c r="A320" s="9"/>
    </row>
    <row r="321" spans="1:1" customFormat="1" ht="15.75" customHeight="1">
      <c r="A321" s="9"/>
    </row>
    <row r="322" spans="1:1" customFormat="1" ht="15.75" customHeight="1">
      <c r="A322" s="9"/>
    </row>
    <row r="323" spans="1:1" customFormat="1" ht="15.75" customHeight="1">
      <c r="A323" s="9"/>
    </row>
    <row r="324" spans="1:1" customFormat="1" ht="15.75" customHeight="1">
      <c r="A324" s="9"/>
    </row>
    <row r="325" spans="1:1" customFormat="1" ht="15.75" customHeight="1">
      <c r="A325" s="9"/>
    </row>
    <row r="326" spans="1:1" customFormat="1" ht="15.75" customHeight="1">
      <c r="A326" s="9"/>
    </row>
    <row r="327" spans="1:1" customFormat="1" ht="15.75" customHeight="1">
      <c r="A327" s="9"/>
    </row>
    <row r="328" spans="1:1" customFormat="1" ht="15.75" customHeight="1">
      <c r="A328" s="9"/>
    </row>
    <row r="329" spans="1:1" customFormat="1" ht="15.75" customHeight="1">
      <c r="A329" s="9"/>
    </row>
    <row r="330" spans="1:1" customFormat="1" ht="15.75" customHeight="1">
      <c r="A330" s="9"/>
    </row>
    <row r="331" spans="1:1" customFormat="1" ht="15.75" customHeight="1">
      <c r="A331" s="9"/>
    </row>
    <row r="332" spans="1:1" customFormat="1" ht="15.75" customHeight="1">
      <c r="A332" s="9"/>
    </row>
    <row r="333" spans="1:1" customFormat="1" ht="15.75" customHeight="1">
      <c r="A333" s="9"/>
    </row>
    <row r="334" spans="1:1" customFormat="1" ht="15.75" customHeight="1">
      <c r="A334" s="9"/>
    </row>
    <row r="335" spans="1:1" customFormat="1" ht="15.75" customHeight="1">
      <c r="A335" s="9"/>
    </row>
    <row r="336" spans="1:1" customFormat="1" ht="15.75" customHeight="1">
      <c r="A336" s="9"/>
    </row>
    <row r="337" spans="1:1" customFormat="1" ht="15.75" customHeight="1">
      <c r="A337" s="9"/>
    </row>
    <row r="338" spans="1:1" customFormat="1" ht="15.75" customHeight="1">
      <c r="A338" s="9"/>
    </row>
    <row r="339" spans="1:1" customFormat="1" ht="15.75" customHeight="1">
      <c r="A339" s="9"/>
    </row>
    <row r="340" spans="1:1" customFormat="1" ht="15.75" customHeight="1">
      <c r="A340" s="9"/>
    </row>
    <row r="341" spans="1:1" customFormat="1" ht="15.75" customHeight="1">
      <c r="A341" s="9"/>
    </row>
    <row r="342" spans="1:1" customFormat="1" ht="15.75" customHeight="1">
      <c r="A342" s="9"/>
    </row>
    <row r="343" spans="1:1" customFormat="1" ht="15.75" customHeight="1">
      <c r="A343" s="9"/>
    </row>
    <row r="344" spans="1:1" customFormat="1" ht="15.75" customHeight="1">
      <c r="A344" s="9"/>
    </row>
    <row r="345" spans="1:1" customFormat="1" ht="15.75" customHeight="1">
      <c r="A345" s="9"/>
    </row>
    <row r="346" spans="1:1" customFormat="1" ht="15.75" customHeight="1">
      <c r="A346" s="9"/>
    </row>
    <row r="347" spans="1:1" customFormat="1" ht="15.75" customHeight="1">
      <c r="A347" s="9"/>
    </row>
    <row r="348" spans="1:1" customFormat="1" ht="15.75" customHeight="1">
      <c r="A348" s="9"/>
    </row>
    <row r="349" spans="1:1" customFormat="1" ht="15.75" customHeight="1">
      <c r="A349" s="9"/>
    </row>
    <row r="350" spans="1:1" customFormat="1" ht="15.75" customHeight="1">
      <c r="A350" s="9"/>
    </row>
    <row r="351" spans="1:1" customFormat="1" ht="15.75" customHeight="1">
      <c r="A351" s="9"/>
    </row>
    <row r="352" spans="1:1" customFormat="1" ht="15.75" customHeight="1">
      <c r="A352" s="9"/>
    </row>
    <row r="353" spans="1:1" customFormat="1" ht="15.75" customHeight="1">
      <c r="A353" s="9"/>
    </row>
    <row r="354" spans="1:1" customFormat="1" ht="15.75" customHeight="1">
      <c r="A354" s="9"/>
    </row>
    <row r="355" spans="1:1" customFormat="1" ht="15.75" customHeight="1">
      <c r="A355" s="9"/>
    </row>
    <row r="356" spans="1:1" customFormat="1" ht="15.75" customHeight="1">
      <c r="A356" s="9"/>
    </row>
    <row r="357" spans="1:1" customFormat="1" ht="15.75" customHeight="1">
      <c r="A357" s="9"/>
    </row>
    <row r="358" spans="1:1" customFormat="1" ht="15.75" customHeight="1">
      <c r="A358" s="9"/>
    </row>
    <row r="359" spans="1:1" customFormat="1" ht="15.75" customHeight="1">
      <c r="A359" s="9"/>
    </row>
    <row r="360" spans="1:1" customFormat="1" ht="15.75" customHeight="1">
      <c r="A360" s="9"/>
    </row>
    <row r="361" spans="1:1" customFormat="1" ht="15.75" customHeight="1">
      <c r="A361" s="9"/>
    </row>
    <row r="362" spans="1:1" customFormat="1" ht="15.75" customHeight="1">
      <c r="A362" s="9"/>
    </row>
    <row r="363" spans="1:1" customFormat="1" ht="15.75" customHeight="1">
      <c r="A363" s="9"/>
    </row>
    <row r="364" spans="1:1" customFormat="1" ht="15.75" customHeight="1">
      <c r="A364" s="9"/>
    </row>
    <row r="365" spans="1:1" customFormat="1" ht="15.75" customHeight="1">
      <c r="A365" s="9"/>
    </row>
    <row r="366" spans="1:1" customFormat="1" ht="15.75" customHeight="1">
      <c r="A366" s="9"/>
    </row>
    <row r="367" spans="1:1" customFormat="1" ht="15.75" customHeight="1">
      <c r="A367" s="9"/>
    </row>
    <row r="368" spans="1:1" customFormat="1" ht="15.75" customHeight="1">
      <c r="A368" s="9"/>
    </row>
    <row r="369" spans="1:1" customFormat="1" ht="15.75" customHeight="1">
      <c r="A369" s="9"/>
    </row>
    <row r="370" spans="1:1" customFormat="1" ht="15.75" customHeight="1">
      <c r="A370" s="9"/>
    </row>
    <row r="371" spans="1:1" customFormat="1" ht="15.75" customHeight="1">
      <c r="A371" s="9"/>
    </row>
    <row r="372" spans="1:1" customFormat="1" ht="15.75" customHeight="1">
      <c r="A372" s="9"/>
    </row>
    <row r="373" spans="1:1" customFormat="1" ht="15.75" customHeight="1">
      <c r="A373" s="9"/>
    </row>
    <row r="374" spans="1:1" customFormat="1" ht="15.75" customHeight="1">
      <c r="A374" s="9"/>
    </row>
    <row r="375" spans="1:1" customFormat="1" ht="15.75" customHeight="1">
      <c r="A375" s="9"/>
    </row>
    <row r="376" spans="1:1" customFormat="1" ht="15.75" customHeight="1">
      <c r="A376" s="9"/>
    </row>
    <row r="377" spans="1:1" customFormat="1" ht="15.75" customHeight="1">
      <c r="A377" s="9"/>
    </row>
    <row r="378" spans="1:1" customFormat="1" ht="15.75" customHeight="1">
      <c r="A378" s="9"/>
    </row>
    <row r="379" spans="1:1" customFormat="1" ht="15.75" customHeight="1">
      <c r="A379" s="9"/>
    </row>
    <row r="380" spans="1:1" customFormat="1" ht="15.75" customHeight="1">
      <c r="A380" s="9"/>
    </row>
    <row r="381" spans="1:1" customFormat="1" ht="15.75" customHeight="1">
      <c r="A381" s="9"/>
    </row>
    <row r="382" spans="1:1" customFormat="1" ht="15.75" customHeight="1">
      <c r="A382" s="9"/>
    </row>
    <row r="383" spans="1:1" customFormat="1" ht="15.75" customHeight="1">
      <c r="A383" s="9"/>
    </row>
    <row r="384" spans="1:1" customFormat="1" ht="15.75" customHeight="1">
      <c r="A384" s="9"/>
    </row>
    <row r="385" spans="1:1" customFormat="1" ht="15.75" customHeight="1">
      <c r="A385" s="9"/>
    </row>
    <row r="386" spans="1:1" customFormat="1" ht="15.75" customHeight="1">
      <c r="A386" s="9"/>
    </row>
    <row r="387" spans="1:1" customFormat="1" ht="15.75" customHeight="1">
      <c r="A387" s="9"/>
    </row>
    <row r="388" spans="1:1" customFormat="1" ht="15.75" customHeight="1">
      <c r="A388" s="9"/>
    </row>
    <row r="389" spans="1:1" customFormat="1" ht="15.75" customHeight="1">
      <c r="A389" s="9"/>
    </row>
    <row r="390" spans="1:1" customFormat="1" ht="15.75" customHeight="1">
      <c r="A390" s="9"/>
    </row>
    <row r="391" spans="1:1" customFormat="1" ht="15.75" customHeight="1">
      <c r="A391" s="9"/>
    </row>
    <row r="392" spans="1:1" customFormat="1" ht="15.75" customHeight="1">
      <c r="A392" s="9"/>
    </row>
    <row r="393" spans="1:1" customFormat="1" ht="15.75" customHeight="1">
      <c r="A393" s="9"/>
    </row>
    <row r="394" spans="1:1" customFormat="1" ht="15.75" customHeight="1">
      <c r="A394" s="9"/>
    </row>
    <row r="395" spans="1:1" customFormat="1" ht="15.75" customHeight="1">
      <c r="A395" s="9"/>
    </row>
    <row r="396" spans="1:1" customFormat="1" ht="15.75" customHeight="1">
      <c r="A396" s="9"/>
    </row>
    <row r="397" spans="1:1" customFormat="1" ht="15.75" customHeight="1">
      <c r="A397" s="9"/>
    </row>
    <row r="398" spans="1:1" customFormat="1" ht="15.75" customHeight="1">
      <c r="A398" s="9"/>
    </row>
    <row r="399" spans="1:1" customFormat="1" ht="15.75" customHeight="1">
      <c r="A399" s="9"/>
    </row>
    <row r="400" spans="1:1" customFormat="1" ht="15.75" customHeight="1">
      <c r="A400" s="9"/>
    </row>
    <row r="401" spans="1:1" customFormat="1" ht="15.75" customHeight="1">
      <c r="A401" s="9"/>
    </row>
    <row r="402" spans="1:1" customFormat="1" ht="15.75" customHeight="1">
      <c r="A402" s="9"/>
    </row>
    <row r="403" spans="1:1" customFormat="1" ht="15.75" customHeight="1">
      <c r="A403" s="9"/>
    </row>
    <row r="404" spans="1:1" customFormat="1" ht="15.75" customHeight="1">
      <c r="A404" s="9"/>
    </row>
    <row r="405" spans="1:1" customFormat="1" ht="15.75" customHeight="1">
      <c r="A405" s="9"/>
    </row>
    <row r="406" spans="1:1" customFormat="1" ht="15.75" customHeight="1">
      <c r="A406" s="9"/>
    </row>
    <row r="407" spans="1:1" customFormat="1" ht="15.75" customHeight="1">
      <c r="A407" s="9"/>
    </row>
    <row r="408" spans="1:1" customFormat="1" ht="15.75" customHeight="1">
      <c r="A408" s="9"/>
    </row>
    <row r="409" spans="1:1" customFormat="1" ht="15.75" customHeight="1">
      <c r="A409" s="9"/>
    </row>
    <row r="410" spans="1:1" customFormat="1" ht="15.75" customHeight="1">
      <c r="A410" s="9"/>
    </row>
    <row r="411" spans="1:1" customFormat="1" ht="15.75" customHeight="1">
      <c r="A411" s="9"/>
    </row>
    <row r="412" spans="1:1" customFormat="1" ht="15.75" customHeight="1">
      <c r="A412" s="9"/>
    </row>
    <row r="413" spans="1:1" customFormat="1" ht="15.75" customHeight="1">
      <c r="A413" s="9"/>
    </row>
    <row r="414" spans="1:1" customFormat="1" ht="15.75" customHeight="1">
      <c r="A414" s="9"/>
    </row>
    <row r="415" spans="1:1" customFormat="1" ht="15.75" customHeight="1">
      <c r="A415" s="9"/>
    </row>
    <row r="416" spans="1:1" customFormat="1" ht="15.75" customHeight="1">
      <c r="A416" s="9"/>
    </row>
    <row r="417" spans="1:1" customFormat="1" ht="15.75" customHeight="1">
      <c r="A417" s="9"/>
    </row>
    <row r="418" spans="1:1" customFormat="1" ht="15.75" customHeight="1">
      <c r="A418" s="9"/>
    </row>
    <row r="419" spans="1:1" customFormat="1" ht="15.75" customHeight="1">
      <c r="A419" s="9"/>
    </row>
    <row r="420" spans="1:1" customFormat="1" ht="15.75" customHeight="1">
      <c r="A420" s="9"/>
    </row>
    <row r="421" spans="1:1" customFormat="1" ht="15.75" customHeight="1">
      <c r="A421" s="9"/>
    </row>
    <row r="422" spans="1:1" customFormat="1" ht="15.75" customHeight="1">
      <c r="A422" s="9"/>
    </row>
    <row r="423" spans="1:1" customFormat="1" ht="15.75" customHeight="1">
      <c r="A423" s="9"/>
    </row>
    <row r="424" spans="1:1" customFormat="1" ht="15.75" customHeight="1">
      <c r="A424" s="9"/>
    </row>
    <row r="425" spans="1:1" customFormat="1" ht="15.75" customHeight="1">
      <c r="A425" s="9"/>
    </row>
    <row r="426" spans="1:1" customFormat="1" ht="15.75" customHeight="1">
      <c r="A426" s="9"/>
    </row>
    <row r="427" spans="1:1" customFormat="1" ht="15.75" customHeight="1">
      <c r="A427" s="9"/>
    </row>
    <row r="428" spans="1:1" customFormat="1" ht="15.75" customHeight="1">
      <c r="A428" s="9"/>
    </row>
    <row r="429" spans="1:1" customFormat="1" ht="15.75" customHeight="1">
      <c r="A429" s="9"/>
    </row>
    <row r="430" spans="1:1" customFormat="1" ht="15.75" customHeight="1">
      <c r="A430" s="9"/>
    </row>
    <row r="431" spans="1:1" customFormat="1" ht="15.75" customHeight="1">
      <c r="A431" s="9"/>
    </row>
    <row r="432" spans="1:1" customFormat="1" ht="15.75" customHeight="1">
      <c r="A432" s="9"/>
    </row>
    <row r="433" spans="1:1" customFormat="1" ht="15.75" customHeight="1">
      <c r="A433" s="9"/>
    </row>
    <row r="434" spans="1:1" customFormat="1" ht="15.75" customHeight="1">
      <c r="A434" s="9"/>
    </row>
    <row r="435" spans="1:1" customFormat="1" ht="15.75" customHeight="1">
      <c r="A435" s="9"/>
    </row>
    <row r="436" spans="1:1" customFormat="1" ht="15.75" customHeight="1">
      <c r="A436" s="9"/>
    </row>
    <row r="437" spans="1:1" customFormat="1" ht="15.75" customHeight="1">
      <c r="A437" s="9"/>
    </row>
    <row r="438" spans="1:1" customFormat="1" ht="15.75" customHeight="1">
      <c r="A438" s="9"/>
    </row>
    <row r="439" spans="1:1" customFormat="1" ht="15.75" customHeight="1">
      <c r="A439" s="9"/>
    </row>
    <row r="440" spans="1:1" customFormat="1" ht="15.75" customHeight="1">
      <c r="A440" s="9"/>
    </row>
    <row r="441" spans="1:1" customFormat="1" ht="15.75" customHeight="1">
      <c r="A441" s="9"/>
    </row>
    <row r="442" spans="1:1" customFormat="1" ht="15.75" customHeight="1">
      <c r="A442" s="9"/>
    </row>
    <row r="443" spans="1:1" customFormat="1" ht="15.75" customHeight="1">
      <c r="A443" s="9"/>
    </row>
    <row r="444" spans="1:1" customFormat="1" ht="15.75" customHeight="1">
      <c r="A444" s="9"/>
    </row>
    <row r="445" spans="1:1" customFormat="1" ht="15.75" customHeight="1">
      <c r="A445" s="9"/>
    </row>
    <row r="446" spans="1:1" customFormat="1" ht="15.75" customHeight="1">
      <c r="A446" s="9"/>
    </row>
    <row r="447" spans="1:1" customFormat="1" ht="15.75" customHeight="1">
      <c r="A447" s="9"/>
    </row>
    <row r="448" spans="1:1" customFormat="1" ht="15.75" customHeight="1">
      <c r="A448" s="9"/>
    </row>
    <row r="449" spans="1:1" customFormat="1" ht="15.75" customHeight="1">
      <c r="A449" s="9"/>
    </row>
    <row r="450" spans="1:1" customFormat="1" ht="15.75" customHeight="1">
      <c r="A450" s="9"/>
    </row>
    <row r="451" spans="1:1" customFormat="1" ht="15.75" customHeight="1">
      <c r="A451" s="9"/>
    </row>
    <row r="452" spans="1:1" customFormat="1" ht="15.75" customHeight="1">
      <c r="A452" s="9"/>
    </row>
    <row r="453" spans="1:1" customFormat="1" ht="15.75" customHeight="1">
      <c r="A453" s="9"/>
    </row>
    <row r="454" spans="1:1" customFormat="1" ht="15.75" customHeight="1">
      <c r="A454" s="9"/>
    </row>
    <row r="455" spans="1:1" customFormat="1" ht="15.75" customHeight="1">
      <c r="A455" s="9"/>
    </row>
    <row r="456" spans="1:1" customFormat="1" ht="15.75" customHeight="1">
      <c r="A456" s="9"/>
    </row>
    <row r="457" spans="1:1" customFormat="1" ht="15.75" customHeight="1">
      <c r="A457" s="9"/>
    </row>
    <row r="458" spans="1:1" customFormat="1" ht="15.75" customHeight="1">
      <c r="A458" s="9"/>
    </row>
    <row r="459" spans="1:1" customFormat="1" ht="15.75" customHeight="1">
      <c r="A459" s="9"/>
    </row>
    <row r="460" spans="1:1" customFormat="1" ht="15.75" customHeight="1">
      <c r="A460" s="9"/>
    </row>
    <row r="461" spans="1:1" customFormat="1" ht="15.75" customHeight="1">
      <c r="A461" s="9"/>
    </row>
    <row r="462" spans="1:1" customFormat="1" ht="15.75" customHeight="1">
      <c r="A462" s="9"/>
    </row>
    <row r="463" spans="1:1" customFormat="1" ht="15.75" customHeight="1">
      <c r="A463" s="9"/>
    </row>
    <row r="464" spans="1:1" customFormat="1" ht="15.75" customHeight="1">
      <c r="A464" s="9"/>
    </row>
    <row r="465" spans="1:1" customFormat="1" ht="15.75" customHeight="1">
      <c r="A465" s="9"/>
    </row>
    <row r="466" spans="1:1" customFormat="1" ht="15.75" customHeight="1">
      <c r="A466" s="9"/>
    </row>
    <row r="467" spans="1:1" customFormat="1" ht="15.75" customHeight="1">
      <c r="A467" s="9"/>
    </row>
    <row r="468" spans="1:1" customFormat="1" ht="15.75" customHeight="1">
      <c r="A468" s="9"/>
    </row>
    <row r="469" spans="1:1" customFormat="1" ht="15.75" customHeight="1">
      <c r="A469" s="9"/>
    </row>
    <row r="470" spans="1:1" customFormat="1" ht="15.75" customHeight="1">
      <c r="A470" s="9"/>
    </row>
    <row r="471" spans="1:1" customFormat="1" ht="15.75" customHeight="1">
      <c r="A471" s="9"/>
    </row>
    <row r="472" spans="1:1" customFormat="1" ht="15.75" customHeight="1">
      <c r="A472" s="9"/>
    </row>
    <row r="473" spans="1:1" customFormat="1" ht="15.75" customHeight="1">
      <c r="A473" s="9"/>
    </row>
    <row r="474" spans="1:1" customFormat="1" ht="15.75" customHeight="1">
      <c r="A474" s="9"/>
    </row>
    <row r="475" spans="1:1" customFormat="1" ht="15.75" customHeight="1">
      <c r="A475" s="9"/>
    </row>
    <row r="476" spans="1:1" customFormat="1" ht="15.75" customHeight="1">
      <c r="A476" s="9"/>
    </row>
    <row r="477" spans="1:1" customFormat="1" ht="15.75" customHeight="1">
      <c r="A477" s="9"/>
    </row>
    <row r="478" spans="1:1" customFormat="1" ht="15.75" customHeight="1">
      <c r="A478" s="9"/>
    </row>
    <row r="479" spans="1:1" customFormat="1" ht="15.75" customHeight="1">
      <c r="A479" s="9"/>
    </row>
    <row r="480" spans="1:1" customFormat="1" ht="15.75" customHeight="1">
      <c r="A480" s="9"/>
    </row>
    <row r="481" spans="1:1" customFormat="1" ht="15.75" customHeight="1">
      <c r="A481" s="9"/>
    </row>
    <row r="482" spans="1:1" customFormat="1" ht="15.75" customHeight="1">
      <c r="A482" s="9"/>
    </row>
    <row r="483" spans="1:1" customFormat="1" ht="15.75" customHeight="1">
      <c r="A483" s="9"/>
    </row>
    <row r="484" spans="1:1" customFormat="1" ht="15.75" customHeight="1">
      <c r="A484" s="9"/>
    </row>
    <row r="485" spans="1:1" customFormat="1" ht="15.75" customHeight="1">
      <c r="A485" s="9"/>
    </row>
    <row r="486" spans="1:1" customFormat="1" ht="15.75" customHeight="1">
      <c r="A486" s="9"/>
    </row>
    <row r="487" spans="1:1" customFormat="1" ht="15.75" customHeight="1">
      <c r="A487" s="9"/>
    </row>
    <row r="488" spans="1:1" customFormat="1" ht="15.75" customHeight="1">
      <c r="A488" s="9"/>
    </row>
    <row r="489" spans="1:1" customFormat="1" ht="15.75" customHeight="1">
      <c r="A489" s="9"/>
    </row>
    <row r="490" spans="1:1" customFormat="1" ht="15.75" customHeight="1">
      <c r="A490" s="9"/>
    </row>
    <row r="491" spans="1:1" customFormat="1" ht="15.75" customHeight="1">
      <c r="A491" s="9"/>
    </row>
    <row r="492" spans="1:1" customFormat="1" ht="15.75" customHeight="1">
      <c r="A492" s="9"/>
    </row>
    <row r="493" spans="1:1" customFormat="1" ht="15.75" customHeight="1">
      <c r="A493" s="9"/>
    </row>
    <row r="494" spans="1:1" customFormat="1" ht="15.75" customHeight="1">
      <c r="A494" s="9"/>
    </row>
    <row r="495" spans="1:1" customFormat="1" ht="15.75" customHeight="1">
      <c r="A495" s="9"/>
    </row>
    <row r="496" spans="1:1" customFormat="1" ht="15.75" customHeight="1">
      <c r="A496" s="9"/>
    </row>
    <row r="497" spans="1:1" customFormat="1" ht="15.75" customHeight="1">
      <c r="A497" s="9"/>
    </row>
    <row r="498" spans="1:1" customFormat="1" ht="15.75" customHeight="1">
      <c r="A498" s="9"/>
    </row>
    <row r="499" spans="1:1" customFormat="1" ht="15.75" customHeight="1">
      <c r="A499" s="9"/>
    </row>
    <row r="500" spans="1:1" customFormat="1" ht="15.75" customHeight="1">
      <c r="A500" s="9"/>
    </row>
    <row r="501" spans="1:1" customFormat="1" ht="15.75" customHeight="1">
      <c r="A501" s="9"/>
    </row>
    <row r="502" spans="1:1" customFormat="1" ht="15.75" customHeight="1">
      <c r="A502" s="9"/>
    </row>
    <row r="503" spans="1:1" customFormat="1" ht="15.75" customHeight="1">
      <c r="A503" s="9"/>
    </row>
    <row r="504" spans="1:1" customFormat="1" ht="15.75" customHeight="1">
      <c r="A504" s="9"/>
    </row>
    <row r="505" spans="1:1" customFormat="1" ht="15.75" customHeight="1">
      <c r="A505" s="9"/>
    </row>
    <row r="506" spans="1:1" customFormat="1" ht="15.75" customHeight="1">
      <c r="A506" s="9"/>
    </row>
    <row r="507" spans="1:1" customFormat="1" ht="15.75" customHeight="1">
      <c r="A507" s="9"/>
    </row>
    <row r="508" spans="1:1" customFormat="1" ht="15.75" customHeight="1">
      <c r="A508" s="9"/>
    </row>
    <row r="509" spans="1:1" customFormat="1" ht="15.75" customHeight="1">
      <c r="A509" s="9"/>
    </row>
    <row r="510" spans="1:1" customFormat="1" ht="15.75" customHeight="1">
      <c r="A510" s="9"/>
    </row>
    <row r="511" spans="1:1" customFormat="1" ht="15.75" customHeight="1">
      <c r="A511" s="9"/>
    </row>
    <row r="512" spans="1:1" customFormat="1" ht="15.75" customHeight="1">
      <c r="A512" s="9"/>
    </row>
    <row r="513" spans="1:1" customFormat="1" ht="15.75" customHeight="1">
      <c r="A513" s="9"/>
    </row>
    <row r="514" spans="1:1" customFormat="1" ht="15.75" customHeight="1">
      <c r="A514" s="9"/>
    </row>
    <row r="515" spans="1:1" customFormat="1" ht="15.75" customHeight="1">
      <c r="A515" s="9"/>
    </row>
    <row r="516" spans="1:1" customFormat="1" ht="15.75" customHeight="1">
      <c r="A516" s="9"/>
    </row>
    <row r="517" spans="1:1" customFormat="1" ht="15.75" customHeight="1">
      <c r="A517" s="9"/>
    </row>
    <row r="518" spans="1:1" customFormat="1" ht="15.75" customHeight="1">
      <c r="A518" s="9"/>
    </row>
    <row r="519" spans="1:1" customFormat="1" ht="15.75" customHeight="1">
      <c r="A519" s="9"/>
    </row>
    <row r="520" spans="1:1" customFormat="1" ht="15.75" customHeight="1">
      <c r="A520" s="9"/>
    </row>
    <row r="521" spans="1:1" customFormat="1" ht="15.75" customHeight="1">
      <c r="A521" s="9"/>
    </row>
    <row r="522" spans="1:1" customFormat="1" ht="15.75" customHeight="1">
      <c r="A522" s="9"/>
    </row>
    <row r="523" spans="1:1" customFormat="1" ht="15.75" customHeight="1">
      <c r="A523" s="9"/>
    </row>
    <row r="524" spans="1:1" customFormat="1" ht="15.75" customHeight="1">
      <c r="A524" s="9"/>
    </row>
    <row r="525" spans="1:1" customFormat="1" ht="15.75" customHeight="1">
      <c r="A525" s="9"/>
    </row>
    <row r="526" spans="1:1" customFormat="1" ht="15.75" customHeight="1">
      <c r="A526" s="9"/>
    </row>
    <row r="527" spans="1:1" customFormat="1" ht="15.75" customHeight="1">
      <c r="A527" s="9"/>
    </row>
    <row r="528" spans="1:1" customFormat="1" ht="15.75" customHeight="1">
      <c r="A528" s="9"/>
    </row>
    <row r="529" spans="1:1" customFormat="1" ht="15.75" customHeight="1">
      <c r="A529" s="9"/>
    </row>
    <row r="530" spans="1:1" customFormat="1" ht="15.75" customHeight="1">
      <c r="A530" s="9"/>
    </row>
    <row r="531" spans="1:1" customFormat="1" ht="15.75" customHeight="1">
      <c r="A531" s="9"/>
    </row>
    <row r="532" spans="1:1" customFormat="1" ht="15.75" customHeight="1">
      <c r="A532" s="9"/>
    </row>
    <row r="533" spans="1:1" customFormat="1" ht="15.75" customHeight="1">
      <c r="A533" s="9"/>
    </row>
    <row r="534" spans="1:1" customFormat="1" ht="15.75" customHeight="1">
      <c r="A534" s="9"/>
    </row>
    <row r="535" spans="1:1" customFormat="1" ht="15.75" customHeight="1">
      <c r="A535" s="9"/>
    </row>
    <row r="536" spans="1:1" customFormat="1" ht="15.75" customHeight="1">
      <c r="A536" s="9"/>
    </row>
    <row r="537" spans="1:1" customFormat="1" ht="15.75" customHeight="1">
      <c r="A537" s="9"/>
    </row>
    <row r="538" spans="1:1" customFormat="1" ht="15.75" customHeight="1">
      <c r="A538" s="9"/>
    </row>
    <row r="539" spans="1:1" customFormat="1" ht="15.75" customHeight="1">
      <c r="A539" s="9"/>
    </row>
    <row r="540" spans="1:1" customFormat="1" ht="15.75" customHeight="1">
      <c r="A540" s="9"/>
    </row>
    <row r="541" spans="1:1" customFormat="1" ht="15.75" customHeight="1">
      <c r="A541" s="9"/>
    </row>
    <row r="542" spans="1:1" customFormat="1" ht="15.75" customHeight="1">
      <c r="A542" s="9"/>
    </row>
    <row r="543" spans="1:1" customFormat="1" ht="15.75" customHeight="1">
      <c r="A543" s="9"/>
    </row>
    <row r="544" spans="1:1" customFormat="1" ht="15.75" customHeight="1">
      <c r="A544" s="9"/>
    </row>
    <row r="545" spans="1:1" customFormat="1" ht="15.75" customHeight="1">
      <c r="A545" s="9"/>
    </row>
    <row r="546" spans="1:1" customFormat="1" ht="15.75" customHeight="1">
      <c r="A546" s="9"/>
    </row>
    <row r="547" spans="1:1" customFormat="1" ht="15.75" customHeight="1">
      <c r="A547" s="9"/>
    </row>
    <row r="548" spans="1:1" customFormat="1" ht="15.75" customHeight="1">
      <c r="A548" s="9"/>
    </row>
    <row r="549" spans="1:1" customFormat="1" ht="15.75" customHeight="1">
      <c r="A549" s="9"/>
    </row>
    <row r="550" spans="1:1" customFormat="1" ht="15.75" customHeight="1">
      <c r="A550" s="9"/>
    </row>
    <row r="551" spans="1:1" customFormat="1" ht="15.75" customHeight="1">
      <c r="A551" s="9"/>
    </row>
    <row r="552" spans="1:1" customFormat="1" ht="15.75" customHeight="1">
      <c r="A552" s="9"/>
    </row>
    <row r="553" spans="1:1" customFormat="1" ht="15.75" customHeight="1">
      <c r="A553" s="9"/>
    </row>
    <row r="554" spans="1:1" customFormat="1" ht="15.75" customHeight="1">
      <c r="A554" s="9"/>
    </row>
    <row r="555" spans="1:1" customFormat="1" ht="15.75" customHeight="1">
      <c r="A555" s="9"/>
    </row>
    <row r="556" spans="1:1" customFormat="1" ht="15.75" customHeight="1">
      <c r="A556" s="9"/>
    </row>
    <row r="557" spans="1:1" customFormat="1" ht="15.75" customHeight="1">
      <c r="A557" s="9"/>
    </row>
    <row r="558" spans="1:1" customFormat="1" ht="15.75" customHeight="1">
      <c r="A558" s="9"/>
    </row>
    <row r="559" spans="1:1" customFormat="1" ht="15.75" customHeight="1">
      <c r="A559" s="9"/>
    </row>
    <row r="560" spans="1:1" customFormat="1" ht="15.75" customHeight="1">
      <c r="A560" s="9"/>
    </row>
    <row r="561" spans="1:1" customFormat="1" ht="15.75" customHeight="1">
      <c r="A561" s="9"/>
    </row>
    <row r="562" spans="1:1" customFormat="1" ht="15.75" customHeight="1">
      <c r="A562" s="9"/>
    </row>
    <row r="563" spans="1:1" customFormat="1" ht="15.75" customHeight="1">
      <c r="A563" s="9"/>
    </row>
    <row r="564" spans="1:1" customFormat="1" ht="15.75" customHeight="1">
      <c r="A564" s="9"/>
    </row>
    <row r="565" spans="1:1" customFormat="1" ht="15.75" customHeight="1">
      <c r="A565" s="9"/>
    </row>
    <row r="566" spans="1:1" customFormat="1" ht="15.75" customHeight="1">
      <c r="A566" s="9"/>
    </row>
    <row r="567" spans="1:1" customFormat="1" ht="15.75" customHeight="1">
      <c r="A567" s="9"/>
    </row>
    <row r="568" spans="1:1" customFormat="1" ht="15.75" customHeight="1">
      <c r="A568" s="9"/>
    </row>
    <row r="569" spans="1:1" customFormat="1" ht="15.75" customHeight="1">
      <c r="A569" s="9"/>
    </row>
    <row r="570" spans="1:1" customFormat="1" ht="15.75" customHeight="1">
      <c r="A570" s="9"/>
    </row>
    <row r="571" spans="1:1" customFormat="1" ht="15.75" customHeight="1">
      <c r="A571" s="9"/>
    </row>
    <row r="572" spans="1:1" customFormat="1" ht="15.75" customHeight="1">
      <c r="A572" s="9"/>
    </row>
    <row r="573" spans="1:1" customFormat="1" ht="15.75" customHeight="1">
      <c r="A573" s="9"/>
    </row>
    <row r="574" spans="1:1" customFormat="1" ht="15.75" customHeight="1">
      <c r="A574" s="9"/>
    </row>
    <row r="575" spans="1:1" customFormat="1" ht="15.75" customHeight="1">
      <c r="A575" s="9"/>
    </row>
    <row r="576" spans="1:1" customFormat="1" ht="15.75" customHeight="1">
      <c r="A576" s="9"/>
    </row>
    <row r="577" spans="1:1" customFormat="1" ht="15.75" customHeight="1">
      <c r="A577" s="9"/>
    </row>
    <row r="578" spans="1:1" customFormat="1" ht="15.75" customHeight="1">
      <c r="A578" s="9"/>
    </row>
    <row r="579" spans="1:1" customFormat="1" ht="15.75" customHeight="1">
      <c r="A579" s="9"/>
    </row>
    <row r="580" spans="1:1" customFormat="1" ht="15.75" customHeight="1">
      <c r="A580" s="9"/>
    </row>
    <row r="581" spans="1:1" customFormat="1" ht="15.75" customHeight="1">
      <c r="A581" s="9"/>
    </row>
    <row r="582" spans="1:1" customFormat="1" ht="15.75" customHeight="1">
      <c r="A582" s="9"/>
    </row>
    <row r="583" spans="1:1" customFormat="1" ht="15.75" customHeight="1">
      <c r="A583" s="9"/>
    </row>
    <row r="584" spans="1:1" customFormat="1" ht="15.75" customHeight="1">
      <c r="A584" s="9"/>
    </row>
    <row r="585" spans="1:1" customFormat="1" ht="15.75" customHeight="1">
      <c r="A585" s="9"/>
    </row>
    <row r="586" spans="1:1" customFormat="1" ht="15.75" customHeight="1">
      <c r="A586" s="9"/>
    </row>
    <row r="587" spans="1:1" customFormat="1" ht="15.75" customHeight="1">
      <c r="A587" s="9"/>
    </row>
    <row r="588" spans="1:1" customFormat="1" ht="15.75" customHeight="1">
      <c r="A588" s="9"/>
    </row>
    <row r="589" spans="1:1" customFormat="1" ht="15.75" customHeight="1">
      <c r="A589" s="9"/>
    </row>
    <row r="590" spans="1:1" customFormat="1" ht="15.75" customHeight="1">
      <c r="A590" s="9"/>
    </row>
    <row r="591" spans="1:1" customFormat="1" ht="15.75" customHeight="1">
      <c r="A591" s="9"/>
    </row>
    <row r="592" spans="1:1" customFormat="1" ht="15.75" customHeight="1">
      <c r="A592" s="9"/>
    </row>
    <row r="593" spans="1:1" customFormat="1" ht="15.75" customHeight="1">
      <c r="A593" s="9"/>
    </row>
    <row r="594" spans="1:1" customFormat="1" ht="15.75" customHeight="1">
      <c r="A594" s="9"/>
    </row>
    <row r="595" spans="1:1" customFormat="1" ht="15.75" customHeight="1">
      <c r="A595" s="9"/>
    </row>
    <row r="596" spans="1:1" customFormat="1" ht="15.75" customHeight="1">
      <c r="A596" s="9"/>
    </row>
    <row r="597" spans="1:1" customFormat="1" ht="15.75" customHeight="1">
      <c r="A597" s="9"/>
    </row>
    <row r="598" spans="1:1" customFormat="1" ht="15.75" customHeight="1">
      <c r="A598" s="9"/>
    </row>
    <row r="599" spans="1:1" customFormat="1" ht="15.75" customHeight="1">
      <c r="A599" s="9"/>
    </row>
    <row r="600" spans="1:1" customFormat="1" ht="15.75" customHeight="1">
      <c r="A600" s="9"/>
    </row>
    <row r="601" spans="1:1" customFormat="1" ht="15.75" customHeight="1">
      <c r="A601" s="9"/>
    </row>
    <row r="602" spans="1:1" customFormat="1" ht="15.75" customHeight="1">
      <c r="A602" s="9"/>
    </row>
    <row r="603" spans="1:1" customFormat="1" ht="15.75" customHeight="1">
      <c r="A603" s="9"/>
    </row>
    <row r="604" spans="1:1" customFormat="1" ht="15.75" customHeight="1">
      <c r="A604" s="9"/>
    </row>
    <row r="605" spans="1:1" customFormat="1" ht="15.75" customHeight="1">
      <c r="A605" s="9"/>
    </row>
    <row r="606" spans="1:1" customFormat="1" ht="15.75" customHeight="1">
      <c r="A606" s="9"/>
    </row>
    <row r="607" spans="1:1" customFormat="1" ht="15.75" customHeight="1">
      <c r="A607" s="9"/>
    </row>
    <row r="608" spans="1:1" customFormat="1" ht="15.75" customHeight="1">
      <c r="A608" s="9"/>
    </row>
    <row r="609" spans="1:1" customFormat="1" ht="15.75" customHeight="1">
      <c r="A609" s="9"/>
    </row>
    <row r="610" spans="1:1" customFormat="1" ht="15.75" customHeight="1">
      <c r="A610" s="9"/>
    </row>
    <row r="611" spans="1:1" customFormat="1" ht="15.75" customHeight="1">
      <c r="A611" s="9"/>
    </row>
    <row r="612" spans="1:1" customFormat="1" ht="15.75" customHeight="1">
      <c r="A612" s="9"/>
    </row>
    <row r="613" spans="1:1" customFormat="1" ht="15.75" customHeight="1">
      <c r="A613" s="9"/>
    </row>
    <row r="614" spans="1:1" customFormat="1" ht="15.75" customHeight="1">
      <c r="A614" s="9"/>
    </row>
    <row r="615" spans="1:1" customFormat="1" ht="15.75" customHeight="1">
      <c r="A615" s="9"/>
    </row>
    <row r="616" spans="1:1" customFormat="1" ht="15.75" customHeight="1">
      <c r="A616" s="9"/>
    </row>
    <row r="617" spans="1:1" customFormat="1" ht="15.75" customHeight="1">
      <c r="A617" s="9"/>
    </row>
    <row r="618" spans="1:1" customFormat="1" ht="15.75" customHeight="1">
      <c r="A618" s="9"/>
    </row>
    <row r="619" spans="1:1" customFormat="1" ht="15.75" customHeight="1">
      <c r="A619" s="9"/>
    </row>
    <row r="620" spans="1:1" customFormat="1" ht="15.75" customHeight="1">
      <c r="A620" s="9"/>
    </row>
    <row r="621" spans="1:1" customFormat="1" ht="15.75" customHeight="1">
      <c r="A621" s="9"/>
    </row>
    <row r="622" spans="1:1" customFormat="1" ht="15.75" customHeight="1">
      <c r="A622" s="9"/>
    </row>
    <row r="623" spans="1:1" customFormat="1" ht="15.75" customHeight="1">
      <c r="A623" s="9"/>
    </row>
    <row r="624" spans="1:1" customFormat="1" ht="15.75" customHeight="1">
      <c r="A624" s="9"/>
    </row>
    <row r="625" spans="1:1" customFormat="1" ht="15.75" customHeight="1">
      <c r="A625" s="9"/>
    </row>
    <row r="626" spans="1:1" customFormat="1" ht="15.75" customHeight="1">
      <c r="A626" s="9"/>
    </row>
    <row r="627" spans="1:1" customFormat="1" ht="15.75" customHeight="1">
      <c r="A627" s="9"/>
    </row>
    <row r="628" spans="1:1" customFormat="1" ht="15.75" customHeight="1">
      <c r="A628" s="9"/>
    </row>
    <row r="629" spans="1:1" customFormat="1" ht="15.75" customHeight="1">
      <c r="A629" s="9"/>
    </row>
    <row r="630" spans="1:1" customFormat="1" ht="15.75" customHeight="1">
      <c r="A630" s="9"/>
    </row>
    <row r="631" spans="1:1" customFormat="1" ht="15.75" customHeight="1">
      <c r="A631" s="9"/>
    </row>
    <row r="632" spans="1:1" customFormat="1" ht="15.75" customHeight="1">
      <c r="A632" s="9"/>
    </row>
    <row r="633" spans="1:1" customFormat="1" ht="15.75" customHeight="1">
      <c r="A633" s="9"/>
    </row>
    <row r="634" spans="1:1" customFormat="1" ht="15.75" customHeight="1">
      <c r="A634" s="9"/>
    </row>
    <row r="635" spans="1:1" customFormat="1" ht="15.75" customHeight="1">
      <c r="A635" s="9"/>
    </row>
    <row r="636" spans="1:1" customFormat="1" ht="15.75" customHeight="1">
      <c r="A636" s="9"/>
    </row>
    <row r="637" spans="1:1" customFormat="1" ht="15.75" customHeight="1">
      <c r="A637" s="9"/>
    </row>
    <row r="638" spans="1:1" customFormat="1" ht="15.75" customHeight="1">
      <c r="A638" s="9"/>
    </row>
    <row r="639" spans="1:1" customFormat="1" ht="15.75" customHeight="1">
      <c r="A639" s="9"/>
    </row>
    <row r="640" spans="1:1" customFormat="1" ht="15.75" customHeight="1">
      <c r="A640" s="9"/>
    </row>
    <row r="641" spans="1:1" customFormat="1" ht="15.75" customHeight="1">
      <c r="A641" s="9"/>
    </row>
    <row r="642" spans="1:1" customFormat="1" ht="15.75" customHeight="1">
      <c r="A642" s="9"/>
    </row>
    <row r="643" spans="1:1" customFormat="1" ht="15.75" customHeight="1">
      <c r="A643" s="9"/>
    </row>
    <row r="644" spans="1:1" customFormat="1" ht="15.75" customHeight="1">
      <c r="A644" s="9"/>
    </row>
    <row r="645" spans="1:1" customFormat="1" ht="15.75" customHeight="1">
      <c r="A645" s="9"/>
    </row>
    <row r="646" spans="1:1" customFormat="1" ht="15.75" customHeight="1">
      <c r="A646" s="9"/>
    </row>
    <row r="647" spans="1:1" customFormat="1" ht="15.75" customHeight="1">
      <c r="A647" s="9"/>
    </row>
    <row r="648" spans="1:1" customFormat="1" ht="15.75" customHeight="1">
      <c r="A648" s="9"/>
    </row>
    <row r="649" spans="1:1" customFormat="1" ht="15.75" customHeight="1">
      <c r="A649" s="9"/>
    </row>
    <row r="650" spans="1:1" customFormat="1" ht="15.75" customHeight="1">
      <c r="A650" s="9"/>
    </row>
    <row r="651" spans="1:1" customFormat="1" ht="15.75" customHeight="1">
      <c r="A651" s="9"/>
    </row>
    <row r="652" spans="1:1" customFormat="1" ht="15.75" customHeight="1">
      <c r="A652" s="9"/>
    </row>
    <row r="653" spans="1:1" customFormat="1" ht="15.75" customHeight="1">
      <c r="A653" s="9"/>
    </row>
    <row r="654" spans="1:1" customFormat="1" ht="15.75" customHeight="1">
      <c r="A654" s="9"/>
    </row>
    <row r="655" spans="1:1" customFormat="1" ht="15.75" customHeight="1">
      <c r="A655" s="9"/>
    </row>
    <row r="656" spans="1:1" customFormat="1" ht="15.75" customHeight="1">
      <c r="A656" s="9"/>
    </row>
    <row r="657" spans="1:1" customFormat="1" ht="15.75" customHeight="1">
      <c r="A657" s="9"/>
    </row>
    <row r="658" spans="1:1" customFormat="1" ht="15.75" customHeight="1">
      <c r="A658" s="9"/>
    </row>
    <row r="659" spans="1:1" customFormat="1" ht="15.75" customHeight="1">
      <c r="A659" s="9"/>
    </row>
    <row r="660" spans="1:1" customFormat="1" ht="15.75" customHeight="1">
      <c r="A660" s="9"/>
    </row>
    <row r="661" spans="1:1" customFormat="1" ht="15.75" customHeight="1">
      <c r="A661" s="9"/>
    </row>
    <row r="662" spans="1:1" customFormat="1" ht="15.75" customHeight="1">
      <c r="A662" s="9"/>
    </row>
    <row r="663" spans="1:1" customFormat="1" ht="15.75" customHeight="1">
      <c r="A663" s="9"/>
    </row>
    <row r="664" spans="1:1" customFormat="1" ht="15.75" customHeight="1">
      <c r="A664" s="9"/>
    </row>
    <row r="665" spans="1:1" customFormat="1" ht="15.75" customHeight="1">
      <c r="A665" s="9"/>
    </row>
    <row r="666" spans="1:1" customFormat="1" ht="15.75" customHeight="1">
      <c r="A666" s="9"/>
    </row>
    <row r="667" spans="1:1" customFormat="1" ht="15.75" customHeight="1">
      <c r="A667" s="9"/>
    </row>
    <row r="668" spans="1:1" customFormat="1" ht="15.75" customHeight="1">
      <c r="A668" s="9"/>
    </row>
    <row r="669" spans="1:1" customFormat="1" ht="15.75" customHeight="1">
      <c r="A669" s="9"/>
    </row>
    <row r="670" spans="1:1" customFormat="1" ht="15.75" customHeight="1">
      <c r="A670" s="9"/>
    </row>
    <row r="671" spans="1:1" customFormat="1" ht="15.75" customHeight="1">
      <c r="A671" s="9"/>
    </row>
    <row r="672" spans="1:1" customFormat="1" ht="15.75" customHeight="1">
      <c r="A672" s="9"/>
    </row>
    <row r="673" spans="1:1" customFormat="1" ht="15.75" customHeight="1">
      <c r="A673" s="9"/>
    </row>
    <row r="674" spans="1:1" customFormat="1" ht="15.75" customHeight="1">
      <c r="A674" s="9"/>
    </row>
    <row r="675" spans="1:1" customFormat="1" ht="15.75" customHeight="1">
      <c r="A675" s="9"/>
    </row>
    <row r="676" spans="1:1" customFormat="1" ht="15.75" customHeight="1">
      <c r="A676" s="9"/>
    </row>
    <row r="677" spans="1:1" customFormat="1" ht="15.75" customHeight="1">
      <c r="A677" s="9"/>
    </row>
    <row r="678" spans="1:1" customFormat="1" ht="15.75" customHeight="1">
      <c r="A678" s="9"/>
    </row>
    <row r="679" spans="1:1" customFormat="1" ht="15.75" customHeight="1">
      <c r="A679" s="9"/>
    </row>
    <row r="680" spans="1:1" customFormat="1" ht="15.75" customHeight="1">
      <c r="A680" s="9"/>
    </row>
    <row r="681" spans="1:1" customFormat="1" ht="15.75" customHeight="1">
      <c r="A681" s="9"/>
    </row>
    <row r="682" spans="1:1" customFormat="1" ht="15.75" customHeight="1">
      <c r="A682" s="9"/>
    </row>
    <row r="683" spans="1:1" customFormat="1" ht="15.75" customHeight="1">
      <c r="A683" s="9"/>
    </row>
    <row r="684" spans="1:1" customFormat="1" ht="15.75" customHeight="1">
      <c r="A684" s="9"/>
    </row>
    <row r="685" spans="1:1" customFormat="1" ht="15.75" customHeight="1">
      <c r="A685" s="9"/>
    </row>
    <row r="686" spans="1:1" customFormat="1" ht="15.75" customHeight="1">
      <c r="A686" s="9"/>
    </row>
    <row r="687" spans="1:1" customFormat="1" ht="15.75" customHeight="1">
      <c r="A687" s="9"/>
    </row>
    <row r="688" spans="1:1" customFormat="1" ht="15.75" customHeight="1">
      <c r="A688" s="9"/>
    </row>
    <row r="689" spans="1:1" customFormat="1" ht="15.75" customHeight="1">
      <c r="A689" s="9"/>
    </row>
    <row r="690" spans="1:1" customFormat="1" ht="15.75" customHeight="1">
      <c r="A690" s="9"/>
    </row>
    <row r="691" spans="1:1" customFormat="1" ht="15.75" customHeight="1">
      <c r="A691" s="9"/>
    </row>
    <row r="692" spans="1:1" customFormat="1" ht="15.75" customHeight="1">
      <c r="A692" s="9"/>
    </row>
    <row r="693" spans="1:1" customFormat="1" ht="15.75" customHeight="1">
      <c r="A693" s="9"/>
    </row>
    <row r="694" spans="1:1" customFormat="1" ht="15.75" customHeight="1">
      <c r="A694" s="9"/>
    </row>
    <row r="695" spans="1:1" customFormat="1" ht="15.75" customHeight="1">
      <c r="A695" s="9"/>
    </row>
    <row r="696" spans="1:1" customFormat="1" ht="15.75" customHeight="1">
      <c r="A696" s="9"/>
    </row>
    <row r="697" spans="1:1" customFormat="1" ht="15.75" customHeight="1">
      <c r="A697" s="9"/>
    </row>
    <row r="698" spans="1:1" customFormat="1" ht="15.75" customHeight="1">
      <c r="A698" s="9"/>
    </row>
    <row r="699" spans="1:1" customFormat="1" ht="15.75" customHeight="1">
      <c r="A699" s="9"/>
    </row>
    <row r="700" spans="1:1" customFormat="1" ht="15.75" customHeight="1">
      <c r="A700" s="9"/>
    </row>
    <row r="701" spans="1:1" customFormat="1" ht="15.75" customHeight="1">
      <c r="A701" s="9"/>
    </row>
    <row r="702" spans="1:1" customFormat="1" ht="15.75" customHeight="1">
      <c r="A702" s="9"/>
    </row>
    <row r="703" spans="1:1" customFormat="1" ht="15.75" customHeight="1">
      <c r="A703" s="9"/>
    </row>
    <row r="704" spans="1:1" customFormat="1" ht="15.75" customHeight="1">
      <c r="A704" s="9"/>
    </row>
    <row r="705" spans="1:1" customFormat="1" ht="15.75" customHeight="1">
      <c r="A705" s="9"/>
    </row>
    <row r="706" spans="1:1" customFormat="1" ht="15.75" customHeight="1">
      <c r="A706" s="9"/>
    </row>
    <row r="707" spans="1:1" customFormat="1" ht="15.75" customHeight="1">
      <c r="A707" s="9"/>
    </row>
    <row r="708" spans="1:1" customFormat="1" ht="15.75" customHeight="1">
      <c r="A708" s="9"/>
    </row>
    <row r="709" spans="1:1" customFormat="1" ht="15.75" customHeight="1">
      <c r="A709" s="9"/>
    </row>
    <row r="710" spans="1:1" customFormat="1" ht="15.75" customHeight="1">
      <c r="A710" s="9"/>
    </row>
    <row r="711" spans="1:1" customFormat="1" ht="15.75" customHeight="1">
      <c r="A711" s="9"/>
    </row>
    <row r="712" spans="1:1" customFormat="1" ht="15.75" customHeight="1">
      <c r="A712" s="9"/>
    </row>
    <row r="713" spans="1:1" customFormat="1" ht="15.75" customHeight="1">
      <c r="A713" s="9"/>
    </row>
    <row r="714" spans="1:1" customFormat="1" ht="15.75" customHeight="1">
      <c r="A714" s="9"/>
    </row>
    <row r="715" spans="1:1" customFormat="1" ht="15.75" customHeight="1">
      <c r="A715" s="9"/>
    </row>
    <row r="716" spans="1:1" customFormat="1" ht="15.75" customHeight="1">
      <c r="A716" s="9"/>
    </row>
    <row r="717" spans="1:1" customFormat="1" ht="15.75" customHeight="1">
      <c r="A717" s="9"/>
    </row>
    <row r="718" spans="1:1" customFormat="1" ht="15.75" customHeight="1">
      <c r="A718" s="9"/>
    </row>
    <row r="719" spans="1:1" customFormat="1" ht="15.75" customHeight="1">
      <c r="A719" s="9"/>
    </row>
    <row r="720" spans="1:1" customFormat="1" ht="15.75" customHeight="1">
      <c r="A720" s="9"/>
    </row>
    <row r="721" spans="1:1" customFormat="1" ht="15.75" customHeight="1">
      <c r="A721" s="9"/>
    </row>
    <row r="722" spans="1:1" customFormat="1" ht="15.75" customHeight="1">
      <c r="A722" s="9"/>
    </row>
    <row r="723" spans="1:1" customFormat="1" ht="15.75" customHeight="1">
      <c r="A723" s="9"/>
    </row>
    <row r="724" spans="1:1" customFormat="1" ht="15.75" customHeight="1">
      <c r="A724" s="9"/>
    </row>
    <row r="725" spans="1:1" customFormat="1" ht="15.75" customHeight="1">
      <c r="A725" s="9"/>
    </row>
    <row r="726" spans="1:1" customFormat="1" ht="15.75" customHeight="1">
      <c r="A726" s="9"/>
    </row>
    <row r="727" spans="1:1" customFormat="1" ht="15.75" customHeight="1">
      <c r="A727" s="9"/>
    </row>
    <row r="728" spans="1:1" customFormat="1" ht="15.75" customHeight="1">
      <c r="A728" s="9"/>
    </row>
    <row r="729" spans="1:1" customFormat="1" ht="15.75" customHeight="1">
      <c r="A729" s="9"/>
    </row>
    <row r="730" spans="1:1" customFormat="1" ht="15.75" customHeight="1">
      <c r="A730" s="9"/>
    </row>
    <row r="731" spans="1:1" customFormat="1" ht="15.75" customHeight="1">
      <c r="A731" s="9"/>
    </row>
    <row r="732" spans="1:1" customFormat="1" ht="15.75" customHeight="1">
      <c r="A732" s="9"/>
    </row>
    <row r="733" spans="1:1" customFormat="1" ht="15.75" customHeight="1">
      <c r="A733" s="9"/>
    </row>
    <row r="734" spans="1:1" customFormat="1" ht="15.75" customHeight="1">
      <c r="A734" s="9"/>
    </row>
    <row r="735" spans="1:1" customFormat="1" ht="15.75" customHeight="1">
      <c r="A735" s="9"/>
    </row>
    <row r="736" spans="1:1" customFormat="1" ht="15.75" customHeight="1">
      <c r="A736" s="9"/>
    </row>
    <row r="737" spans="1:1" customFormat="1" ht="15.75" customHeight="1">
      <c r="A737" s="9"/>
    </row>
    <row r="738" spans="1:1" customFormat="1" ht="15.75" customHeight="1">
      <c r="A738" s="9"/>
    </row>
    <row r="739" spans="1:1" customFormat="1" ht="15.75" customHeight="1">
      <c r="A739" s="9"/>
    </row>
    <row r="740" spans="1:1" customFormat="1" ht="15.75" customHeight="1">
      <c r="A740" s="9"/>
    </row>
    <row r="741" spans="1:1" customFormat="1" ht="15.75" customHeight="1">
      <c r="A741" s="9"/>
    </row>
    <row r="742" spans="1:1" customFormat="1" ht="15.75" customHeight="1">
      <c r="A742" s="9"/>
    </row>
    <row r="743" spans="1:1" customFormat="1" ht="15.75" customHeight="1">
      <c r="A743" s="9"/>
    </row>
    <row r="744" spans="1:1" customFormat="1" ht="15.75" customHeight="1">
      <c r="A744" s="9"/>
    </row>
    <row r="745" spans="1:1" customFormat="1" ht="15.75" customHeight="1">
      <c r="A745" s="9"/>
    </row>
    <row r="746" spans="1:1" customFormat="1" ht="15.75" customHeight="1">
      <c r="A746" s="9"/>
    </row>
    <row r="747" spans="1:1" customFormat="1" ht="15.75" customHeight="1">
      <c r="A747" s="9"/>
    </row>
    <row r="748" spans="1:1" customFormat="1" ht="15.75" customHeight="1">
      <c r="A748" s="9"/>
    </row>
    <row r="749" spans="1:1" customFormat="1" ht="15.75" customHeight="1">
      <c r="A749" s="9"/>
    </row>
    <row r="750" spans="1:1" customFormat="1" ht="15.75" customHeight="1">
      <c r="A750" s="9"/>
    </row>
    <row r="751" spans="1:1" customFormat="1" ht="15.75" customHeight="1">
      <c r="A751" s="9"/>
    </row>
    <row r="752" spans="1:1" customFormat="1" ht="15.75" customHeight="1">
      <c r="A752" s="9"/>
    </row>
    <row r="753" spans="1:1" customFormat="1" ht="15.75" customHeight="1">
      <c r="A753" s="9"/>
    </row>
    <row r="754" spans="1:1" customFormat="1" ht="15.75" customHeight="1">
      <c r="A754" s="9"/>
    </row>
    <row r="755" spans="1:1" customFormat="1" ht="15.75" customHeight="1">
      <c r="A755" s="9"/>
    </row>
    <row r="756" spans="1:1" customFormat="1" ht="15.75" customHeight="1">
      <c r="A756" s="9"/>
    </row>
    <row r="757" spans="1:1" customFormat="1" ht="15.75" customHeight="1">
      <c r="A757" s="9"/>
    </row>
    <row r="758" spans="1:1" customFormat="1" ht="15.75" customHeight="1">
      <c r="A758" s="9"/>
    </row>
    <row r="759" spans="1:1" customFormat="1" ht="15.75" customHeight="1">
      <c r="A759" s="9"/>
    </row>
    <row r="760" spans="1:1" customFormat="1" ht="15.75" customHeight="1">
      <c r="A760" s="9"/>
    </row>
    <row r="761" spans="1:1" customFormat="1" ht="15.75" customHeight="1">
      <c r="A761" s="9"/>
    </row>
    <row r="762" spans="1:1" customFormat="1" ht="15.75" customHeight="1">
      <c r="A762" s="9"/>
    </row>
    <row r="763" spans="1:1" customFormat="1" ht="15.75" customHeight="1">
      <c r="A763" s="9"/>
    </row>
    <row r="764" spans="1:1" customFormat="1" ht="15.75" customHeight="1">
      <c r="A764" s="9"/>
    </row>
    <row r="765" spans="1:1" customFormat="1" ht="15.75" customHeight="1">
      <c r="A765" s="9"/>
    </row>
    <row r="766" spans="1:1" customFormat="1" ht="15.75" customHeight="1">
      <c r="A766" s="9"/>
    </row>
    <row r="767" spans="1:1" customFormat="1" ht="15.75" customHeight="1">
      <c r="A767" s="9"/>
    </row>
    <row r="768" spans="1:1" customFormat="1" ht="15.75" customHeight="1">
      <c r="A768" s="9"/>
    </row>
    <row r="769" spans="1:1" customFormat="1" ht="15.75" customHeight="1">
      <c r="A769" s="9"/>
    </row>
    <row r="770" spans="1:1" customFormat="1" ht="15.75" customHeight="1">
      <c r="A770" s="9"/>
    </row>
    <row r="771" spans="1:1" customFormat="1" ht="15.75" customHeight="1">
      <c r="A771" s="9"/>
    </row>
    <row r="772" spans="1:1" customFormat="1" ht="15.75" customHeight="1">
      <c r="A772" s="9"/>
    </row>
    <row r="773" spans="1:1" customFormat="1" ht="15.75" customHeight="1">
      <c r="A773" s="9"/>
    </row>
    <row r="774" spans="1:1" customFormat="1" ht="15.75" customHeight="1">
      <c r="A774" s="9"/>
    </row>
    <row r="775" spans="1:1" customFormat="1" ht="15.75" customHeight="1">
      <c r="A775" s="9"/>
    </row>
    <row r="776" spans="1:1" customFormat="1" ht="15.75" customHeight="1">
      <c r="A776" s="9"/>
    </row>
    <row r="777" spans="1:1" customFormat="1" ht="15.75" customHeight="1">
      <c r="A777" s="9"/>
    </row>
    <row r="778" spans="1:1" customFormat="1" ht="15.75" customHeight="1">
      <c r="A778" s="9"/>
    </row>
    <row r="779" spans="1:1" customFormat="1" ht="15.75" customHeight="1">
      <c r="A779" s="9"/>
    </row>
    <row r="780" spans="1:1" customFormat="1" ht="15.75" customHeight="1">
      <c r="A780" s="9"/>
    </row>
    <row r="781" spans="1:1" customFormat="1" ht="15.75" customHeight="1">
      <c r="A781" s="9"/>
    </row>
    <row r="782" spans="1:1" customFormat="1" ht="15.75" customHeight="1">
      <c r="A782" s="9"/>
    </row>
    <row r="783" spans="1:1" customFormat="1" ht="15.75" customHeight="1">
      <c r="A783" s="9"/>
    </row>
    <row r="784" spans="1:1" customFormat="1" ht="15.75" customHeight="1">
      <c r="A784" s="9"/>
    </row>
    <row r="785" spans="1:1" customFormat="1" ht="15.75" customHeight="1">
      <c r="A785" s="9"/>
    </row>
    <row r="786" spans="1:1" customFormat="1" ht="15.75" customHeight="1">
      <c r="A786" s="9"/>
    </row>
    <row r="787" spans="1:1" customFormat="1" ht="15.75" customHeight="1">
      <c r="A787" s="9"/>
    </row>
    <row r="788" spans="1:1" customFormat="1" ht="15.75" customHeight="1">
      <c r="A788" s="9"/>
    </row>
    <row r="789" spans="1:1" customFormat="1" ht="15.75" customHeight="1">
      <c r="A789" s="9"/>
    </row>
    <row r="790" spans="1:1" customFormat="1" ht="15.75" customHeight="1">
      <c r="A790" s="9"/>
    </row>
    <row r="791" spans="1:1" customFormat="1" ht="15.75" customHeight="1">
      <c r="A791" s="9"/>
    </row>
    <row r="792" spans="1:1" customFormat="1" ht="15.75" customHeight="1">
      <c r="A792" s="9"/>
    </row>
    <row r="793" spans="1:1" customFormat="1" ht="15.75" customHeight="1">
      <c r="A793" s="9"/>
    </row>
    <row r="794" spans="1:1" customFormat="1" ht="15.75" customHeight="1">
      <c r="A794" s="9"/>
    </row>
    <row r="795" spans="1:1" customFormat="1" ht="15.75" customHeight="1">
      <c r="A795" s="9"/>
    </row>
    <row r="796" spans="1:1" customFormat="1" ht="15.75" customHeight="1">
      <c r="A796" s="9"/>
    </row>
    <row r="797" spans="1:1" customFormat="1" ht="15.75" customHeight="1">
      <c r="A797" s="9"/>
    </row>
    <row r="798" spans="1:1" customFormat="1" ht="15.75" customHeight="1">
      <c r="A798" s="9"/>
    </row>
    <row r="799" spans="1:1" customFormat="1" ht="15.75" customHeight="1">
      <c r="A799" s="9"/>
    </row>
    <row r="800" spans="1:1" customFormat="1" ht="15.75" customHeight="1">
      <c r="A800" s="9"/>
    </row>
    <row r="801" spans="1:1" customFormat="1" ht="15.75" customHeight="1">
      <c r="A801" s="9"/>
    </row>
    <row r="802" spans="1:1" customFormat="1" ht="15.75" customHeight="1">
      <c r="A802" s="9"/>
    </row>
    <row r="803" spans="1:1" customFormat="1" ht="15.75" customHeight="1">
      <c r="A803" s="9"/>
    </row>
    <row r="804" spans="1:1" customFormat="1" ht="15.75" customHeight="1">
      <c r="A804" s="9"/>
    </row>
    <row r="805" spans="1:1" customFormat="1" ht="15.75" customHeight="1">
      <c r="A805" s="9"/>
    </row>
    <row r="806" spans="1:1" customFormat="1" ht="15.75" customHeight="1">
      <c r="A806" s="9"/>
    </row>
    <row r="807" spans="1:1" customFormat="1" ht="15.75" customHeight="1">
      <c r="A807" s="9"/>
    </row>
    <row r="808" spans="1:1" customFormat="1" ht="15.75" customHeight="1">
      <c r="A808" s="9"/>
    </row>
    <row r="809" spans="1:1" customFormat="1" ht="15.75" customHeight="1">
      <c r="A809" s="9"/>
    </row>
    <row r="810" spans="1:1" customFormat="1" ht="15.75" customHeight="1">
      <c r="A810" s="9"/>
    </row>
    <row r="811" spans="1:1" customFormat="1" ht="15.75" customHeight="1">
      <c r="A811" s="9"/>
    </row>
    <row r="812" spans="1:1" customFormat="1" ht="15.75" customHeight="1">
      <c r="A812" s="9"/>
    </row>
    <row r="813" spans="1:1" customFormat="1" ht="15.75" customHeight="1">
      <c r="A813" s="9"/>
    </row>
    <row r="814" spans="1:1" customFormat="1" ht="15.75" customHeight="1">
      <c r="A814" s="9"/>
    </row>
    <row r="815" spans="1:1" customFormat="1" ht="15.75" customHeight="1">
      <c r="A815" s="9"/>
    </row>
    <row r="816" spans="1:1" customFormat="1" ht="15.75" customHeight="1">
      <c r="A816" s="9"/>
    </row>
    <row r="817" spans="1:1" customFormat="1" ht="15.75" customHeight="1">
      <c r="A817" s="9"/>
    </row>
    <row r="818" spans="1:1" customFormat="1" ht="15.75" customHeight="1">
      <c r="A818" s="9"/>
    </row>
    <row r="819" spans="1:1" customFormat="1" ht="15.75" customHeight="1">
      <c r="A819" s="9"/>
    </row>
    <row r="820" spans="1:1" customFormat="1" ht="15.75" customHeight="1">
      <c r="A820" s="9"/>
    </row>
    <row r="821" spans="1:1" customFormat="1" ht="15.75" customHeight="1">
      <c r="A821" s="9"/>
    </row>
    <row r="822" spans="1:1" customFormat="1" ht="15.75" customHeight="1">
      <c r="A822" s="9"/>
    </row>
    <row r="823" spans="1:1" customFormat="1" ht="15.75" customHeight="1">
      <c r="A823" s="9"/>
    </row>
    <row r="824" spans="1:1" customFormat="1" ht="15.75" customHeight="1">
      <c r="A824" s="9"/>
    </row>
    <row r="825" spans="1:1" customFormat="1" ht="15.75" customHeight="1">
      <c r="A825" s="9"/>
    </row>
    <row r="826" spans="1:1" customFormat="1" ht="15.75" customHeight="1">
      <c r="A826" s="9"/>
    </row>
    <row r="827" spans="1:1" customFormat="1" ht="15.75" customHeight="1">
      <c r="A827" s="9"/>
    </row>
    <row r="828" spans="1:1" customFormat="1" ht="15.75" customHeight="1">
      <c r="A828" s="9"/>
    </row>
    <row r="829" spans="1:1" customFormat="1" ht="15.75" customHeight="1">
      <c r="A829" s="9"/>
    </row>
    <row r="830" spans="1:1" customFormat="1" ht="15.75" customHeight="1">
      <c r="A830" s="9"/>
    </row>
    <row r="831" spans="1:1" customFormat="1" ht="15.75" customHeight="1">
      <c r="A831" s="9"/>
    </row>
    <row r="832" spans="1:1" customFormat="1" ht="15.75" customHeight="1">
      <c r="A832" s="9"/>
    </row>
    <row r="833" spans="1:1" customFormat="1" ht="15.75" customHeight="1">
      <c r="A833" s="9"/>
    </row>
    <row r="834" spans="1:1" customFormat="1" ht="15.75" customHeight="1">
      <c r="A834" s="9"/>
    </row>
    <row r="835" spans="1:1" customFormat="1" ht="15.75" customHeight="1">
      <c r="A835" s="9"/>
    </row>
    <row r="836" spans="1:1" customFormat="1" ht="15.75" customHeight="1">
      <c r="A836" s="9"/>
    </row>
    <row r="837" spans="1:1" customFormat="1" ht="15.75" customHeight="1">
      <c r="A837" s="9"/>
    </row>
    <row r="838" spans="1:1" customFormat="1" ht="15.75" customHeight="1">
      <c r="A838" s="9"/>
    </row>
    <row r="839" spans="1:1" customFormat="1" ht="15.75" customHeight="1">
      <c r="A839" s="9"/>
    </row>
    <row r="840" spans="1:1" customFormat="1" ht="15.75" customHeight="1">
      <c r="A840" s="9"/>
    </row>
    <row r="841" spans="1:1" customFormat="1" ht="15.75" customHeight="1">
      <c r="A841" s="9"/>
    </row>
    <row r="842" spans="1:1" customFormat="1" ht="15.75" customHeight="1">
      <c r="A842" s="9"/>
    </row>
    <row r="843" spans="1:1" customFormat="1" ht="15.75" customHeight="1">
      <c r="A843" s="9"/>
    </row>
    <row r="844" spans="1:1" customFormat="1" ht="15.75" customHeight="1">
      <c r="A844" s="9"/>
    </row>
    <row r="845" spans="1:1" customFormat="1" ht="15.75" customHeight="1">
      <c r="A845" s="9"/>
    </row>
    <row r="846" spans="1:1" customFormat="1" ht="15.75" customHeight="1">
      <c r="A846" s="9"/>
    </row>
    <row r="847" spans="1:1" customFormat="1" ht="15.75" customHeight="1">
      <c r="A847" s="9"/>
    </row>
    <row r="848" spans="1:1" customFormat="1" ht="15.75" customHeight="1">
      <c r="A848" s="9"/>
    </row>
    <row r="849" spans="1:1" customFormat="1" ht="15.75" customHeight="1">
      <c r="A849" s="9"/>
    </row>
    <row r="850" spans="1:1" customFormat="1" ht="15.75" customHeight="1">
      <c r="A850" s="9"/>
    </row>
    <row r="851" spans="1:1" customFormat="1" ht="15.75" customHeight="1">
      <c r="A851" s="9"/>
    </row>
    <row r="852" spans="1:1" customFormat="1" ht="15.75" customHeight="1">
      <c r="A852" s="9"/>
    </row>
    <row r="853" spans="1:1" customFormat="1" ht="15.75" customHeight="1">
      <c r="A853" s="9"/>
    </row>
    <row r="854" spans="1:1" customFormat="1" ht="15.75" customHeight="1">
      <c r="A854" s="9"/>
    </row>
    <row r="855" spans="1:1" customFormat="1" ht="15.75" customHeight="1">
      <c r="A855" s="9"/>
    </row>
    <row r="856" spans="1:1" customFormat="1" ht="15.75" customHeight="1">
      <c r="A856" s="9"/>
    </row>
    <row r="857" spans="1:1" customFormat="1" ht="15.75" customHeight="1">
      <c r="A857" s="9"/>
    </row>
    <row r="858" spans="1:1" customFormat="1" ht="15.75" customHeight="1">
      <c r="A858" s="9"/>
    </row>
    <row r="859" spans="1:1" customFormat="1" ht="15.75" customHeight="1">
      <c r="A859" s="9"/>
    </row>
    <row r="860" spans="1:1" customFormat="1" ht="15.75" customHeight="1">
      <c r="A860" s="9"/>
    </row>
    <row r="861" spans="1:1" customFormat="1" ht="15.75" customHeight="1">
      <c r="A861" s="9"/>
    </row>
    <row r="862" spans="1:1" customFormat="1" ht="15.75" customHeight="1">
      <c r="A862" s="9"/>
    </row>
    <row r="863" spans="1:1" customFormat="1" ht="15.75" customHeight="1">
      <c r="A863" s="9"/>
    </row>
    <row r="864" spans="1:1" customFormat="1" ht="15.75" customHeight="1">
      <c r="A864" s="9"/>
    </row>
    <row r="865" spans="1:1" customFormat="1" ht="15.75" customHeight="1">
      <c r="A865" s="9"/>
    </row>
    <row r="866" spans="1:1" customFormat="1" ht="15.75" customHeight="1">
      <c r="A866" s="9"/>
    </row>
    <row r="867" spans="1:1" customFormat="1" ht="15.75" customHeight="1">
      <c r="A867" s="9"/>
    </row>
    <row r="868" spans="1:1" customFormat="1" ht="15.75" customHeight="1">
      <c r="A868" s="9"/>
    </row>
    <row r="869" spans="1:1" customFormat="1" ht="15.75" customHeight="1">
      <c r="A869" s="9"/>
    </row>
    <row r="870" spans="1:1" customFormat="1" ht="15.75" customHeight="1">
      <c r="A870" s="9"/>
    </row>
    <row r="871" spans="1:1" customFormat="1" ht="15.75" customHeight="1">
      <c r="A871" s="9"/>
    </row>
    <row r="872" spans="1:1" customFormat="1" ht="15.75" customHeight="1">
      <c r="A872" s="9"/>
    </row>
    <row r="873" spans="1:1" customFormat="1" ht="15.75" customHeight="1">
      <c r="A873" s="9"/>
    </row>
    <row r="874" spans="1:1" customFormat="1" ht="15.75" customHeight="1">
      <c r="A874" s="9"/>
    </row>
    <row r="875" spans="1:1" customFormat="1" ht="15.75" customHeight="1">
      <c r="A875" s="9"/>
    </row>
    <row r="876" spans="1:1" customFormat="1" ht="15.75" customHeight="1">
      <c r="A876" s="9"/>
    </row>
    <row r="877" spans="1:1" customFormat="1" ht="15.75" customHeight="1">
      <c r="A877" s="9"/>
    </row>
    <row r="878" spans="1:1" customFormat="1" ht="15.75" customHeight="1">
      <c r="A878" s="9"/>
    </row>
    <row r="879" spans="1:1" customFormat="1" ht="15.75" customHeight="1">
      <c r="A879" s="9"/>
    </row>
    <row r="880" spans="1:1" customFormat="1" ht="15.75" customHeight="1">
      <c r="A880" s="9"/>
    </row>
    <row r="881" spans="1:1" customFormat="1" ht="15.75" customHeight="1">
      <c r="A881" s="9"/>
    </row>
    <row r="882" spans="1:1" customFormat="1" ht="15.75" customHeight="1">
      <c r="A882" s="9"/>
    </row>
    <row r="883" spans="1:1" customFormat="1" ht="15.75" customHeight="1">
      <c r="A883" s="9"/>
    </row>
    <row r="884" spans="1:1" customFormat="1" ht="15.75" customHeight="1">
      <c r="A884" s="9"/>
    </row>
    <row r="885" spans="1:1" customFormat="1" ht="15.75" customHeight="1">
      <c r="A885" s="9"/>
    </row>
    <row r="886" spans="1:1" customFormat="1" ht="15.75" customHeight="1">
      <c r="A886" s="9"/>
    </row>
    <row r="887" spans="1:1" customFormat="1" ht="15.75" customHeight="1">
      <c r="A887" s="9"/>
    </row>
    <row r="888" spans="1:1" customFormat="1" ht="15.75" customHeight="1">
      <c r="A888" s="9"/>
    </row>
    <row r="889" spans="1:1" customFormat="1" ht="15.75" customHeight="1">
      <c r="A889" s="9"/>
    </row>
    <row r="890" spans="1:1" customFormat="1" ht="15.75" customHeight="1">
      <c r="A890" s="9"/>
    </row>
    <row r="891" spans="1:1" customFormat="1" ht="15.75" customHeight="1">
      <c r="A891" s="9"/>
    </row>
    <row r="892" spans="1:1" customFormat="1" ht="15.75" customHeight="1">
      <c r="A892" s="9"/>
    </row>
    <row r="893" spans="1:1" customFormat="1" ht="15.75" customHeight="1">
      <c r="A893" s="9"/>
    </row>
    <row r="894" spans="1:1" customFormat="1" ht="15.75" customHeight="1">
      <c r="A894" s="9"/>
    </row>
    <row r="895" spans="1:1" customFormat="1" ht="15.75" customHeight="1">
      <c r="A895" s="9"/>
    </row>
    <row r="896" spans="1:1" customFormat="1" ht="15.75" customHeight="1">
      <c r="A896" s="9"/>
    </row>
    <row r="897" spans="1:1" customFormat="1" ht="15.75" customHeight="1">
      <c r="A897" s="9"/>
    </row>
    <row r="898" spans="1:1" customFormat="1" ht="15.75" customHeight="1">
      <c r="A898" s="9"/>
    </row>
    <row r="899" spans="1:1" customFormat="1" ht="15.75" customHeight="1">
      <c r="A899" s="9"/>
    </row>
    <row r="900" spans="1:1" customFormat="1" ht="15.75" customHeight="1">
      <c r="A900" s="9"/>
    </row>
    <row r="901" spans="1:1" customFormat="1" ht="15.75" customHeight="1">
      <c r="A901" s="9"/>
    </row>
    <row r="902" spans="1:1" customFormat="1" ht="15.75" customHeight="1">
      <c r="A902" s="9"/>
    </row>
    <row r="903" spans="1:1" customFormat="1" ht="15.75" customHeight="1">
      <c r="A903" s="9"/>
    </row>
    <row r="904" spans="1:1" customFormat="1" ht="15.75" customHeight="1">
      <c r="A904" s="9"/>
    </row>
    <row r="905" spans="1:1" customFormat="1" ht="15.75" customHeight="1">
      <c r="A905" s="9"/>
    </row>
    <row r="906" spans="1:1" customFormat="1" ht="15.75" customHeight="1">
      <c r="A906" s="9"/>
    </row>
    <row r="907" spans="1:1" customFormat="1" ht="15.75" customHeight="1">
      <c r="A907" s="9"/>
    </row>
    <row r="908" spans="1:1" customFormat="1" ht="15.75" customHeight="1">
      <c r="A908" s="9"/>
    </row>
    <row r="909" spans="1:1" customFormat="1" ht="15.75" customHeight="1">
      <c r="A909" s="9"/>
    </row>
    <row r="910" spans="1:1" customFormat="1" ht="15.75" customHeight="1">
      <c r="A910" s="9"/>
    </row>
    <row r="911" spans="1:1" customFormat="1" ht="15.75" customHeight="1">
      <c r="A911" s="9"/>
    </row>
    <row r="912" spans="1:1" customFormat="1" ht="15.75" customHeight="1">
      <c r="A912" s="9"/>
    </row>
    <row r="913" spans="1:1" customFormat="1" ht="15.75" customHeight="1">
      <c r="A913" s="9"/>
    </row>
    <row r="914" spans="1:1" customFormat="1" ht="15.75" customHeight="1">
      <c r="A914" s="9"/>
    </row>
    <row r="915" spans="1:1" customFormat="1" ht="15.75" customHeight="1">
      <c r="A915" s="9"/>
    </row>
    <row r="916" spans="1:1" customFormat="1" ht="15.75" customHeight="1">
      <c r="A916" s="9"/>
    </row>
    <row r="917" spans="1:1" customFormat="1" ht="15.75" customHeight="1">
      <c r="A917" s="9"/>
    </row>
    <row r="918" spans="1:1" customFormat="1" ht="15.75" customHeight="1">
      <c r="A918" s="9"/>
    </row>
    <row r="919" spans="1:1" customFormat="1" ht="15.75" customHeight="1">
      <c r="A919" s="9"/>
    </row>
    <row r="920" spans="1:1" customFormat="1" ht="15.75" customHeight="1">
      <c r="A920" s="9"/>
    </row>
    <row r="921" spans="1:1" customFormat="1" ht="15.75" customHeight="1">
      <c r="A921" s="9"/>
    </row>
    <row r="922" spans="1:1" customFormat="1" ht="15.75" customHeight="1">
      <c r="A922" s="9"/>
    </row>
    <row r="923" spans="1:1" customFormat="1" ht="15.75" customHeight="1">
      <c r="A923" s="9"/>
    </row>
    <row r="924" spans="1:1" customFormat="1" ht="15.75" customHeight="1">
      <c r="A924" s="9"/>
    </row>
    <row r="925" spans="1:1" customFormat="1" ht="15.75" customHeight="1">
      <c r="A925" s="9"/>
    </row>
    <row r="926" spans="1:1" customFormat="1" ht="15.75" customHeight="1">
      <c r="A926" s="9"/>
    </row>
    <row r="927" spans="1:1" customFormat="1" ht="15.75" customHeight="1">
      <c r="A927" s="9"/>
    </row>
    <row r="928" spans="1:1" customFormat="1" ht="15.75" customHeight="1">
      <c r="A928" s="9"/>
    </row>
    <row r="929" spans="1:1" customFormat="1" ht="15.75" customHeight="1">
      <c r="A929" s="9"/>
    </row>
    <row r="930" spans="1:1" customFormat="1" ht="15.75" customHeight="1">
      <c r="A930" s="9"/>
    </row>
    <row r="931" spans="1:1" customFormat="1" ht="15.75" customHeight="1">
      <c r="A931" s="9"/>
    </row>
    <row r="932" spans="1:1" customFormat="1" ht="15.75" customHeight="1">
      <c r="A932" s="9"/>
    </row>
    <row r="933" spans="1:1" customFormat="1" ht="15.75" customHeight="1">
      <c r="A933" s="9"/>
    </row>
    <row r="934" spans="1:1" customFormat="1" ht="15.75" customHeight="1">
      <c r="A934" s="9"/>
    </row>
    <row r="935" spans="1:1" customFormat="1" ht="15.75" customHeight="1">
      <c r="A935" s="9"/>
    </row>
    <row r="936" spans="1:1" customFormat="1" ht="15.75" customHeight="1">
      <c r="A936" s="9"/>
    </row>
    <row r="937" spans="1:1" customFormat="1" ht="15.75" customHeight="1">
      <c r="A937" s="9"/>
    </row>
    <row r="938" spans="1:1" customFormat="1" ht="15.75" customHeight="1">
      <c r="A938" s="9"/>
    </row>
    <row r="939" spans="1:1" customFormat="1" ht="15.75" customHeight="1">
      <c r="A939" s="9"/>
    </row>
    <row r="940" spans="1:1" customFormat="1" ht="15.75" customHeight="1">
      <c r="A940" s="9"/>
    </row>
    <row r="941" spans="1:1" customFormat="1" ht="15.75" customHeight="1">
      <c r="A941" s="9"/>
    </row>
    <row r="942" spans="1:1" customFormat="1" ht="15.75" customHeight="1">
      <c r="A942" s="9"/>
    </row>
    <row r="943" spans="1:1" customFormat="1" ht="15.75" customHeight="1">
      <c r="A943" s="9"/>
    </row>
    <row r="944" spans="1:1" customFormat="1" ht="15.75" customHeight="1">
      <c r="A944" s="9"/>
    </row>
    <row r="945" spans="1:1" customFormat="1" ht="15.75" customHeight="1">
      <c r="A945" s="9"/>
    </row>
    <row r="946" spans="1:1" customFormat="1" ht="15.75" customHeight="1">
      <c r="A946" s="9"/>
    </row>
    <row r="947" spans="1:1" customFormat="1" ht="15.75" customHeight="1">
      <c r="A947" s="9"/>
    </row>
    <row r="948" spans="1:1" customFormat="1" ht="15.75" customHeight="1">
      <c r="A948" s="9"/>
    </row>
    <row r="949" spans="1:1" customFormat="1" ht="15.75" customHeight="1">
      <c r="A949" s="9"/>
    </row>
    <row r="950" spans="1:1" customFormat="1" ht="15.75" customHeight="1">
      <c r="A950" s="9"/>
    </row>
    <row r="951" spans="1:1" customFormat="1" ht="15.75" customHeight="1">
      <c r="A951" s="9"/>
    </row>
    <row r="952" spans="1:1" customFormat="1" ht="15.75" customHeight="1">
      <c r="A952" s="9"/>
    </row>
    <row r="953" spans="1:1" customFormat="1" ht="15.75" customHeight="1">
      <c r="A953" s="9"/>
    </row>
    <row r="954" spans="1:1" customFormat="1" ht="15.75" customHeight="1">
      <c r="A954" s="9"/>
    </row>
    <row r="955" spans="1:1" customFormat="1" ht="15.75" customHeight="1">
      <c r="A955" s="9"/>
    </row>
    <row r="956" spans="1:1" customFormat="1" ht="15.75" customHeight="1">
      <c r="A956" s="9"/>
    </row>
    <row r="957" spans="1:1" customFormat="1" ht="15.75" customHeight="1">
      <c r="A957" s="9"/>
    </row>
    <row r="958" spans="1:1" customFormat="1" ht="15.75" customHeight="1">
      <c r="A958" s="9"/>
    </row>
    <row r="959" spans="1:1" customFormat="1" ht="15.75" customHeight="1">
      <c r="A959" s="9"/>
    </row>
    <row r="960" spans="1:1" customFormat="1" ht="15.75" customHeight="1">
      <c r="A960" s="9"/>
    </row>
    <row r="961" spans="1:1" customFormat="1" ht="15.75" customHeight="1">
      <c r="A961" s="9"/>
    </row>
    <row r="962" spans="1:1" customFormat="1" ht="15.75" customHeight="1">
      <c r="A962" s="9"/>
    </row>
    <row r="963" spans="1:1" customFormat="1" ht="15.75" customHeight="1">
      <c r="A963" s="9"/>
    </row>
    <row r="964" spans="1:1" customFormat="1" ht="15.75" customHeight="1">
      <c r="A964" s="9"/>
    </row>
    <row r="965" spans="1:1" customFormat="1" ht="15.75" customHeight="1">
      <c r="A965" s="9"/>
    </row>
    <row r="966" spans="1:1" customFormat="1" ht="15.75" customHeight="1">
      <c r="A966" s="9"/>
    </row>
    <row r="967" spans="1:1" customFormat="1" ht="15.75" customHeight="1">
      <c r="A967" s="9"/>
    </row>
    <row r="968" spans="1:1" customFormat="1" ht="15.75" customHeight="1">
      <c r="A968" s="9"/>
    </row>
    <row r="969" spans="1:1" customFormat="1" ht="15.75" customHeight="1">
      <c r="A969" s="9"/>
    </row>
    <row r="970" spans="1:1" customFormat="1" ht="15.75" customHeight="1">
      <c r="A970" s="9"/>
    </row>
    <row r="971" spans="1:1" customFormat="1" ht="15.75" customHeight="1">
      <c r="A971" s="9"/>
    </row>
    <row r="972" spans="1:1" customFormat="1" ht="15.75" customHeight="1">
      <c r="A972" s="9"/>
    </row>
    <row r="973" spans="1:1" customFormat="1" ht="15.75" customHeight="1">
      <c r="A973" s="9"/>
    </row>
    <row r="974" spans="1:1" customFormat="1" ht="15.75" customHeight="1">
      <c r="A974" s="9"/>
    </row>
    <row r="975" spans="1:1" customFormat="1" ht="15.75" customHeight="1">
      <c r="A975" s="9"/>
    </row>
    <row r="976" spans="1:1" customFormat="1" ht="15.75" customHeight="1">
      <c r="A976" s="9"/>
    </row>
    <row r="977" spans="1:1" customFormat="1" ht="15.75" customHeight="1">
      <c r="A977" s="9"/>
    </row>
    <row r="978" spans="1:1" customFormat="1" ht="15.75" customHeight="1">
      <c r="A978" s="9"/>
    </row>
    <row r="979" spans="1:1" customFormat="1" ht="15.75" customHeight="1">
      <c r="A979" s="9"/>
    </row>
    <row r="980" spans="1:1" customFormat="1" ht="15.75" customHeight="1">
      <c r="A980" s="9"/>
    </row>
    <row r="981" spans="1:1" customFormat="1" ht="15.75" customHeight="1">
      <c r="A981" s="9"/>
    </row>
    <row r="982" spans="1:1" customFormat="1" ht="15.75" customHeight="1">
      <c r="A982" s="9"/>
    </row>
    <row r="983" spans="1:1" customFormat="1" ht="15.75" customHeight="1">
      <c r="A983" s="9"/>
    </row>
    <row r="984" spans="1:1" customFormat="1" ht="15.75" customHeight="1">
      <c r="A984" s="9"/>
    </row>
    <row r="985" spans="1:1" customFormat="1" ht="15.75" customHeight="1">
      <c r="A985" s="9"/>
    </row>
    <row r="986" spans="1:1" customFormat="1" ht="15.75" customHeight="1">
      <c r="A986" s="9"/>
    </row>
    <row r="987" spans="1:1" customFormat="1" ht="15.75" customHeight="1">
      <c r="A987" s="9"/>
    </row>
    <row r="988" spans="1:1" customFormat="1" ht="15.75" customHeight="1">
      <c r="A988" s="9"/>
    </row>
    <row r="989" spans="1:1" customFormat="1" ht="15.75" customHeight="1">
      <c r="A989" s="9"/>
    </row>
    <row r="990" spans="1:1" customFormat="1" ht="15.75" customHeight="1">
      <c r="A990" s="9"/>
    </row>
    <row r="991" spans="1:1" customFormat="1" ht="15.75" customHeight="1">
      <c r="A991" s="9"/>
    </row>
    <row r="992" spans="1:1" customFormat="1" ht="15.75" customHeight="1">
      <c r="A992" s="9"/>
    </row>
    <row r="993" spans="1:1" customFormat="1" ht="15.75" customHeight="1">
      <c r="A993" s="9"/>
    </row>
    <row r="994" spans="1:1" customFormat="1" ht="15.75" customHeight="1">
      <c r="A994" s="9"/>
    </row>
    <row r="995" spans="1:1" customFormat="1" ht="15.75" customHeight="1">
      <c r="A995" s="9"/>
    </row>
    <row r="996" spans="1:1" customFormat="1" ht="15.75" customHeight="1">
      <c r="A996" s="9"/>
    </row>
    <row r="997" spans="1:1" customFormat="1" ht="15.75" customHeight="1">
      <c r="A997" s="9"/>
    </row>
    <row r="998" spans="1:1" customFormat="1" ht="15.75" customHeight="1">
      <c r="A998" s="9"/>
    </row>
    <row r="999" spans="1:1" customFormat="1" ht="15.75" customHeight="1">
      <c r="A999" s="9"/>
    </row>
    <row r="1000" spans="1:1" customFormat="1" ht="15.75" customHeight="1">
      <c r="A1000" s="9"/>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EDDE-22A6-4AA8-8C4C-1970775509A1}">
  <dimension ref="A1:J1000"/>
  <sheetViews>
    <sheetView workbookViewId="0">
      <selection activeCell="G3" sqref="G3"/>
    </sheetView>
  </sheetViews>
  <sheetFormatPr defaultColWidth="14.42578125" defaultRowHeight="15" customHeight="1"/>
  <cols>
    <col min="1" max="1" width="21.85546875" style="10" customWidth="1"/>
    <col min="2" max="3" width="17" style="9" customWidth="1"/>
    <col min="4" max="5" width="17.7109375" customWidth="1"/>
    <col min="6" max="6" width="18.5703125" customWidth="1"/>
    <col min="7" max="7" width="21.7109375" customWidth="1"/>
    <col min="8" max="8" width="37.85546875" customWidth="1"/>
    <col min="9" max="9" width="13.28515625" customWidth="1"/>
    <col min="10" max="27" width="8.7109375" customWidth="1"/>
  </cols>
  <sheetData>
    <row r="1" spans="1:10">
      <c r="A1" s="22" t="s">
        <v>18</v>
      </c>
      <c r="B1" s="23" t="s">
        <v>346</v>
      </c>
      <c r="C1" s="23" t="s">
        <v>347</v>
      </c>
      <c r="D1" s="24" t="s">
        <v>348</v>
      </c>
      <c r="E1" s="24" t="s">
        <v>370</v>
      </c>
      <c r="F1" s="24" t="s">
        <v>349</v>
      </c>
      <c r="G1" s="24" t="s">
        <v>350</v>
      </c>
      <c r="H1" s="24" t="s">
        <v>351</v>
      </c>
      <c r="I1" s="24" t="s">
        <v>355</v>
      </c>
      <c r="J1" s="24" t="s">
        <v>385</v>
      </c>
    </row>
    <row r="2" spans="1:10">
      <c r="A2" s="12" t="s">
        <v>0</v>
      </c>
      <c r="B2" s="13">
        <v>45458</v>
      </c>
      <c r="C2" s="13">
        <v>45488</v>
      </c>
      <c r="D2" s="14" t="s">
        <v>352</v>
      </c>
      <c r="E2" s="15" t="str">
        <f>PROPER(TRIM(D2))</f>
        <v>Brand Awareness</v>
      </c>
      <c r="F2" s="14">
        <v>175000</v>
      </c>
      <c r="G2" s="14" t="s">
        <v>353</v>
      </c>
      <c r="H2" s="14" t="s">
        <v>354</v>
      </c>
      <c r="I2">
        <f>SUMIFS(Posts!R:R, Posts!C:C, "&gt;="&amp;B2, Posts!C:C, "&lt;="&amp;C2)</f>
        <v>61565</v>
      </c>
      <c r="J2">
        <f>SUMIFS('Engagement Summary'!H:H, 'Engagement Summary'!A:A, "&gt;="&amp;B2, 'Engagement Summary'!A:A, "&lt;=" &amp; C2)</f>
        <v>13558</v>
      </c>
    </row>
    <row r="3" spans="1:10">
      <c r="A3" s="12" t="s">
        <v>1</v>
      </c>
      <c r="B3" s="13">
        <v>45627</v>
      </c>
      <c r="C3" s="13">
        <v>45657</v>
      </c>
      <c r="D3" s="14" t="s">
        <v>355</v>
      </c>
      <c r="E3" s="15" t="str">
        <f t="shared" ref="E3:E5" si="0">PROPER(TRIM(D3))</f>
        <v>Engagement</v>
      </c>
      <c r="F3" s="14">
        <v>225000</v>
      </c>
      <c r="G3" s="14" t="s">
        <v>356</v>
      </c>
      <c r="H3" s="14" t="s">
        <v>357</v>
      </c>
      <c r="I3">
        <f>SUMIFS(Posts!R:R, Posts!C:C, "&gt;="&amp;B3, Posts!C:C, "&lt;="&amp;C3)</f>
        <v>66315</v>
      </c>
      <c r="J3">
        <f>SUMIFS('Engagement Summary'!H:H, 'Engagement Summary'!A:A, "&gt;="&amp;B3, 'Engagement Summary'!A:A, "&lt;=" &amp; C3)</f>
        <v>11361</v>
      </c>
    </row>
    <row r="4" spans="1:10">
      <c r="A4" s="12" t="s">
        <v>2</v>
      </c>
      <c r="B4" s="13">
        <v>45667</v>
      </c>
      <c r="C4" s="13">
        <v>45698</v>
      </c>
      <c r="D4" s="14" t="s">
        <v>358</v>
      </c>
      <c r="E4" s="15" t="str">
        <f t="shared" si="0"/>
        <v>Product Launch</v>
      </c>
      <c r="F4" s="14">
        <v>200000</v>
      </c>
      <c r="G4" s="14" t="s">
        <v>359</v>
      </c>
      <c r="H4" s="14" t="s">
        <v>360</v>
      </c>
      <c r="I4">
        <f>SUMIFS(Posts!R:R, Posts!C:C, "&gt;="&amp;B4, Posts!C:C, "&lt;="&amp;C4)</f>
        <v>77499</v>
      </c>
      <c r="J4">
        <f>SUMIFS('Engagement Summary'!H:H, 'Engagement Summary'!A:A, "&gt;="&amp;B4, 'Engagement Summary'!A:A, "&lt;=" &amp; C4)</f>
        <v>10142</v>
      </c>
    </row>
    <row r="5" spans="1:10">
      <c r="A5" s="12" t="s">
        <v>3</v>
      </c>
      <c r="B5" s="13">
        <v>45717</v>
      </c>
      <c r="C5" s="13">
        <v>45747</v>
      </c>
      <c r="D5" s="14" t="s">
        <v>361</v>
      </c>
      <c r="E5" s="15" t="str">
        <f t="shared" si="0"/>
        <v>Traffic</v>
      </c>
      <c r="F5" s="14">
        <v>160000</v>
      </c>
      <c r="G5" s="14" t="s">
        <v>362</v>
      </c>
      <c r="H5" s="14" t="s">
        <v>363</v>
      </c>
      <c r="I5">
        <f>SUMIFS(Posts!R:R, Posts!C:C, "&gt;="&amp;B5, Posts!C:C, "&lt;="&amp;C5)</f>
        <v>50687</v>
      </c>
      <c r="J5">
        <f>SUMIFS('Engagement Summary'!H:H, 'Engagement Summary'!A:A, "&gt;="&amp;B5, 'Engagement Summary'!A:A, "&lt;=" &amp; C5)</f>
        <v>12726</v>
      </c>
    </row>
    <row r="9" spans="1:10" ht="15" customHeight="1">
      <c r="E9" s="16"/>
    </row>
    <row r="10" spans="1:10" ht="15" customHeight="1">
      <c r="E10" s="16"/>
    </row>
    <row r="11" spans="1:10" ht="15" customHeight="1">
      <c r="E11" s="16"/>
    </row>
    <row r="12" spans="1:10" ht="15" customHeight="1">
      <c r="E12" s="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80EF4-989C-4CF3-ACFB-8E41506414F2}">
  <dimension ref="A1:R1000"/>
  <sheetViews>
    <sheetView topLeftCell="K1" zoomScaleNormal="100" workbookViewId="0">
      <selection activeCell="R2" sqref="R2"/>
    </sheetView>
  </sheetViews>
  <sheetFormatPr defaultColWidth="14.42578125" defaultRowHeight="15" customHeight="1"/>
  <cols>
    <col min="1" max="1" width="10" customWidth="1"/>
    <col min="2" max="2" width="15.42578125" style="10" customWidth="1"/>
    <col min="3" max="3" width="18.85546875" style="11" customWidth="1"/>
    <col min="4" max="4" width="15.5703125" style="10" customWidth="1"/>
    <col min="5" max="5" width="42.140625" style="10" customWidth="1"/>
    <col min="6" max="6" width="8.7109375" style="1" customWidth="1"/>
    <col min="7" max="7" width="9.85546875" style="1" customWidth="1"/>
    <col min="8" max="8" width="13.5703125" style="1" customWidth="1"/>
    <col min="9" max="9" width="14.5703125" style="1" customWidth="1"/>
    <col min="10" max="10" width="9.28515625" style="1" customWidth="1"/>
    <col min="11" max="11" width="8.85546875" style="1" customWidth="1"/>
    <col min="12" max="12" width="37.140625" style="10" customWidth="1"/>
    <col min="13" max="13" width="19.42578125" customWidth="1"/>
    <col min="14" max="14" width="24.28515625" style="9" customWidth="1"/>
    <col min="15" max="15" width="23.28515625" style="9" customWidth="1"/>
    <col min="16" max="16" width="23.42578125" customWidth="1"/>
    <col min="17" max="17" width="18.5703125" customWidth="1"/>
  </cols>
  <sheetData>
    <row r="1" spans="1:18">
      <c r="A1" s="25" t="s">
        <v>6</v>
      </c>
      <c r="B1" s="26" t="s">
        <v>7</v>
      </c>
      <c r="C1" s="27" t="s">
        <v>8</v>
      </c>
      <c r="D1" s="26" t="s">
        <v>9</v>
      </c>
      <c r="E1" s="26" t="s">
        <v>10</v>
      </c>
      <c r="F1" s="28" t="s">
        <v>11</v>
      </c>
      <c r="G1" s="28" t="s">
        <v>12</v>
      </c>
      <c r="H1" s="28" t="s">
        <v>13</v>
      </c>
      <c r="I1" s="28" t="s">
        <v>14</v>
      </c>
      <c r="J1" s="28" t="s">
        <v>15</v>
      </c>
      <c r="K1" s="28" t="s">
        <v>16</v>
      </c>
      <c r="L1" s="26" t="s">
        <v>17</v>
      </c>
      <c r="M1" s="25" t="s">
        <v>18</v>
      </c>
      <c r="N1" s="29" t="s">
        <v>19</v>
      </c>
      <c r="O1" s="29" t="s">
        <v>20</v>
      </c>
      <c r="P1" s="28" t="s">
        <v>21</v>
      </c>
      <c r="Q1" t="s">
        <v>378</v>
      </c>
      <c r="R1" t="s">
        <v>355</v>
      </c>
    </row>
    <row r="2" spans="1:18">
      <c r="A2" s="30" t="s">
        <v>22</v>
      </c>
      <c r="B2" s="31" t="s">
        <v>23</v>
      </c>
      <c r="C2" s="32">
        <v>45781</v>
      </c>
      <c r="D2" s="31" t="s">
        <v>24</v>
      </c>
      <c r="E2" s="31" t="s">
        <v>25</v>
      </c>
      <c r="F2" s="33">
        <v>2414</v>
      </c>
      <c r="G2" s="33">
        <v>245</v>
      </c>
      <c r="H2" s="33">
        <v>137</v>
      </c>
      <c r="I2" s="33">
        <v>21181</v>
      </c>
      <c r="J2" s="33">
        <v>45292</v>
      </c>
      <c r="K2" s="33">
        <v>133</v>
      </c>
      <c r="L2" s="31" t="s">
        <v>26</v>
      </c>
      <c r="M2" s="30" t="s">
        <v>2</v>
      </c>
      <c r="N2" s="34">
        <f>INDEX('[1]Campaign Metadata '!B:B,MATCH(M2,'[1]Campaign Metadata '!A:A,0))</f>
        <v>45667</v>
      </c>
      <c r="O2" s="34">
        <f>INDEX('[1]Campaign Metadata '!C:C,MATCH(M2,'[1]Campaign Metadata '!A:A,0))</f>
        <v>45698</v>
      </c>
      <c r="P2" s="35" t="str">
        <f>IF(AND(C2&lt;=O2,C2&gt;=N2),"DURING",IF(C2&lt;O2,"BEFORE", "AFTER"))</f>
        <v>AFTER</v>
      </c>
      <c r="Q2">
        <f>(Posts!$F2+Posts!$G2+Posts!$H2)/Posts!$I2</f>
        <v>0.13200509890939993</v>
      </c>
      <c r="R2" s="1">
        <f>F2+G2+H2</f>
        <v>2796</v>
      </c>
    </row>
    <row r="3" spans="1:18">
      <c r="A3" s="36" t="s">
        <v>27</v>
      </c>
      <c r="B3" s="37" t="s">
        <v>23</v>
      </c>
      <c r="C3" s="38">
        <v>45689</v>
      </c>
      <c r="D3" s="37" t="s">
        <v>24</v>
      </c>
      <c r="E3" s="37" t="s">
        <v>28</v>
      </c>
      <c r="F3" s="39">
        <v>1934</v>
      </c>
      <c r="G3" s="39">
        <v>210</v>
      </c>
      <c r="H3" s="39">
        <v>393</v>
      </c>
      <c r="I3" s="39">
        <v>29129</v>
      </c>
      <c r="J3" s="39">
        <v>73287</v>
      </c>
      <c r="K3" s="39">
        <v>273</v>
      </c>
      <c r="L3" s="37" t="s">
        <v>29</v>
      </c>
      <c r="M3" s="36" t="s">
        <v>3</v>
      </c>
      <c r="N3" s="40">
        <f>INDEX('[1]Campaign Metadata '!B:B,MATCH(M3,'[1]Campaign Metadata '!A:A,0))</f>
        <v>45717</v>
      </c>
      <c r="O3" s="40">
        <f>INDEX('[1]Campaign Metadata '!C:C,MATCH(M3,'[1]Campaign Metadata '!A:A,0))</f>
        <v>45747</v>
      </c>
      <c r="P3" s="41" t="str">
        <f t="shared" ref="P3:P66" si="0">IF(AND(C3&lt;=O3,C3&gt;=N3),"DURING",IF(C3&lt;O3,"BEFORE", "AFTER"))</f>
        <v>BEFORE</v>
      </c>
      <c r="Q3">
        <f>(Posts!$F3+Posts!$G3+Posts!$H3)/Posts!$I3</f>
        <v>8.7095334546328396E-2</v>
      </c>
      <c r="R3" s="1">
        <f t="shared" ref="R3:R66" si="1">F3+G3+H3</f>
        <v>2537</v>
      </c>
    </row>
    <row r="4" spans="1:18">
      <c r="A4" s="30" t="s">
        <v>30</v>
      </c>
      <c r="B4" s="31" t="s">
        <v>31</v>
      </c>
      <c r="C4" s="32">
        <v>45629</v>
      </c>
      <c r="D4" s="31" t="s">
        <v>32</v>
      </c>
      <c r="E4" s="31" t="s">
        <v>33</v>
      </c>
      <c r="F4" s="33">
        <v>3092</v>
      </c>
      <c r="G4" s="33">
        <v>177</v>
      </c>
      <c r="H4" s="33">
        <v>81</v>
      </c>
      <c r="I4" s="33">
        <v>47533</v>
      </c>
      <c r="J4" s="33">
        <v>29220</v>
      </c>
      <c r="K4" s="33">
        <v>121</v>
      </c>
      <c r="L4" s="31" t="s">
        <v>34</v>
      </c>
      <c r="M4" s="30" t="s">
        <v>2</v>
      </c>
      <c r="N4" s="34">
        <f>INDEX('[1]Campaign Metadata '!B:B,MATCH(M4,'[1]Campaign Metadata '!A:A,0))</f>
        <v>45667</v>
      </c>
      <c r="O4" s="34">
        <f>INDEX('[1]Campaign Metadata '!C:C,MATCH(M4,'[1]Campaign Metadata '!A:A,0))</f>
        <v>45698</v>
      </c>
      <c r="P4" s="35" t="str">
        <f t="shared" si="0"/>
        <v>BEFORE</v>
      </c>
      <c r="Q4">
        <f>(Posts!$F4+Posts!$G4+Posts!$H4)/Posts!$I4</f>
        <v>7.0477352576105018E-2</v>
      </c>
      <c r="R4" s="1">
        <f t="shared" si="1"/>
        <v>3350</v>
      </c>
    </row>
    <row r="5" spans="1:18">
      <c r="A5" s="36" t="s">
        <v>35</v>
      </c>
      <c r="B5" s="37" t="s">
        <v>23</v>
      </c>
      <c r="C5" s="38">
        <v>45629</v>
      </c>
      <c r="D5" s="37" t="s">
        <v>24</v>
      </c>
      <c r="E5" s="37" t="s">
        <v>36</v>
      </c>
      <c r="F5" s="39">
        <v>3173</v>
      </c>
      <c r="G5" s="39">
        <v>229</v>
      </c>
      <c r="H5" s="39">
        <v>197</v>
      </c>
      <c r="I5" s="39">
        <v>29604</v>
      </c>
      <c r="J5" s="39">
        <v>21809</v>
      </c>
      <c r="K5" s="39">
        <v>272</v>
      </c>
      <c r="L5" s="37" t="s">
        <v>26</v>
      </c>
      <c r="M5" s="36" t="s">
        <v>2</v>
      </c>
      <c r="N5" s="40">
        <f>INDEX('[1]Campaign Metadata '!B:B,MATCH(M5,'[1]Campaign Metadata '!A:A,0))</f>
        <v>45667</v>
      </c>
      <c r="O5" s="40">
        <f>INDEX('[1]Campaign Metadata '!C:C,MATCH(M5,'[1]Campaign Metadata '!A:A,0))</f>
        <v>45698</v>
      </c>
      <c r="P5" s="41" t="str">
        <f t="shared" si="0"/>
        <v>BEFORE</v>
      </c>
      <c r="Q5">
        <f>(Posts!$F5+Posts!$G5+Posts!$H5)/Posts!$I5</f>
        <v>0.1215714092690177</v>
      </c>
      <c r="R5" s="1">
        <f t="shared" si="1"/>
        <v>3599</v>
      </c>
    </row>
    <row r="6" spans="1:18">
      <c r="A6" s="30" t="s">
        <v>37</v>
      </c>
      <c r="B6" s="31" t="s">
        <v>38</v>
      </c>
      <c r="C6" s="32">
        <v>45388</v>
      </c>
      <c r="D6" s="31" t="s">
        <v>24</v>
      </c>
      <c r="E6" s="31" t="s">
        <v>39</v>
      </c>
      <c r="F6" s="33">
        <v>2748</v>
      </c>
      <c r="G6" s="33">
        <v>145</v>
      </c>
      <c r="H6" s="33">
        <v>315</v>
      </c>
      <c r="I6" s="33">
        <v>24401</v>
      </c>
      <c r="J6" s="33">
        <v>61182</v>
      </c>
      <c r="K6" s="33">
        <v>200</v>
      </c>
      <c r="L6" s="31" t="s">
        <v>40</v>
      </c>
      <c r="M6" s="30" t="s">
        <v>3</v>
      </c>
      <c r="N6" s="34">
        <f>INDEX('[1]Campaign Metadata '!B:B,MATCH(M6,'[1]Campaign Metadata '!A:A,0))</f>
        <v>45717</v>
      </c>
      <c r="O6" s="34">
        <f>INDEX('[1]Campaign Metadata '!C:C,MATCH(M6,'[1]Campaign Metadata '!A:A,0))</f>
        <v>45747</v>
      </c>
      <c r="P6" s="35" t="str">
        <f t="shared" si="0"/>
        <v>BEFORE</v>
      </c>
      <c r="Q6">
        <f>(Posts!$F6+Posts!$G6+Posts!$H6)/Posts!$I6</f>
        <v>0.1314700217204213</v>
      </c>
      <c r="R6" s="1">
        <f t="shared" si="1"/>
        <v>3208</v>
      </c>
    </row>
    <row r="7" spans="1:18">
      <c r="A7" s="36" t="s">
        <v>41</v>
      </c>
      <c r="B7" s="37" t="s">
        <v>38</v>
      </c>
      <c r="C7" s="38">
        <v>45456</v>
      </c>
      <c r="D7" s="37" t="s">
        <v>24</v>
      </c>
      <c r="E7" s="37" t="s">
        <v>42</v>
      </c>
      <c r="F7" s="39">
        <v>3882</v>
      </c>
      <c r="G7" s="39">
        <v>239</v>
      </c>
      <c r="H7" s="39">
        <v>275</v>
      </c>
      <c r="I7" s="39">
        <v>58748</v>
      </c>
      <c r="J7" s="39">
        <v>44646</v>
      </c>
      <c r="K7" s="39">
        <v>149</v>
      </c>
      <c r="L7" s="37" t="s">
        <v>40</v>
      </c>
      <c r="M7" s="36" t="s">
        <v>3</v>
      </c>
      <c r="N7" s="40">
        <f>INDEX('[1]Campaign Metadata '!B:B,MATCH(M7,'[1]Campaign Metadata '!A:A,0))</f>
        <v>45717</v>
      </c>
      <c r="O7" s="40">
        <f>INDEX('[1]Campaign Metadata '!C:C,MATCH(M7,'[1]Campaign Metadata '!A:A,0))</f>
        <v>45747</v>
      </c>
      <c r="P7" s="41" t="str">
        <f t="shared" si="0"/>
        <v>BEFORE</v>
      </c>
      <c r="Q7">
        <f>(Posts!$F7+Posts!$G7+Posts!$H7)/Posts!$I7</f>
        <v>7.4828079253761837E-2</v>
      </c>
      <c r="R7" s="1">
        <f t="shared" si="1"/>
        <v>4396</v>
      </c>
    </row>
    <row r="8" spans="1:18">
      <c r="A8" s="30" t="s">
        <v>43</v>
      </c>
      <c r="B8" s="31" t="s">
        <v>31</v>
      </c>
      <c r="C8" s="32">
        <v>45645</v>
      </c>
      <c r="D8" s="31" t="s">
        <v>32</v>
      </c>
      <c r="E8" s="31" t="s">
        <v>44</v>
      </c>
      <c r="F8" s="33">
        <v>4674</v>
      </c>
      <c r="G8" s="33">
        <v>409</v>
      </c>
      <c r="H8" s="33">
        <v>327</v>
      </c>
      <c r="I8" s="33">
        <v>20756</v>
      </c>
      <c r="J8" s="33">
        <v>63599</v>
      </c>
      <c r="K8" s="33">
        <v>212</v>
      </c>
      <c r="L8" s="31" t="s">
        <v>26</v>
      </c>
      <c r="M8" s="30" t="s">
        <v>2</v>
      </c>
      <c r="N8" s="34">
        <f>INDEX('[1]Campaign Metadata '!B:B,MATCH(M8,'[1]Campaign Metadata '!A:A,0))</f>
        <v>45667</v>
      </c>
      <c r="O8" s="34">
        <f>INDEX('[1]Campaign Metadata '!C:C,MATCH(M8,'[1]Campaign Metadata '!A:A,0))</f>
        <v>45698</v>
      </c>
      <c r="P8" s="35" t="str">
        <f t="shared" si="0"/>
        <v>BEFORE</v>
      </c>
      <c r="Q8">
        <f>(Posts!$F8+Posts!$G8+Posts!$H8)/Posts!$I8</f>
        <v>0.26064752360763155</v>
      </c>
      <c r="R8" s="1">
        <f t="shared" si="1"/>
        <v>5410</v>
      </c>
    </row>
    <row r="9" spans="1:18">
      <c r="A9" s="36" t="s">
        <v>45</v>
      </c>
      <c r="B9" s="37" t="s">
        <v>31</v>
      </c>
      <c r="C9" s="38">
        <v>45421</v>
      </c>
      <c r="D9" s="37" t="s">
        <v>32</v>
      </c>
      <c r="E9" s="37" t="s">
        <v>36</v>
      </c>
      <c r="F9" s="39">
        <v>1428</v>
      </c>
      <c r="G9" s="39">
        <v>347</v>
      </c>
      <c r="H9" s="39">
        <v>67</v>
      </c>
      <c r="I9" s="39">
        <v>21148</v>
      </c>
      <c r="J9" s="39">
        <v>19712</v>
      </c>
      <c r="K9" s="39">
        <v>120</v>
      </c>
      <c r="L9" s="37" t="s">
        <v>46</v>
      </c>
      <c r="M9" s="36" t="s">
        <v>2</v>
      </c>
      <c r="N9" s="40">
        <f>INDEX('[1]Campaign Metadata '!B:B,MATCH(M9,'[1]Campaign Metadata '!A:A,0))</f>
        <v>45667</v>
      </c>
      <c r="O9" s="40">
        <f>INDEX('[1]Campaign Metadata '!C:C,MATCH(M9,'[1]Campaign Metadata '!A:A,0))</f>
        <v>45698</v>
      </c>
      <c r="P9" s="41" t="str">
        <f t="shared" si="0"/>
        <v>BEFORE</v>
      </c>
      <c r="Q9">
        <f>(Posts!$F9+Posts!$G9+Posts!$H9)/Posts!$I9</f>
        <v>8.7100435029317191E-2</v>
      </c>
      <c r="R9" s="1">
        <f t="shared" si="1"/>
        <v>1842</v>
      </c>
    </row>
    <row r="10" spans="1:18">
      <c r="A10" s="30" t="s">
        <v>47</v>
      </c>
      <c r="B10" s="31" t="s">
        <v>31</v>
      </c>
      <c r="C10" s="32">
        <v>45823</v>
      </c>
      <c r="D10" s="31" t="s">
        <v>24</v>
      </c>
      <c r="E10" s="31" t="s">
        <v>48</v>
      </c>
      <c r="F10" s="33">
        <v>4432</v>
      </c>
      <c r="G10" s="33">
        <v>223</v>
      </c>
      <c r="H10" s="33">
        <v>299</v>
      </c>
      <c r="I10" s="33">
        <v>59016</v>
      </c>
      <c r="J10" s="33">
        <v>21742</v>
      </c>
      <c r="K10" s="33">
        <v>171</v>
      </c>
      <c r="L10" s="31" t="s">
        <v>49</v>
      </c>
      <c r="M10" s="30" t="s">
        <v>2</v>
      </c>
      <c r="N10" s="34">
        <f>INDEX('[1]Campaign Metadata '!B:B,MATCH(M10,'[1]Campaign Metadata '!A:A,0))</f>
        <v>45667</v>
      </c>
      <c r="O10" s="34">
        <f>INDEX('[1]Campaign Metadata '!C:C,MATCH(M10,'[1]Campaign Metadata '!A:A,0))</f>
        <v>45698</v>
      </c>
      <c r="P10" s="35" t="str">
        <f t="shared" si="0"/>
        <v>AFTER</v>
      </c>
      <c r="Q10">
        <f>(Posts!$F10+Posts!$G10+Posts!$H10)/Posts!$I10</f>
        <v>8.3943337400027115E-2</v>
      </c>
      <c r="R10" s="1">
        <f t="shared" si="1"/>
        <v>4954</v>
      </c>
    </row>
    <row r="11" spans="1:18">
      <c r="A11" s="36" t="s">
        <v>50</v>
      </c>
      <c r="B11" s="37" t="s">
        <v>31</v>
      </c>
      <c r="C11" s="38">
        <v>45630</v>
      </c>
      <c r="D11" s="37" t="s">
        <v>24</v>
      </c>
      <c r="E11" s="37" t="s">
        <v>36</v>
      </c>
      <c r="F11" s="39">
        <v>2357</v>
      </c>
      <c r="G11" s="39">
        <v>274</v>
      </c>
      <c r="H11" s="39">
        <v>172</v>
      </c>
      <c r="I11" s="39">
        <v>21566</v>
      </c>
      <c r="J11" s="39">
        <v>66829</v>
      </c>
      <c r="K11" s="39">
        <v>284</v>
      </c>
      <c r="L11" s="37" t="s">
        <v>49</v>
      </c>
      <c r="M11" s="36" t="s">
        <v>2</v>
      </c>
      <c r="N11" s="40">
        <f>INDEX('[1]Campaign Metadata '!B:B,MATCH(M11,'[1]Campaign Metadata '!A:A,0))</f>
        <v>45667</v>
      </c>
      <c r="O11" s="40">
        <f>INDEX('[1]Campaign Metadata '!C:C,MATCH(M11,'[1]Campaign Metadata '!A:A,0))</f>
        <v>45698</v>
      </c>
      <c r="P11" s="41" t="str">
        <f t="shared" si="0"/>
        <v>BEFORE</v>
      </c>
      <c r="Q11">
        <f>(Posts!$F11+Posts!$G11+Posts!$H11)/Posts!$I11</f>
        <v>0.12997310581470833</v>
      </c>
      <c r="R11" s="1">
        <f t="shared" si="1"/>
        <v>2803</v>
      </c>
    </row>
    <row r="12" spans="1:18">
      <c r="A12" s="30" t="s">
        <v>51</v>
      </c>
      <c r="B12" s="31" t="s">
        <v>31</v>
      </c>
      <c r="C12" s="32">
        <v>45357</v>
      </c>
      <c r="D12" s="31" t="s">
        <v>24</v>
      </c>
      <c r="E12" s="31" t="s">
        <v>25</v>
      </c>
      <c r="F12" s="33">
        <v>1971</v>
      </c>
      <c r="G12" s="33">
        <v>370</v>
      </c>
      <c r="H12" s="33">
        <v>306</v>
      </c>
      <c r="I12" s="33">
        <v>31316</v>
      </c>
      <c r="J12" s="33">
        <v>27897</v>
      </c>
      <c r="K12" s="33">
        <v>88</v>
      </c>
      <c r="L12" s="31" t="s">
        <v>52</v>
      </c>
      <c r="M12" s="30" t="s">
        <v>3</v>
      </c>
      <c r="N12" s="34">
        <f>INDEX('[1]Campaign Metadata '!B:B,MATCH(M12,'[1]Campaign Metadata '!A:A,0))</f>
        <v>45717</v>
      </c>
      <c r="O12" s="34">
        <f>INDEX('[1]Campaign Metadata '!C:C,MATCH(M12,'[1]Campaign Metadata '!A:A,0))</f>
        <v>45747</v>
      </c>
      <c r="P12" s="35" t="str">
        <f t="shared" si="0"/>
        <v>BEFORE</v>
      </c>
      <c r="Q12">
        <f>(Posts!$F12+Posts!$G12+Posts!$H12)/Posts!$I12</f>
        <v>8.4525482181632389E-2</v>
      </c>
      <c r="R12" s="1">
        <f t="shared" si="1"/>
        <v>2647</v>
      </c>
    </row>
    <row r="13" spans="1:18">
      <c r="A13" s="36" t="s">
        <v>53</v>
      </c>
      <c r="B13" s="37" t="s">
        <v>23</v>
      </c>
      <c r="C13" s="38">
        <v>45426</v>
      </c>
      <c r="D13" s="37" t="s">
        <v>24</v>
      </c>
      <c r="E13" s="37" t="s">
        <v>25</v>
      </c>
      <c r="F13" s="39">
        <v>1485</v>
      </c>
      <c r="G13" s="39">
        <v>353</v>
      </c>
      <c r="H13" s="39">
        <v>244</v>
      </c>
      <c r="I13" s="39">
        <v>38419</v>
      </c>
      <c r="J13" s="39">
        <v>38556</v>
      </c>
      <c r="K13" s="39">
        <v>86</v>
      </c>
      <c r="L13" s="37" t="s">
        <v>26</v>
      </c>
      <c r="M13" s="36" t="s">
        <v>2</v>
      </c>
      <c r="N13" s="40">
        <f>INDEX('[1]Campaign Metadata '!B:B,MATCH(M13,'[1]Campaign Metadata '!A:A,0))</f>
        <v>45667</v>
      </c>
      <c r="O13" s="40">
        <f>INDEX('[1]Campaign Metadata '!C:C,MATCH(M13,'[1]Campaign Metadata '!A:A,0))</f>
        <v>45698</v>
      </c>
      <c r="P13" s="41" t="str">
        <f t="shared" si="0"/>
        <v>BEFORE</v>
      </c>
      <c r="Q13">
        <f>(Posts!$F13+Posts!$G13+Posts!$H13)/Posts!$I13</f>
        <v>5.4191936281527367E-2</v>
      </c>
      <c r="R13" s="1">
        <f t="shared" si="1"/>
        <v>2082</v>
      </c>
    </row>
    <row r="14" spans="1:18">
      <c r="A14" s="30" t="s">
        <v>54</v>
      </c>
      <c r="B14" s="31" t="s">
        <v>31</v>
      </c>
      <c r="C14" s="32">
        <v>45826</v>
      </c>
      <c r="D14" s="31" t="s">
        <v>32</v>
      </c>
      <c r="E14" s="31" t="s">
        <v>25</v>
      </c>
      <c r="F14" s="33">
        <v>3956</v>
      </c>
      <c r="G14" s="33">
        <v>319</v>
      </c>
      <c r="H14" s="33">
        <v>61</v>
      </c>
      <c r="I14" s="33">
        <v>58162</v>
      </c>
      <c r="J14" s="33">
        <v>28720</v>
      </c>
      <c r="K14" s="33">
        <v>213</v>
      </c>
      <c r="L14" s="31" t="s">
        <v>34</v>
      </c>
      <c r="M14" s="30" t="s">
        <v>2</v>
      </c>
      <c r="N14" s="34">
        <f>INDEX('[1]Campaign Metadata '!B:B,MATCH(M14,'[1]Campaign Metadata '!A:A,0))</f>
        <v>45667</v>
      </c>
      <c r="O14" s="34">
        <f>INDEX('[1]Campaign Metadata '!C:C,MATCH(M14,'[1]Campaign Metadata '!A:A,0))</f>
        <v>45698</v>
      </c>
      <c r="P14" s="35" t="str">
        <f t="shared" si="0"/>
        <v>AFTER</v>
      </c>
      <c r="Q14">
        <f>(Posts!$F14+Posts!$G14+Posts!$H14)/Posts!$I14</f>
        <v>7.4550393727863554E-2</v>
      </c>
      <c r="R14" s="1">
        <f t="shared" si="1"/>
        <v>4336</v>
      </c>
    </row>
    <row r="15" spans="1:18">
      <c r="A15" s="36" t="s">
        <v>55</v>
      </c>
      <c r="B15" s="37" t="s">
        <v>31</v>
      </c>
      <c r="C15" s="38">
        <v>45573</v>
      </c>
      <c r="D15" s="37" t="s">
        <v>24</v>
      </c>
      <c r="E15" s="37" t="s">
        <v>56</v>
      </c>
      <c r="F15" s="39">
        <v>2460</v>
      </c>
      <c r="G15" s="39">
        <v>409</v>
      </c>
      <c r="H15" s="39">
        <v>253</v>
      </c>
      <c r="I15" s="39">
        <v>36702</v>
      </c>
      <c r="J15" s="39">
        <v>46122</v>
      </c>
      <c r="K15" s="39">
        <v>264</v>
      </c>
      <c r="L15" s="37" t="s">
        <v>49</v>
      </c>
      <c r="M15" s="36" t="s">
        <v>2</v>
      </c>
      <c r="N15" s="40">
        <f>INDEX('[1]Campaign Metadata '!B:B,MATCH(M15,'[1]Campaign Metadata '!A:A,0))</f>
        <v>45667</v>
      </c>
      <c r="O15" s="40">
        <f>INDEX('[1]Campaign Metadata '!C:C,MATCH(M15,'[1]Campaign Metadata '!A:A,0))</f>
        <v>45698</v>
      </c>
      <c r="P15" s="41" t="str">
        <f t="shared" si="0"/>
        <v>BEFORE</v>
      </c>
      <c r="Q15">
        <f>(Posts!$F15+Posts!$G15+Posts!$H15)/Posts!$I15</f>
        <v>8.5063484278785892E-2</v>
      </c>
      <c r="R15" s="1">
        <f t="shared" si="1"/>
        <v>3122</v>
      </c>
    </row>
    <row r="16" spans="1:18">
      <c r="A16" s="30" t="s">
        <v>57</v>
      </c>
      <c r="B16" s="31" t="s">
        <v>31</v>
      </c>
      <c r="C16" s="32">
        <v>45418</v>
      </c>
      <c r="D16" s="31" t="s">
        <v>24</v>
      </c>
      <c r="E16" s="31" t="s">
        <v>58</v>
      </c>
      <c r="F16" s="33">
        <v>3476</v>
      </c>
      <c r="G16" s="33">
        <v>355</v>
      </c>
      <c r="H16" s="33">
        <v>396</v>
      </c>
      <c r="I16" s="33">
        <v>37492</v>
      </c>
      <c r="J16" s="33">
        <v>27285</v>
      </c>
      <c r="K16" s="33">
        <v>179</v>
      </c>
      <c r="L16" s="31" t="s">
        <v>49</v>
      </c>
      <c r="M16" s="30" t="s">
        <v>2</v>
      </c>
      <c r="N16" s="34">
        <f>INDEX('[1]Campaign Metadata '!B:B,MATCH(M16,'[1]Campaign Metadata '!A:A,0))</f>
        <v>45667</v>
      </c>
      <c r="O16" s="34">
        <f>INDEX('[1]Campaign Metadata '!C:C,MATCH(M16,'[1]Campaign Metadata '!A:A,0))</f>
        <v>45698</v>
      </c>
      <c r="P16" s="35" t="str">
        <f t="shared" si="0"/>
        <v>BEFORE</v>
      </c>
      <c r="Q16">
        <f>(Posts!$F16+Posts!$G16+Posts!$H16)/Posts!$I16</f>
        <v>0.11274405206444041</v>
      </c>
      <c r="R16" s="1">
        <f t="shared" si="1"/>
        <v>4227</v>
      </c>
    </row>
    <row r="17" spans="1:18">
      <c r="A17" s="36" t="s">
        <v>59</v>
      </c>
      <c r="B17" s="37" t="s">
        <v>31</v>
      </c>
      <c r="C17" s="38">
        <v>45655</v>
      </c>
      <c r="D17" s="37" t="s">
        <v>32</v>
      </c>
      <c r="E17" s="37" t="s">
        <v>33</v>
      </c>
      <c r="F17" s="39">
        <v>4049</v>
      </c>
      <c r="G17" s="39">
        <v>377</v>
      </c>
      <c r="H17" s="39">
        <v>94</v>
      </c>
      <c r="I17" s="39">
        <v>48182</v>
      </c>
      <c r="J17" s="39">
        <v>42875</v>
      </c>
      <c r="K17" s="39">
        <v>172</v>
      </c>
      <c r="L17" s="37" t="s">
        <v>34</v>
      </c>
      <c r="M17" s="36" t="s">
        <v>2</v>
      </c>
      <c r="N17" s="40">
        <f>INDEX('[1]Campaign Metadata '!B:B,MATCH(M17,'[1]Campaign Metadata '!A:A,0))</f>
        <v>45667</v>
      </c>
      <c r="O17" s="40">
        <f>INDEX('[1]Campaign Metadata '!C:C,MATCH(M17,'[1]Campaign Metadata '!A:A,0))</f>
        <v>45698</v>
      </c>
      <c r="P17" s="41" t="str">
        <f t="shared" si="0"/>
        <v>BEFORE</v>
      </c>
      <c r="Q17">
        <f>(Posts!$F17+Posts!$G17+Posts!$H17)/Posts!$I17</f>
        <v>9.3810966751068869E-2</v>
      </c>
      <c r="R17" s="1">
        <f t="shared" si="1"/>
        <v>4520</v>
      </c>
    </row>
    <row r="18" spans="1:18">
      <c r="A18" s="30" t="s">
        <v>60</v>
      </c>
      <c r="B18" s="31" t="s">
        <v>31</v>
      </c>
      <c r="C18" s="32">
        <v>45453</v>
      </c>
      <c r="D18" s="31" t="s">
        <v>24</v>
      </c>
      <c r="E18" s="31" t="s">
        <v>42</v>
      </c>
      <c r="F18" s="33">
        <v>1514</v>
      </c>
      <c r="G18" s="33">
        <v>164</v>
      </c>
      <c r="H18" s="33">
        <v>275</v>
      </c>
      <c r="I18" s="33">
        <v>41364</v>
      </c>
      <c r="J18" s="33">
        <v>44389</v>
      </c>
      <c r="K18" s="33">
        <v>83</v>
      </c>
      <c r="L18" s="31" t="s">
        <v>49</v>
      </c>
      <c r="M18" s="30" t="s">
        <v>2</v>
      </c>
      <c r="N18" s="34">
        <f>INDEX('[1]Campaign Metadata '!B:B,MATCH(M18,'[1]Campaign Metadata '!A:A,0))</f>
        <v>45667</v>
      </c>
      <c r="O18" s="34">
        <f>INDEX('[1]Campaign Metadata '!C:C,MATCH(M18,'[1]Campaign Metadata '!A:A,0))</f>
        <v>45698</v>
      </c>
      <c r="P18" s="35" t="str">
        <f t="shared" si="0"/>
        <v>BEFORE</v>
      </c>
      <c r="Q18">
        <f>(Posts!$F18+Posts!$G18+Posts!$H18)/Posts!$I18</f>
        <v>4.7214969538729328E-2</v>
      </c>
      <c r="R18" s="1">
        <f t="shared" si="1"/>
        <v>1953</v>
      </c>
    </row>
    <row r="19" spans="1:18">
      <c r="A19" s="36" t="s">
        <v>61</v>
      </c>
      <c r="B19" s="37" t="s">
        <v>23</v>
      </c>
      <c r="C19" s="38">
        <v>45325</v>
      </c>
      <c r="D19" s="37" t="s">
        <v>32</v>
      </c>
      <c r="E19" s="37" t="s">
        <v>39</v>
      </c>
      <c r="F19" s="39">
        <v>4281</v>
      </c>
      <c r="G19" s="39">
        <v>101</v>
      </c>
      <c r="H19" s="39">
        <v>163</v>
      </c>
      <c r="I19" s="39">
        <v>32278</v>
      </c>
      <c r="J19" s="39">
        <v>53382</v>
      </c>
      <c r="K19" s="39">
        <v>235</v>
      </c>
      <c r="L19" s="37" t="s">
        <v>49</v>
      </c>
      <c r="M19" s="36" t="s">
        <v>1</v>
      </c>
      <c r="N19" s="40">
        <f>INDEX('[1]Campaign Metadata '!B:B,MATCH(M19,'[1]Campaign Metadata '!A:A,0))</f>
        <v>45627</v>
      </c>
      <c r="O19" s="40">
        <f>INDEX('[1]Campaign Metadata '!C:C,MATCH(M19,'[1]Campaign Metadata '!A:A,0))</f>
        <v>45657</v>
      </c>
      <c r="P19" s="41" t="str">
        <f t="shared" si="0"/>
        <v>BEFORE</v>
      </c>
      <c r="Q19">
        <f>(Posts!$F19+Posts!$G19+Posts!$H19)/Posts!$I19</f>
        <v>0.1408079806679472</v>
      </c>
      <c r="R19" s="1">
        <f t="shared" si="1"/>
        <v>4545</v>
      </c>
    </row>
    <row r="20" spans="1:18">
      <c r="A20" s="30" t="s">
        <v>62</v>
      </c>
      <c r="B20" s="31" t="s">
        <v>38</v>
      </c>
      <c r="C20" s="32">
        <v>45458</v>
      </c>
      <c r="D20" s="31" t="s">
        <v>63</v>
      </c>
      <c r="E20" s="31" t="s">
        <v>44</v>
      </c>
      <c r="F20" s="33">
        <v>1751</v>
      </c>
      <c r="G20" s="33">
        <v>143</v>
      </c>
      <c r="H20" s="33">
        <v>151</v>
      </c>
      <c r="I20" s="33">
        <v>31826</v>
      </c>
      <c r="J20" s="33">
        <v>47729</v>
      </c>
      <c r="K20" s="33">
        <v>95</v>
      </c>
      <c r="L20" s="31" t="s">
        <v>64</v>
      </c>
      <c r="M20" s="30" t="s">
        <v>0</v>
      </c>
      <c r="N20" s="34">
        <f>INDEX('[1]Campaign Metadata '!B:B,MATCH(M20,'[1]Campaign Metadata '!A:A,0))</f>
        <v>45458</v>
      </c>
      <c r="O20" s="34">
        <f>INDEX('[1]Campaign Metadata '!C:C,MATCH(M20,'[1]Campaign Metadata '!A:A,0))</f>
        <v>45488</v>
      </c>
      <c r="P20" s="35" t="str">
        <f t="shared" si="0"/>
        <v>DURING</v>
      </c>
      <c r="Q20">
        <f>(Posts!$F20+Posts!$G20+Posts!$H20)/Posts!$I20</f>
        <v>6.4255640042732362E-2</v>
      </c>
      <c r="R20" s="1">
        <f t="shared" si="1"/>
        <v>2045</v>
      </c>
    </row>
    <row r="21" spans="1:18" ht="15.75" customHeight="1">
      <c r="A21" s="36" t="s">
        <v>65</v>
      </c>
      <c r="B21" s="37" t="s">
        <v>23</v>
      </c>
      <c r="C21" s="38">
        <v>45478</v>
      </c>
      <c r="D21" s="37" t="s">
        <v>24</v>
      </c>
      <c r="E21" s="37" t="s">
        <v>58</v>
      </c>
      <c r="F21" s="39">
        <v>3753</v>
      </c>
      <c r="G21" s="39">
        <v>411</v>
      </c>
      <c r="H21" s="39">
        <v>308</v>
      </c>
      <c r="I21" s="39">
        <v>29138</v>
      </c>
      <c r="J21" s="39">
        <v>27678</v>
      </c>
      <c r="K21" s="39">
        <v>90</v>
      </c>
      <c r="L21" s="37" t="s">
        <v>29</v>
      </c>
      <c r="M21" s="36" t="s">
        <v>3</v>
      </c>
      <c r="N21" s="40">
        <f>INDEX('[1]Campaign Metadata '!B:B,MATCH(M21,'[1]Campaign Metadata '!A:A,0))</f>
        <v>45717</v>
      </c>
      <c r="O21" s="40">
        <f>INDEX('[1]Campaign Metadata '!C:C,MATCH(M21,'[1]Campaign Metadata '!A:A,0))</f>
        <v>45747</v>
      </c>
      <c r="P21" s="41" t="str">
        <f t="shared" si="0"/>
        <v>BEFORE</v>
      </c>
      <c r="Q21">
        <f>(Posts!$F21+Posts!$G21+Posts!$H21)/Posts!$I21</f>
        <v>0.15347655981879332</v>
      </c>
      <c r="R21" s="1">
        <f t="shared" si="1"/>
        <v>4472</v>
      </c>
    </row>
    <row r="22" spans="1:18" ht="15.75" customHeight="1">
      <c r="A22" s="30" t="s">
        <v>66</v>
      </c>
      <c r="B22" s="31" t="s">
        <v>23</v>
      </c>
      <c r="C22" s="32">
        <v>45603</v>
      </c>
      <c r="D22" s="31" t="s">
        <v>32</v>
      </c>
      <c r="E22" s="31" t="s">
        <v>36</v>
      </c>
      <c r="F22" s="33">
        <v>1678</v>
      </c>
      <c r="G22" s="33">
        <v>423</v>
      </c>
      <c r="H22" s="33">
        <v>323</v>
      </c>
      <c r="I22" s="33">
        <v>55668</v>
      </c>
      <c r="J22" s="33">
        <v>37945</v>
      </c>
      <c r="K22" s="33">
        <v>230</v>
      </c>
      <c r="L22" s="31" t="s">
        <v>49</v>
      </c>
      <c r="M22" s="30" t="s">
        <v>1</v>
      </c>
      <c r="N22" s="34">
        <f>INDEX('[1]Campaign Metadata '!B:B,MATCH(M22,'[1]Campaign Metadata '!A:A,0))</f>
        <v>45627</v>
      </c>
      <c r="O22" s="34">
        <f>INDEX('[1]Campaign Metadata '!C:C,MATCH(M22,'[1]Campaign Metadata '!A:A,0))</f>
        <v>45657</v>
      </c>
      <c r="P22" s="35" t="str">
        <f t="shared" si="0"/>
        <v>BEFORE</v>
      </c>
      <c r="Q22">
        <f>(Posts!$F22+Posts!$G22+Posts!$H22)/Posts!$I22</f>
        <v>4.3543867212761371E-2</v>
      </c>
      <c r="R22" s="1">
        <f t="shared" si="1"/>
        <v>2424</v>
      </c>
    </row>
    <row r="23" spans="1:18" ht="15.75" customHeight="1">
      <c r="A23" s="36" t="s">
        <v>67</v>
      </c>
      <c r="B23" s="37" t="s">
        <v>23</v>
      </c>
      <c r="C23" s="38">
        <v>45823</v>
      </c>
      <c r="D23" s="37" t="s">
        <v>24</v>
      </c>
      <c r="E23" s="37" t="s">
        <v>42</v>
      </c>
      <c r="F23" s="39">
        <v>4896</v>
      </c>
      <c r="G23" s="39">
        <v>466</v>
      </c>
      <c r="H23" s="39">
        <v>233</v>
      </c>
      <c r="I23" s="39">
        <v>28621</v>
      </c>
      <c r="J23" s="39">
        <v>34270</v>
      </c>
      <c r="K23" s="39">
        <v>84</v>
      </c>
      <c r="L23" s="37" t="s">
        <v>26</v>
      </c>
      <c r="M23" s="36" t="s">
        <v>2</v>
      </c>
      <c r="N23" s="40">
        <f>INDEX('[1]Campaign Metadata '!B:B,MATCH(M23,'[1]Campaign Metadata '!A:A,0))</f>
        <v>45667</v>
      </c>
      <c r="O23" s="40">
        <f>INDEX('[1]Campaign Metadata '!C:C,MATCH(M23,'[1]Campaign Metadata '!A:A,0))</f>
        <v>45698</v>
      </c>
      <c r="P23" s="41" t="str">
        <f t="shared" si="0"/>
        <v>AFTER</v>
      </c>
      <c r="Q23">
        <f>(Posts!$F23+Posts!$G23+Posts!$H23)/Posts!$I23</f>
        <v>0.19548583208133888</v>
      </c>
      <c r="R23" s="1">
        <f t="shared" si="1"/>
        <v>5595</v>
      </c>
    </row>
    <row r="24" spans="1:18" ht="15.75" customHeight="1">
      <c r="A24" s="30" t="s">
        <v>68</v>
      </c>
      <c r="B24" s="31" t="s">
        <v>38</v>
      </c>
      <c r="C24" s="32">
        <v>45452</v>
      </c>
      <c r="D24" s="31" t="s">
        <v>63</v>
      </c>
      <c r="E24" s="31" t="s">
        <v>56</v>
      </c>
      <c r="F24" s="33">
        <v>2786</v>
      </c>
      <c r="G24" s="33">
        <v>368</v>
      </c>
      <c r="H24" s="33">
        <v>208</v>
      </c>
      <c r="I24" s="33">
        <v>42000</v>
      </c>
      <c r="J24" s="33">
        <v>39967</v>
      </c>
      <c r="K24" s="33">
        <v>103</v>
      </c>
      <c r="L24" s="31" t="s">
        <v>64</v>
      </c>
      <c r="M24" s="30" t="s">
        <v>0</v>
      </c>
      <c r="N24" s="34">
        <f>INDEX('[1]Campaign Metadata '!B:B,MATCH(M24,'[1]Campaign Metadata '!A:A,0))</f>
        <v>45458</v>
      </c>
      <c r="O24" s="34">
        <f>INDEX('[1]Campaign Metadata '!C:C,MATCH(M24,'[1]Campaign Metadata '!A:A,0))</f>
        <v>45488</v>
      </c>
      <c r="P24" s="35" t="str">
        <f t="shared" si="0"/>
        <v>BEFORE</v>
      </c>
      <c r="Q24">
        <f>(Posts!$F24+Posts!$G24+Posts!$H24)/Posts!$I24</f>
        <v>8.0047619047619048E-2</v>
      </c>
      <c r="R24" s="1">
        <f t="shared" si="1"/>
        <v>3362</v>
      </c>
    </row>
    <row r="25" spans="1:18" ht="15.75" customHeight="1">
      <c r="A25" s="36" t="s">
        <v>69</v>
      </c>
      <c r="B25" s="37" t="s">
        <v>31</v>
      </c>
      <c r="C25" s="38">
        <v>45583</v>
      </c>
      <c r="D25" s="37" t="s">
        <v>24</v>
      </c>
      <c r="E25" s="37" t="s">
        <v>33</v>
      </c>
      <c r="F25" s="39">
        <v>2607</v>
      </c>
      <c r="G25" s="39">
        <v>379</v>
      </c>
      <c r="H25" s="39">
        <v>180</v>
      </c>
      <c r="I25" s="39">
        <v>28712</v>
      </c>
      <c r="J25" s="39">
        <v>61620</v>
      </c>
      <c r="K25" s="39">
        <v>174</v>
      </c>
      <c r="L25" s="37" t="s">
        <v>52</v>
      </c>
      <c r="M25" s="36" t="s">
        <v>3</v>
      </c>
      <c r="N25" s="40">
        <f>INDEX('[1]Campaign Metadata '!B:B,MATCH(M25,'[1]Campaign Metadata '!A:A,0))</f>
        <v>45717</v>
      </c>
      <c r="O25" s="40">
        <f>INDEX('[1]Campaign Metadata '!C:C,MATCH(M25,'[1]Campaign Metadata '!A:A,0))</f>
        <v>45747</v>
      </c>
      <c r="P25" s="41" t="str">
        <f t="shared" si="0"/>
        <v>BEFORE</v>
      </c>
      <c r="Q25">
        <f>(Posts!$F25+Posts!$G25+Posts!$H25)/Posts!$I25</f>
        <v>0.11026748397882419</v>
      </c>
      <c r="R25" s="1">
        <f t="shared" si="1"/>
        <v>3166</v>
      </c>
    </row>
    <row r="26" spans="1:18" ht="15.75" customHeight="1">
      <c r="A26" s="30" t="s">
        <v>70</v>
      </c>
      <c r="B26" s="31" t="s">
        <v>38</v>
      </c>
      <c r="C26" s="32">
        <v>45575</v>
      </c>
      <c r="D26" s="31" t="s">
        <v>63</v>
      </c>
      <c r="E26" s="31" t="s">
        <v>56</v>
      </c>
      <c r="F26" s="33">
        <v>4013</v>
      </c>
      <c r="G26" s="33">
        <v>320</v>
      </c>
      <c r="H26" s="33">
        <v>92</v>
      </c>
      <c r="I26" s="33">
        <v>54605</v>
      </c>
      <c r="J26" s="33">
        <v>60169</v>
      </c>
      <c r="K26" s="33">
        <v>232</v>
      </c>
      <c r="L26" s="31" t="s">
        <v>64</v>
      </c>
      <c r="M26" s="30" t="s">
        <v>0</v>
      </c>
      <c r="N26" s="34">
        <f>INDEX('[1]Campaign Metadata '!B:B,MATCH(M26,'[1]Campaign Metadata '!A:A,0))</f>
        <v>45458</v>
      </c>
      <c r="O26" s="34">
        <f>INDEX('[1]Campaign Metadata '!C:C,MATCH(M26,'[1]Campaign Metadata '!A:A,0))</f>
        <v>45488</v>
      </c>
      <c r="P26" s="35" t="str">
        <f t="shared" si="0"/>
        <v>AFTER</v>
      </c>
      <c r="Q26">
        <f>(Posts!$F26+Posts!$G26+Posts!$H26)/Posts!$I26</f>
        <v>8.1036535115831879E-2</v>
      </c>
      <c r="R26" s="1">
        <f t="shared" si="1"/>
        <v>4425</v>
      </c>
    </row>
    <row r="27" spans="1:18" ht="15.75" customHeight="1">
      <c r="A27" s="36" t="s">
        <v>71</v>
      </c>
      <c r="B27" s="37" t="s">
        <v>31</v>
      </c>
      <c r="C27" s="38">
        <v>45791</v>
      </c>
      <c r="D27" s="37" t="s">
        <v>32</v>
      </c>
      <c r="E27" s="37" t="s">
        <v>56</v>
      </c>
      <c r="F27" s="39">
        <v>2707</v>
      </c>
      <c r="G27" s="39">
        <v>103</v>
      </c>
      <c r="H27" s="39">
        <v>51</v>
      </c>
      <c r="I27" s="39">
        <v>55302</v>
      </c>
      <c r="J27" s="39">
        <v>18801</v>
      </c>
      <c r="K27" s="39">
        <v>147</v>
      </c>
      <c r="L27" s="37" t="s">
        <v>46</v>
      </c>
      <c r="M27" s="36" t="s">
        <v>2</v>
      </c>
      <c r="N27" s="40">
        <f>INDEX('[1]Campaign Metadata '!B:B,MATCH(M27,'[1]Campaign Metadata '!A:A,0))</f>
        <v>45667</v>
      </c>
      <c r="O27" s="40">
        <f>INDEX('[1]Campaign Metadata '!C:C,MATCH(M27,'[1]Campaign Metadata '!A:A,0))</f>
        <v>45698</v>
      </c>
      <c r="P27" s="41" t="str">
        <f t="shared" si="0"/>
        <v>AFTER</v>
      </c>
      <c r="Q27">
        <f>(Posts!$F27+Posts!$G27+Posts!$H27)/Posts!$I27</f>
        <v>5.173411449857148E-2</v>
      </c>
      <c r="R27" s="1">
        <f t="shared" si="1"/>
        <v>2861</v>
      </c>
    </row>
    <row r="28" spans="1:18" ht="15.75" customHeight="1">
      <c r="A28" s="30" t="s">
        <v>72</v>
      </c>
      <c r="B28" s="31" t="s">
        <v>23</v>
      </c>
      <c r="C28" s="32">
        <v>45625</v>
      </c>
      <c r="D28" s="31" t="s">
        <v>24</v>
      </c>
      <c r="E28" s="31" t="s">
        <v>42</v>
      </c>
      <c r="F28" s="33">
        <v>2824</v>
      </c>
      <c r="G28" s="33">
        <v>425</v>
      </c>
      <c r="H28" s="33">
        <v>274</v>
      </c>
      <c r="I28" s="33">
        <v>31004</v>
      </c>
      <c r="J28" s="33">
        <v>53488</v>
      </c>
      <c r="K28" s="33">
        <v>268</v>
      </c>
      <c r="L28" s="31" t="s">
        <v>26</v>
      </c>
      <c r="M28" s="30" t="s">
        <v>2</v>
      </c>
      <c r="N28" s="34">
        <f>INDEX('[1]Campaign Metadata '!B:B,MATCH(M28,'[1]Campaign Metadata '!A:A,0))</f>
        <v>45667</v>
      </c>
      <c r="O28" s="34">
        <f>INDEX('[1]Campaign Metadata '!C:C,MATCH(M28,'[1]Campaign Metadata '!A:A,0))</f>
        <v>45698</v>
      </c>
      <c r="P28" s="35" t="str">
        <f t="shared" si="0"/>
        <v>BEFORE</v>
      </c>
      <c r="Q28">
        <f>(Posts!$F28+Posts!$G28+Posts!$H28)/Posts!$I28</f>
        <v>0.11363049929041415</v>
      </c>
      <c r="R28" s="1">
        <f t="shared" si="1"/>
        <v>3523</v>
      </c>
    </row>
    <row r="29" spans="1:18" ht="15.75" customHeight="1">
      <c r="A29" s="36" t="s">
        <v>73</v>
      </c>
      <c r="B29" s="37" t="s">
        <v>38</v>
      </c>
      <c r="C29" s="38">
        <v>45356</v>
      </c>
      <c r="D29" s="37" t="s">
        <v>63</v>
      </c>
      <c r="E29" s="37" t="s">
        <v>28</v>
      </c>
      <c r="F29" s="39">
        <v>3558</v>
      </c>
      <c r="G29" s="39">
        <v>314</v>
      </c>
      <c r="H29" s="39">
        <v>199</v>
      </c>
      <c r="I29" s="39">
        <v>49612</v>
      </c>
      <c r="J29" s="39">
        <v>53929</v>
      </c>
      <c r="K29" s="39">
        <v>206</v>
      </c>
      <c r="L29" s="37" t="s">
        <v>64</v>
      </c>
      <c r="M29" s="36" t="s">
        <v>0</v>
      </c>
      <c r="N29" s="40">
        <f>INDEX('[1]Campaign Metadata '!B:B,MATCH(M29,'[1]Campaign Metadata '!A:A,0))</f>
        <v>45458</v>
      </c>
      <c r="O29" s="40">
        <f>INDEX('[1]Campaign Metadata '!C:C,MATCH(M29,'[1]Campaign Metadata '!A:A,0))</f>
        <v>45488</v>
      </c>
      <c r="P29" s="41" t="str">
        <f t="shared" si="0"/>
        <v>BEFORE</v>
      </c>
      <c r="Q29">
        <f>(Posts!$F29+Posts!$G29+Posts!$H29)/Posts!$I29</f>
        <v>8.205676046117874E-2</v>
      </c>
      <c r="R29" s="1">
        <f t="shared" si="1"/>
        <v>4071</v>
      </c>
    </row>
    <row r="30" spans="1:18" ht="15.75" customHeight="1">
      <c r="A30" s="30" t="s">
        <v>74</v>
      </c>
      <c r="B30" s="31" t="s">
        <v>31</v>
      </c>
      <c r="C30" s="32">
        <v>45734</v>
      </c>
      <c r="D30" s="31" t="s">
        <v>32</v>
      </c>
      <c r="E30" s="31" t="s">
        <v>28</v>
      </c>
      <c r="F30" s="33">
        <v>3418</v>
      </c>
      <c r="G30" s="33">
        <v>188</v>
      </c>
      <c r="H30" s="33">
        <v>387</v>
      </c>
      <c r="I30" s="33">
        <v>57431</v>
      </c>
      <c r="J30" s="33">
        <v>36933</v>
      </c>
      <c r="K30" s="33">
        <v>202</v>
      </c>
      <c r="L30" s="31" t="s">
        <v>34</v>
      </c>
      <c r="M30" s="30" t="s">
        <v>2</v>
      </c>
      <c r="N30" s="34">
        <f>INDEX('[1]Campaign Metadata '!B:B,MATCH(M30,'[1]Campaign Metadata '!A:A,0))</f>
        <v>45667</v>
      </c>
      <c r="O30" s="34">
        <f>INDEX('[1]Campaign Metadata '!C:C,MATCH(M30,'[1]Campaign Metadata '!A:A,0))</f>
        <v>45698</v>
      </c>
      <c r="P30" s="35" t="str">
        <f t="shared" si="0"/>
        <v>AFTER</v>
      </c>
      <c r="Q30">
        <f>(Posts!$F30+Posts!$G30+Posts!$H30)/Posts!$I30</f>
        <v>6.9526910553533799E-2</v>
      </c>
      <c r="R30" s="1">
        <f t="shared" si="1"/>
        <v>3993</v>
      </c>
    </row>
    <row r="31" spans="1:18" ht="15.75" customHeight="1">
      <c r="A31" s="36" t="s">
        <v>75</v>
      </c>
      <c r="B31" s="37" t="s">
        <v>31</v>
      </c>
      <c r="C31" s="38">
        <v>45773</v>
      </c>
      <c r="D31" s="37" t="s">
        <v>24</v>
      </c>
      <c r="E31" s="37" t="s">
        <v>25</v>
      </c>
      <c r="F31" s="39">
        <v>2411</v>
      </c>
      <c r="G31" s="39">
        <v>194</v>
      </c>
      <c r="H31" s="39">
        <v>168</v>
      </c>
      <c r="I31" s="39">
        <v>26665</v>
      </c>
      <c r="J31" s="39">
        <v>71699</v>
      </c>
      <c r="K31" s="39">
        <v>197</v>
      </c>
      <c r="L31" s="37" t="s">
        <v>49</v>
      </c>
      <c r="M31" s="36" t="s">
        <v>2</v>
      </c>
      <c r="N31" s="40">
        <f>INDEX('[1]Campaign Metadata '!B:B,MATCH(M31,'[1]Campaign Metadata '!A:A,0))</f>
        <v>45667</v>
      </c>
      <c r="O31" s="40">
        <f>INDEX('[1]Campaign Metadata '!C:C,MATCH(M31,'[1]Campaign Metadata '!A:A,0))</f>
        <v>45698</v>
      </c>
      <c r="P31" s="41" t="str">
        <f t="shared" si="0"/>
        <v>AFTER</v>
      </c>
      <c r="Q31">
        <f>(Posts!$F31+Posts!$G31+Posts!$H31)/Posts!$I31</f>
        <v>0.10399399962497656</v>
      </c>
      <c r="R31" s="1">
        <f t="shared" si="1"/>
        <v>2773</v>
      </c>
    </row>
    <row r="32" spans="1:18" ht="15.75" customHeight="1">
      <c r="A32" s="30" t="s">
        <v>76</v>
      </c>
      <c r="B32" s="31" t="s">
        <v>23</v>
      </c>
      <c r="C32" s="32">
        <v>45658</v>
      </c>
      <c r="D32" s="31" t="s">
        <v>24</v>
      </c>
      <c r="E32" s="31" t="s">
        <v>33</v>
      </c>
      <c r="F32" s="33">
        <v>4036</v>
      </c>
      <c r="G32" s="33">
        <v>112</v>
      </c>
      <c r="H32" s="33">
        <v>382</v>
      </c>
      <c r="I32" s="33">
        <v>56284</v>
      </c>
      <c r="J32" s="33">
        <v>29440</v>
      </c>
      <c r="K32" s="33">
        <v>279</v>
      </c>
      <c r="L32" s="31" t="s">
        <v>26</v>
      </c>
      <c r="M32" s="30" t="s">
        <v>2</v>
      </c>
      <c r="N32" s="34">
        <f>INDEX('[1]Campaign Metadata '!B:B,MATCH(M32,'[1]Campaign Metadata '!A:A,0))</f>
        <v>45667</v>
      </c>
      <c r="O32" s="34">
        <f>INDEX('[1]Campaign Metadata '!C:C,MATCH(M32,'[1]Campaign Metadata '!A:A,0))</f>
        <v>45698</v>
      </c>
      <c r="P32" s="35" t="str">
        <f t="shared" si="0"/>
        <v>BEFORE</v>
      </c>
      <c r="Q32">
        <f>(Posts!$F32+Posts!$G32+Posts!$H32)/Posts!$I32</f>
        <v>8.0484684812735408E-2</v>
      </c>
      <c r="R32" s="1">
        <f t="shared" si="1"/>
        <v>4530</v>
      </c>
    </row>
    <row r="33" spans="1:18" ht="15.75" customHeight="1">
      <c r="A33" s="36" t="s">
        <v>77</v>
      </c>
      <c r="B33" s="37" t="s">
        <v>31</v>
      </c>
      <c r="C33" s="38">
        <v>45419</v>
      </c>
      <c r="D33" s="37" t="s">
        <v>32</v>
      </c>
      <c r="E33" s="37" t="s">
        <v>28</v>
      </c>
      <c r="F33" s="39">
        <v>2776</v>
      </c>
      <c r="G33" s="39">
        <v>307</v>
      </c>
      <c r="H33" s="39">
        <v>178</v>
      </c>
      <c r="I33" s="39">
        <v>43365</v>
      </c>
      <c r="J33" s="39">
        <v>48408</v>
      </c>
      <c r="K33" s="39">
        <v>138</v>
      </c>
      <c r="L33" s="37" t="s">
        <v>26</v>
      </c>
      <c r="M33" s="36" t="s">
        <v>2</v>
      </c>
      <c r="N33" s="40">
        <f>INDEX('[1]Campaign Metadata '!B:B,MATCH(M33,'[1]Campaign Metadata '!A:A,0))</f>
        <v>45667</v>
      </c>
      <c r="O33" s="40">
        <f>INDEX('[1]Campaign Metadata '!C:C,MATCH(M33,'[1]Campaign Metadata '!A:A,0))</f>
        <v>45698</v>
      </c>
      <c r="P33" s="41" t="str">
        <f t="shared" si="0"/>
        <v>BEFORE</v>
      </c>
      <c r="Q33">
        <f>(Posts!$F33+Posts!$G33+Posts!$H33)/Posts!$I33</f>
        <v>7.519889311656866E-2</v>
      </c>
      <c r="R33" s="1">
        <f t="shared" si="1"/>
        <v>3261</v>
      </c>
    </row>
    <row r="34" spans="1:18" ht="15.75" customHeight="1">
      <c r="A34" s="30" t="s">
        <v>78</v>
      </c>
      <c r="B34" s="31" t="s">
        <v>31</v>
      </c>
      <c r="C34" s="32">
        <v>45574</v>
      </c>
      <c r="D34" s="31" t="s">
        <v>32</v>
      </c>
      <c r="E34" s="31" t="s">
        <v>25</v>
      </c>
      <c r="F34" s="33">
        <v>4929</v>
      </c>
      <c r="G34" s="33">
        <v>182</v>
      </c>
      <c r="H34" s="33">
        <v>95</v>
      </c>
      <c r="I34" s="33">
        <v>32181</v>
      </c>
      <c r="J34" s="33">
        <v>31084</v>
      </c>
      <c r="K34" s="33">
        <v>289</v>
      </c>
      <c r="L34" s="31" t="s">
        <v>46</v>
      </c>
      <c r="M34" s="30" t="s">
        <v>2</v>
      </c>
      <c r="N34" s="34">
        <f>INDEX('[1]Campaign Metadata '!B:B,MATCH(M34,'[1]Campaign Metadata '!A:A,0))</f>
        <v>45667</v>
      </c>
      <c r="O34" s="34">
        <f>INDEX('[1]Campaign Metadata '!C:C,MATCH(M34,'[1]Campaign Metadata '!A:A,0))</f>
        <v>45698</v>
      </c>
      <c r="P34" s="35" t="str">
        <f t="shared" si="0"/>
        <v>BEFORE</v>
      </c>
      <c r="Q34">
        <f>(Posts!$F34+Posts!$G34+Posts!$H34)/Posts!$I34</f>
        <v>0.16177247444144061</v>
      </c>
      <c r="R34" s="1">
        <f t="shared" si="1"/>
        <v>5206</v>
      </c>
    </row>
    <row r="35" spans="1:18" ht="15.75" customHeight="1">
      <c r="A35" s="36" t="s">
        <v>79</v>
      </c>
      <c r="B35" s="37" t="s">
        <v>23</v>
      </c>
      <c r="C35" s="38">
        <v>45666</v>
      </c>
      <c r="D35" s="37" t="s">
        <v>24</v>
      </c>
      <c r="E35" s="37" t="s">
        <v>33</v>
      </c>
      <c r="F35" s="39">
        <v>1015</v>
      </c>
      <c r="G35" s="39">
        <v>366</v>
      </c>
      <c r="H35" s="39">
        <v>308</v>
      </c>
      <c r="I35" s="39">
        <v>38127</v>
      </c>
      <c r="J35" s="39">
        <v>63790</v>
      </c>
      <c r="K35" s="39">
        <v>287</v>
      </c>
      <c r="L35" s="37" t="s">
        <v>26</v>
      </c>
      <c r="M35" s="36" t="s">
        <v>2</v>
      </c>
      <c r="N35" s="40">
        <f>INDEX('[1]Campaign Metadata '!B:B,MATCH(M35,'[1]Campaign Metadata '!A:A,0))</f>
        <v>45667</v>
      </c>
      <c r="O35" s="40">
        <f>INDEX('[1]Campaign Metadata '!C:C,MATCH(M35,'[1]Campaign Metadata '!A:A,0))</f>
        <v>45698</v>
      </c>
      <c r="P35" s="41" t="str">
        <f t="shared" si="0"/>
        <v>BEFORE</v>
      </c>
      <c r="Q35">
        <f>(Posts!$F35+Posts!$G35+Posts!$H35)/Posts!$I35</f>
        <v>4.4299315445747112E-2</v>
      </c>
      <c r="R35" s="1">
        <f t="shared" si="1"/>
        <v>1689</v>
      </c>
    </row>
    <row r="36" spans="1:18" ht="15.75" customHeight="1">
      <c r="A36" s="30" t="s">
        <v>80</v>
      </c>
      <c r="B36" s="31" t="s">
        <v>31</v>
      </c>
      <c r="C36" s="32">
        <v>45785</v>
      </c>
      <c r="D36" s="31" t="s">
        <v>32</v>
      </c>
      <c r="E36" s="31" t="s">
        <v>58</v>
      </c>
      <c r="F36" s="33">
        <v>3316</v>
      </c>
      <c r="G36" s="33">
        <v>332</v>
      </c>
      <c r="H36" s="33">
        <v>268</v>
      </c>
      <c r="I36" s="33">
        <v>40095</v>
      </c>
      <c r="J36" s="33">
        <v>36913</v>
      </c>
      <c r="K36" s="33">
        <v>265</v>
      </c>
      <c r="L36" s="31" t="s">
        <v>34</v>
      </c>
      <c r="M36" s="30" t="s">
        <v>2</v>
      </c>
      <c r="N36" s="34">
        <f>INDEX('[1]Campaign Metadata '!B:B,MATCH(M36,'[1]Campaign Metadata '!A:A,0))</f>
        <v>45667</v>
      </c>
      <c r="O36" s="34">
        <f>INDEX('[1]Campaign Metadata '!C:C,MATCH(M36,'[1]Campaign Metadata '!A:A,0))</f>
        <v>45698</v>
      </c>
      <c r="P36" s="35" t="str">
        <f t="shared" si="0"/>
        <v>AFTER</v>
      </c>
      <c r="Q36">
        <f>(Posts!$F36+Posts!$G36+Posts!$H36)/Posts!$I36</f>
        <v>9.7668038408779148E-2</v>
      </c>
      <c r="R36" s="1">
        <f t="shared" si="1"/>
        <v>3916</v>
      </c>
    </row>
    <row r="37" spans="1:18" ht="15.75" customHeight="1">
      <c r="A37" s="36" t="s">
        <v>81</v>
      </c>
      <c r="B37" s="37" t="s">
        <v>23</v>
      </c>
      <c r="C37" s="38">
        <v>45416</v>
      </c>
      <c r="D37" s="37" t="s">
        <v>24</v>
      </c>
      <c r="E37" s="37" t="s">
        <v>36</v>
      </c>
      <c r="F37" s="39">
        <v>2274</v>
      </c>
      <c r="G37" s="39">
        <v>243</v>
      </c>
      <c r="H37" s="39">
        <v>222</v>
      </c>
      <c r="I37" s="39">
        <v>43066</v>
      </c>
      <c r="J37" s="39">
        <v>59174</v>
      </c>
      <c r="K37" s="39">
        <v>80</v>
      </c>
      <c r="L37" s="37" t="s">
        <v>29</v>
      </c>
      <c r="M37" s="36" t="s">
        <v>3</v>
      </c>
      <c r="N37" s="40">
        <f>INDEX('[1]Campaign Metadata '!B:B,MATCH(M37,'[1]Campaign Metadata '!A:A,0))</f>
        <v>45717</v>
      </c>
      <c r="O37" s="40">
        <f>INDEX('[1]Campaign Metadata '!C:C,MATCH(M37,'[1]Campaign Metadata '!A:A,0))</f>
        <v>45747</v>
      </c>
      <c r="P37" s="41" t="str">
        <f t="shared" si="0"/>
        <v>BEFORE</v>
      </c>
      <c r="Q37">
        <f>(Posts!$F37+Posts!$G37+Posts!$H37)/Posts!$I37</f>
        <v>6.3600055728416843E-2</v>
      </c>
      <c r="R37" s="1">
        <f t="shared" si="1"/>
        <v>2739</v>
      </c>
    </row>
    <row r="38" spans="1:18" ht="15.75" customHeight="1">
      <c r="A38" s="30" t="s">
        <v>82</v>
      </c>
      <c r="B38" s="31" t="s">
        <v>31</v>
      </c>
      <c r="C38" s="32">
        <v>45804</v>
      </c>
      <c r="D38" s="31" t="s">
        <v>32</v>
      </c>
      <c r="E38" s="31" t="s">
        <v>28</v>
      </c>
      <c r="F38" s="33">
        <v>4095</v>
      </c>
      <c r="G38" s="33">
        <v>385</v>
      </c>
      <c r="H38" s="33">
        <v>400</v>
      </c>
      <c r="I38" s="33">
        <v>45300</v>
      </c>
      <c r="J38" s="33">
        <v>31795</v>
      </c>
      <c r="K38" s="33">
        <v>80</v>
      </c>
      <c r="L38" s="31" t="s">
        <v>34</v>
      </c>
      <c r="M38" s="30" t="s">
        <v>2</v>
      </c>
      <c r="N38" s="34">
        <f>INDEX('[1]Campaign Metadata '!B:B,MATCH(M38,'[1]Campaign Metadata '!A:A,0))</f>
        <v>45667</v>
      </c>
      <c r="O38" s="34">
        <f>INDEX('[1]Campaign Metadata '!C:C,MATCH(M38,'[1]Campaign Metadata '!A:A,0))</f>
        <v>45698</v>
      </c>
      <c r="P38" s="35" t="str">
        <f t="shared" si="0"/>
        <v>AFTER</v>
      </c>
      <c r="Q38">
        <f>(Posts!$F38+Posts!$G38+Posts!$H38)/Posts!$I38</f>
        <v>0.10772626931567329</v>
      </c>
      <c r="R38" s="1">
        <f t="shared" si="1"/>
        <v>4880</v>
      </c>
    </row>
    <row r="39" spans="1:18" ht="15.75" customHeight="1">
      <c r="A39" s="36" t="s">
        <v>83</v>
      </c>
      <c r="B39" s="37" t="s">
        <v>23</v>
      </c>
      <c r="C39" s="38">
        <v>45545</v>
      </c>
      <c r="D39" s="37" t="s">
        <v>32</v>
      </c>
      <c r="E39" s="37" t="s">
        <v>33</v>
      </c>
      <c r="F39" s="39">
        <v>1230</v>
      </c>
      <c r="G39" s="39">
        <v>309</v>
      </c>
      <c r="H39" s="39">
        <v>207</v>
      </c>
      <c r="I39" s="39">
        <v>44629</v>
      </c>
      <c r="J39" s="39">
        <v>40699</v>
      </c>
      <c r="K39" s="39">
        <v>195</v>
      </c>
      <c r="L39" s="37" t="s">
        <v>49</v>
      </c>
      <c r="M39" s="36" t="s">
        <v>1</v>
      </c>
      <c r="N39" s="40">
        <f>INDEX('[1]Campaign Metadata '!B:B,MATCH(M39,'[1]Campaign Metadata '!A:A,0))</f>
        <v>45627</v>
      </c>
      <c r="O39" s="40">
        <f>INDEX('[1]Campaign Metadata '!C:C,MATCH(M39,'[1]Campaign Metadata '!A:A,0))</f>
        <v>45657</v>
      </c>
      <c r="P39" s="41" t="str">
        <f t="shared" si="0"/>
        <v>BEFORE</v>
      </c>
      <c r="Q39">
        <f>(Posts!$F39+Posts!$G39+Posts!$H39)/Posts!$I39</f>
        <v>3.9122543637545096E-2</v>
      </c>
      <c r="R39" s="1">
        <f t="shared" si="1"/>
        <v>1746</v>
      </c>
    </row>
    <row r="40" spans="1:18" ht="15.75" customHeight="1">
      <c r="A40" s="30" t="s">
        <v>84</v>
      </c>
      <c r="B40" s="31" t="s">
        <v>23</v>
      </c>
      <c r="C40" s="32">
        <v>45621</v>
      </c>
      <c r="D40" s="31" t="s">
        <v>24</v>
      </c>
      <c r="E40" s="31" t="s">
        <v>56</v>
      </c>
      <c r="F40" s="33">
        <v>1341</v>
      </c>
      <c r="G40" s="33">
        <v>472</v>
      </c>
      <c r="H40" s="33">
        <v>238</v>
      </c>
      <c r="I40" s="33">
        <v>51386</v>
      </c>
      <c r="J40" s="33">
        <v>51706</v>
      </c>
      <c r="K40" s="33">
        <v>133</v>
      </c>
      <c r="L40" s="31" t="s">
        <v>29</v>
      </c>
      <c r="M40" s="30" t="s">
        <v>3</v>
      </c>
      <c r="N40" s="34">
        <f>INDEX('[1]Campaign Metadata '!B:B,MATCH(M40,'[1]Campaign Metadata '!A:A,0))</f>
        <v>45717</v>
      </c>
      <c r="O40" s="34">
        <f>INDEX('[1]Campaign Metadata '!C:C,MATCH(M40,'[1]Campaign Metadata '!A:A,0))</f>
        <v>45747</v>
      </c>
      <c r="P40" s="35" t="str">
        <f t="shared" si="0"/>
        <v>BEFORE</v>
      </c>
      <c r="Q40">
        <f>(Posts!$F40+Posts!$G40+Posts!$H40)/Posts!$I40</f>
        <v>3.9913595142645857E-2</v>
      </c>
      <c r="R40" s="1">
        <f t="shared" si="1"/>
        <v>2051</v>
      </c>
    </row>
    <row r="41" spans="1:18" ht="15.75" customHeight="1">
      <c r="A41" s="36" t="s">
        <v>85</v>
      </c>
      <c r="B41" s="37" t="s">
        <v>31</v>
      </c>
      <c r="C41" s="38">
        <v>45818</v>
      </c>
      <c r="D41" s="37" t="s">
        <v>24</v>
      </c>
      <c r="E41" s="37" t="s">
        <v>28</v>
      </c>
      <c r="F41" s="39">
        <v>3615</v>
      </c>
      <c r="G41" s="39">
        <v>192</v>
      </c>
      <c r="H41" s="39">
        <v>162</v>
      </c>
      <c r="I41" s="39">
        <v>27492</v>
      </c>
      <c r="J41" s="39">
        <v>35341</v>
      </c>
      <c r="K41" s="39">
        <v>125</v>
      </c>
      <c r="L41" s="37" t="s">
        <v>49</v>
      </c>
      <c r="M41" s="36" t="s">
        <v>2</v>
      </c>
      <c r="N41" s="40">
        <f>INDEX('[1]Campaign Metadata '!B:B,MATCH(M41,'[1]Campaign Metadata '!A:A,0))</f>
        <v>45667</v>
      </c>
      <c r="O41" s="40">
        <f>INDEX('[1]Campaign Metadata '!C:C,MATCH(M41,'[1]Campaign Metadata '!A:A,0))</f>
        <v>45698</v>
      </c>
      <c r="P41" s="41" t="str">
        <f t="shared" si="0"/>
        <v>AFTER</v>
      </c>
      <c r="Q41">
        <f>(Posts!$F41+Posts!$G41+Posts!$H41)/Posts!$I41</f>
        <v>0.14436927106067218</v>
      </c>
      <c r="R41" s="1">
        <f t="shared" si="1"/>
        <v>3969</v>
      </c>
    </row>
    <row r="42" spans="1:18" ht="15.75" customHeight="1">
      <c r="A42" s="30" t="s">
        <v>86</v>
      </c>
      <c r="B42" s="31" t="s">
        <v>23</v>
      </c>
      <c r="C42" s="32">
        <v>45401</v>
      </c>
      <c r="D42" s="31" t="s">
        <v>24</v>
      </c>
      <c r="E42" s="31" t="s">
        <v>33</v>
      </c>
      <c r="F42" s="33">
        <v>4001</v>
      </c>
      <c r="G42" s="33">
        <v>353</v>
      </c>
      <c r="H42" s="33">
        <v>129</v>
      </c>
      <c r="I42" s="33">
        <v>41265</v>
      </c>
      <c r="J42" s="33">
        <v>37279</v>
      </c>
      <c r="K42" s="33">
        <v>275</v>
      </c>
      <c r="L42" s="31" t="s">
        <v>26</v>
      </c>
      <c r="M42" s="30" t="s">
        <v>2</v>
      </c>
      <c r="N42" s="34">
        <f>INDEX('[1]Campaign Metadata '!B:B,MATCH(M42,'[1]Campaign Metadata '!A:A,0))</f>
        <v>45667</v>
      </c>
      <c r="O42" s="34">
        <f>INDEX('[1]Campaign Metadata '!C:C,MATCH(M42,'[1]Campaign Metadata '!A:A,0))</f>
        <v>45698</v>
      </c>
      <c r="P42" s="35" t="str">
        <f t="shared" si="0"/>
        <v>BEFORE</v>
      </c>
      <c r="Q42">
        <f>(Posts!$F42+Posts!$G42+Posts!$H42)/Posts!$I42</f>
        <v>0.10863928268508422</v>
      </c>
      <c r="R42" s="1">
        <f t="shared" si="1"/>
        <v>4483</v>
      </c>
    </row>
    <row r="43" spans="1:18" ht="15.75" customHeight="1">
      <c r="A43" s="36" t="s">
        <v>87</v>
      </c>
      <c r="B43" s="37" t="s">
        <v>23</v>
      </c>
      <c r="C43" s="38">
        <v>45683</v>
      </c>
      <c r="D43" s="37" t="s">
        <v>32</v>
      </c>
      <c r="E43" s="37" t="s">
        <v>42</v>
      </c>
      <c r="F43" s="39">
        <v>3451</v>
      </c>
      <c r="G43" s="39">
        <v>363</v>
      </c>
      <c r="H43" s="39">
        <v>393</v>
      </c>
      <c r="I43" s="39">
        <v>44853</v>
      </c>
      <c r="J43" s="39">
        <v>69032</v>
      </c>
      <c r="K43" s="39">
        <v>211</v>
      </c>
      <c r="L43" s="37" t="s">
        <v>49</v>
      </c>
      <c r="M43" s="36" t="s">
        <v>1</v>
      </c>
      <c r="N43" s="40">
        <f>INDEX('[1]Campaign Metadata '!B:B,MATCH(M43,'[1]Campaign Metadata '!A:A,0))</f>
        <v>45627</v>
      </c>
      <c r="O43" s="40">
        <f>INDEX('[1]Campaign Metadata '!C:C,MATCH(M43,'[1]Campaign Metadata '!A:A,0))</f>
        <v>45657</v>
      </c>
      <c r="P43" s="41" t="str">
        <f t="shared" si="0"/>
        <v>AFTER</v>
      </c>
      <c r="Q43">
        <f>(Posts!$F43+Posts!$G43+Posts!$H43)/Posts!$I43</f>
        <v>9.379528682585335E-2</v>
      </c>
      <c r="R43" s="1">
        <f t="shared" si="1"/>
        <v>4207</v>
      </c>
    </row>
    <row r="44" spans="1:18" ht="15.75" customHeight="1">
      <c r="A44" s="30" t="s">
        <v>88</v>
      </c>
      <c r="B44" s="31" t="s">
        <v>23</v>
      </c>
      <c r="C44" s="32">
        <v>45702</v>
      </c>
      <c r="D44" s="31" t="s">
        <v>24</v>
      </c>
      <c r="E44" s="31" t="s">
        <v>48</v>
      </c>
      <c r="F44" s="33">
        <v>4891</v>
      </c>
      <c r="G44" s="33">
        <v>450</v>
      </c>
      <c r="H44" s="33">
        <v>387</v>
      </c>
      <c r="I44" s="33">
        <v>48746</v>
      </c>
      <c r="J44" s="33">
        <v>37312</v>
      </c>
      <c r="K44" s="33">
        <v>154</v>
      </c>
      <c r="L44" s="31" t="s">
        <v>26</v>
      </c>
      <c r="M44" s="30" t="s">
        <v>2</v>
      </c>
      <c r="N44" s="34">
        <f>INDEX('[1]Campaign Metadata '!B:B,MATCH(M44,'[1]Campaign Metadata '!A:A,0))</f>
        <v>45667</v>
      </c>
      <c r="O44" s="34">
        <f>INDEX('[1]Campaign Metadata '!C:C,MATCH(M44,'[1]Campaign Metadata '!A:A,0))</f>
        <v>45698</v>
      </c>
      <c r="P44" s="35" t="str">
        <f t="shared" si="0"/>
        <v>AFTER</v>
      </c>
      <c r="Q44">
        <f>(Posts!$F44+Posts!$G44+Posts!$H44)/Posts!$I44</f>
        <v>0.11750707750379519</v>
      </c>
      <c r="R44" s="1">
        <f t="shared" si="1"/>
        <v>5728</v>
      </c>
    </row>
    <row r="45" spans="1:18" ht="15.75" customHeight="1">
      <c r="A45" s="36" t="s">
        <v>89</v>
      </c>
      <c r="B45" s="37" t="s">
        <v>23</v>
      </c>
      <c r="C45" s="38">
        <v>45541</v>
      </c>
      <c r="D45" s="37" t="s">
        <v>24</v>
      </c>
      <c r="E45" s="37" t="s">
        <v>33</v>
      </c>
      <c r="F45" s="39">
        <v>1452</v>
      </c>
      <c r="G45" s="39">
        <v>281</v>
      </c>
      <c r="H45" s="39">
        <v>326</v>
      </c>
      <c r="I45" s="39">
        <v>51556</v>
      </c>
      <c r="J45" s="39">
        <v>62599</v>
      </c>
      <c r="K45" s="39">
        <v>290</v>
      </c>
      <c r="L45" s="37" t="s">
        <v>29</v>
      </c>
      <c r="M45" s="36" t="s">
        <v>3</v>
      </c>
      <c r="N45" s="40">
        <f>INDEX('[1]Campaign Metadata '!B:B,MATCH(M45,'[1]Campaign Metadata '!A:A,0))</f>
        <v>45717</v>
      </c>
      <c r="O45" s="40">
        <f>INDEX('[1]Campaign Metadata '!C:C,MATCH(M45,'[1]Campaign Metadata '!A:A,0))</f>
        <v>45747</v>
      </c>
      <c r="P45" s="41" t="str">
        <f t="shared" si="0"/>
        <v>BEFORE</v>
      </c>
      <c r="Q45">
        <f>(Posts!$F45+Posts!$G45+Posts!$H45)/Posts!$I45</f>
        <v>3.9937155714174881E-2</v>
      </c>
      <c r="R45" s="1">
        <f t="shared" si="1"/>
        <v>2059</v>
      </c>
    </row>
    <row r="46" spans="1:18" ht="15.75" customHeight="1">
      <c r="A46" s="30" t="s">
        <v>90</v>
      </c>
      <c r="B46" s="31" t="s">
        <v>38</v>
      </c>
      <c r="C46" s="32">
        <v>45487</v>
      </c>
      <c r="D46" s="31" t="s">
        <v>24</v>
      </c>
      <c r="E46" s="31" t="s">
        <v>58</v>
      </c>
      <c r="F46" s="33">
        <v>3806</v>
      </c>
      <c r="G46" s="33">
        <v>114</v>
      </c>
      <c r="H46" s="33">
        <v>278</v>
      </c>
      <c r="I46" s="33">
        <v>36148</v>
      </c>
      <c r="J46" s="33">
        <v>24209</v>
      </c>
      <c r="K46" s="33">
        <v>201</v>
      </c>
      <c r="L46" s="31" t="s">
        <v>40</v>
      </c>
      <c r="M46" s="30" t="s">
        <v>3</v>
      </c>
      <c r="N46" s="34">
        <f>INDEX('[1]Campaign Metadata '!B:B,MATCH(M46,'[1]Campaign Metadata '!A:A,0))</f>
        <v>45717</v>
      </c>
      <c r="O46" s="34">
        <f>INDEX('[1]Campaign Metadata '!C:C,MATCH(M46,'[1]Campaign Metadata '!A:A,0))</f>
        <v>45747</v>
      </c>
      <c r="P46" s="35" t="str">
        <f t="shared" si="0"/>
        <v>BEFORE</v>
      </c>
      <c r="Q46">
        <f>(Posts!$F46+Posts!$G46+Posts!$H46)/Posts!$I46</f>
        <v>0.11613367267898639</v>
      </c>
      <c r="R46" s="1">
        <f t="shared" si="1"/>
        <v>4198</v>
      </c>
    </row>
    <row r="47" spans="1:18" ht="15.75" customHeight="1">
      <c r="A47" s="36" t="s">
        <v>91</v>
      </c>
      <c r="B47" s="37" t="s">
        <v>23</v>
      </c>
      <c r="C47" s="38">
        <v>45334</v>
      </c>
      <c r="D47" s="37" t="s">
        <v>24</v>
      </c>
      <c r="E47" s="37" t="s">
        <v>28</v>
      </c>
      <c r="F47" s="39">
        <v>2923</v>
      </c>
      <c r="G47" s="39">
        <v>330</v>
      </c>
      <c r="H47" s="39">
        <v>250</v>
      </c>
      <c r="I47" s="39">
        <v>23993</v>
      </c>
      <c r="J47" s="39">
        <v>74590</v>
      </c>
      <c r="K47" s="39">
        <v>92</v>
      </c>
      <c r="L47" s="37" t="s">
        <v>29</v>
      </c>
      <c r="M47" s="36" t="s">
        <v>3</v>
      </c>
      <c r="N47" s="40">
        <f>INDEX('[1]Campaign Metadata '!B:B,MATCH(M47,'[1]Campaign Metadata '!A:A,0))</f>
        <v>45717</v>
      </c>
      <c r="O47" s="40">
        <f>INDEX('[1]Campaign Metadata '!C:C,MATCH(M47,'[1]Campaign Metadata '!A:A,0))</f>
        <v>45747</v>
      </c>
      <c r="P47" s="41" t="str">
        <f t="shared" si="0"/>
        <v>BEFORE</v>
      </c>
      <c r="Q47">
        <f>(Posts!$F47+Posts!$G47+Posts!$H47)/Posts!$I47</f>
        <v>0.14600091693410577</v>
      </c>
      <c r="R47" s="1">
        <f t="shared" si="1"/>
        <v>3503</v>
      </c>
    </row>
    <row r="48" spans="1:18" ht="15.75" customHeight="1">
      <c r="A48" s="30" t="s">
        <v>92</v>
      </c>
      <c r="B48" s="31" t="s">
        <v>38</v>
      </c>
      <c r="C48" s="32">
        <v>45365</v>
      </c>
      <c r="D48" s="31" t="s">
        <v>63</v>
      </c>
      <c r="E48" s="31" t="s">
        <v>56</v>
      </c>
      <c r="F48" s="33">
        <v>3361</v>
      </c>
      <c r="G48" s="33">
        <v>188</v>
      </c>
      <c r="H48" s="33">
        <v>358</v>
      </c>
      <c r="I48" s="33">
        <v>39838</v>
      </c>
      <c r="J48" s="33">
        <v>24536</v>
      </c>
      <c r="K48" s="33">
        <v>120</v>
      </c>
      <c r="L48" s="31" t="s">
        <v>64</v>
      </c>
      <c r="M48" s="30" t="s">
        <v>0</v>
      </c>
      <c r="N48" s="34">
        <f>INDEX('[1]Campaign Metadata '!B:B,MATCH(M48,'[1]Campaign Metadata '!A:A,0))</f>
        <v>45458</v>
      </c>
      <c r="O48" s="34">
        <f>INDEX('[1]Campaign Metadata '!C:C,MATCH(M48,'[1]Campaign Metadata '!A:A,0))</f>
        <v>45488</v>
      </c>
      <c r="P48" s="35" t="str">
        <f t="shared" si="0"/>
        <v>BEFORE</v>
      </c>
      <c r="Q48">
        <f>(Posts!$F48+Posts!$G48+Posts!$H48)/Posts!$I48</f>
        <v>9.8072192379135503E-2</v>
      </c>
      <c r="R48" s="1">
        <f t="shared" si="1"/>
        <v>3907</v>
      </c>
    </row>
    <row r="49" spans="1:18" ht="15.75" customHeight="1">
      <c r="A49" s="36" t="s">
        <v>93</v>
      </c>
      <c r="B49" s="37" t="s">
        <v>23</v>
      </c>
      <c r="C49" s="38">
        <v>45693</v>
      </c>
      <c r="D49" s="37" t="s">
        <v>32</v>
      </c>
      <c r="E49" s="37" t="s">
        <v>39</v>
      </c>
      <c r="F49" s="39">
        <v>3074</v>
      </c>
      <c r="G49" s="39">
        <v>371</v>
      </c>
      <c r="H49" s="39">
        <v>348</v>
      </c>
      <c r="I49" s="39">
        <v>24104</v>
      </c>
      <c r="J49" s="39">
        <v>57803</v>
      </c>
      <c r="K49" s="39">
        <v>213</v>
      </c>
      <c r="L49" s="37" t="s">
        <v>49</v>
      </c>
      <c r="M49" s="36" t="s">
        <v>1</v>
      </c>
      <c r="N49" s="40">
        <f>INDEX('[1]Campaign Metadata '!B:B,MATCH(M49,'[1]Campaign Metadata '!A:A,0))</f>
        <v>45627</v>
      </c>
      <c r="O49" s="40">
        <f>INDEX('[1]Campaign Metadata '!C:C,MATCH(M49,'[1]Campaign Metadata '!A:A,0))</f>
        <v>45657</v>
      </c>
      <c r="P49" s="41" t="str">
        <f t="shared" si="0"/>
        <v>AFTER</v>
      </c>
      <c r="Q49">
        <f>(Posts!$F49+Posts!$G49+Posts!$H49)/Posts!$I49</f>
        <v>0.15735977431131762</v>
      </c>
      <c r="R49" s="1">
        <f t="shared" si="1"/>
        <v>3793</v>
      </c>
    </row>
    <row r="50" spans="1:18" ht="15.75" customHeight="1">
      <c r="A50" s="30" t="s">
        <v>94</v>
      </c>
      <c r="B50" s="31" t="s">
        <v>31</v>
      </c>
      <c r="C50" s="32">
        <v>45533</v>
      </c>
      <c r="D50" s="31" t="s">
        <v>32</v>
      </c>
      <c r="E50" s="31" t="s">
        <v>44</v>
      </c>
      <c r="F50" s="33">
        <v>4276</v>
      </c>
      <c r="G50" s="33">
        <v>227</v>
      </c>
      <c r="H50" s="33">
        <v>223</v>
      </c>
      <c r="I50" s="33">
        <v>43443</v>
      </c>
      <c r="J50" s="33">
        <v>41005</v>
      </c>
      <c r="K50" s="33">
        <v>191</v>
      </c>
      <c r="L50" s="31" t="s">
        <v>46</v>
      </c>
      <c r="M50" s="30" t="s">
        <v>2</v>
      </c>
      <c r="N50" s="34">
        <f>INDEX('[1]Campaign Metadata '!B:B,MATCH(M50,'[1]Campaign Metadata '!A:A,0))</f>
        <v>45667</v>
      </c>
      <c r="O50" s="34">
        <f>INDEX('[1]Campaign Metadata '!C:C,MATCH(M50,'[1]Campaign Metadata '!A:A,0))</f>
        <v>45698</v>
      </c>
      <c r="P50" s="35" t="str">
        <f t="shared" si="0"/>
        <v>BEFORE</v>
      </c>
      <c r="Q50">
        <f>(Posts!$F50+Posts!$G50+Posts!$H50)/Posts!$I50</f>
        <v>0.1087862256289851</v>
      </c>
      <c r="R50" s="1">
        <f t="shared" si="1"/>
        <v>4726</v>
      </c>
    </row>
    <row r="51" spans="1:18" ht="15.75" customHeight="1">
      <c r="A51" s="36" t="s">
        <v>95</v>
      </c>
      <c r="B51" s="37" t="s">
        <v>31</v>
      </c>
      <c r="C51" s="38">
        <v>45769</v>
      </c>
      <c r="D51" s="37" t="s">
        <v>24</v>
      </c>
      <c r="E51" s="37" t="s">
        <v>25</v>
      </c>
      <c r="F51" s="39">
        <v>4401</v>
      </c>
      <c r="G51" s="39">
        <v>421</v>
      </c>
      <c r="H51" s="39">
        <v>216</v>
      </c>
      <c r="I51" s="39">
        <v>24890</v>
      </c>
      <c r="J51" s="39">
        <v>54361</v>
      </c>
      <c r="K51" s="39">
        <v>148</v>
      </c>
      <c r="L51" s="37" t="s">
        <v>49</v>
      </c>
      <c r="M51" s="36" t="s">
        <v>2</v>
      </c>
      <c r="N51" s="40">
        <f>INDEX('[1]Campaign Metadata '!B:B,MATCH(M51,'[1]Campaign Metadata '!A:A,0))</f>
        <v>45667</v>
      </c>
      <c r="O51" s="40">
        <f>INDEX('[1]Campaign Metadata '!C:C,MATCH(M51,'[1]Campaign Metadata '!A:A,0))</f>
        <v>45698</v>
      </c>
      <c r="P51" s="41" t="str">
        <f t="shared" si="0"/>
        <v>AFTER</v>
      </c>
      <c r="Q51">
        <f>(Posts!$F51+Posts!$G51+Posts!$H51)/Posts!$I51</f>
        <v>0.20241060666934513</v>
      </c>
      <c r="R51" s="1">
        <f t="shared" si="1"/>
        <v>5038</v>
      </c>
    </row>
    <row r="52" spans="1:18" ht="15.75" customHeight="1">
      <c r="A52" s="30" t="s">
        <v>96</v>
      </c>
      <c r="B52" s="31" t="s">
        <v>38</v>
      </c>
      <c r="C52" s="32">
        <v>45425</v>
      </c>
      <c r="D52" s="31" t="s">
        <v>63</v>
      </c>
      <c r="E52" s="31" t="s">
        <v>28</v>
      </c>
      <c r="F52" s="33">
        <v>4161</v>
      </c>
      <c r="G52" s="33">
        <v>481</v>
      </c>
      <c r="H52" s="33">
        <v>61</v>
      </c>
      <c r="I52" s="33">
        <v>45884</v>
      </c>
      <c r="J52" s="33">
        <v>48955</v>
      </c>
      <c r="K52" s="33">
        <v>215</v>
      </c>
      <c r="L52" s="31" t="s">
        <v>64</v>
      </c>
      <c r="M52" s="30" t="s">
        <v>0</v>
      </c>
      <c r="N52" s="34">
        <f>INDEX('[1]Campaign Metadata '!B:B,MATCH(M52,'[1]Campaign Metadata '!A:A,0))</f>
        <v>45458</v>
      </c>
      <c r="O52" s="34">
        <f>INDEX('[1]Campaign Metadata '!C:C,MATCH(M52,'[1]Campaign Metadata '!A:A,0))</f>
        <v>45488</v>
      </c>
      <c r="P52" s="35" t="str">
        <f t="shared" si="0"/>
        <v>BEFORE</v>
      </c>
      <c r="Q52">
        <f>(Posts!$F52+Posts!$G52+Posts!$H52)/Posts!$I52</f>
        <v>0.10249760265016128</v>
      </c>
      <c r="R52" s="1">
        <f t="shared" si="1"/>
        <v>4703</v>
      </c>
    </row>
    <row r="53" spans="1:18" ht="15.75" customHeight="1">
      <c r="A53" s="36" t="s">
        <v>97</v>
      </c>
      <c r="B53" s="37" t="s">
        <v>31</v>
      </c>
      <c r="C53" s="38">
        <v>45539</v>
      </c>
      <c r="D53" s="37" t="s">
        <v>32</v>
      </c>
      <c r="E53" s="37" t="s">
        <v>33</v>
      </c>
      <c r="F53" s="39">
        <v>2613</v>
      </c>
      <c r="G53" s="39">
        <v>455</v>
      </c>
      <c r="H53" s="39">
        <v>228</v>
      </c>
      <c r="I53" s="39">
        <v>21645</v>
      </c>
      <c r="J53" s="39">
        <v>61334</v>
      </c>
      <c r="K53" s="39">
        <v>261</v>
      </c>
      <c r="L53" s="37" t="s">
        <v>46</v>
      </c>
      <c r="M53" s="36" t="s">
        <v>2</v>
      </c>
      <c r="N53" s="40">
        <f>INDEX('[1]Campaign Metadata '!B:B,MATCH(M53,'[1]Campaign Metadata '!A:A,0))</f>
        <v>45667</v>
      </c>
      <c r="O53" s="40">
        <f>INDEX('[1]Campaign Metadata '!C:C,MATCH(M53,'[1]Campaign Metadata '!A:A,0))</f>
        <v>45698</v>
      </c>
      <c r="P53" s="41" t="str">
        <f t="shared" si="0"/>
        <v>BEFORE</v>
      </c>
      <c r="Q53">
        <f>(Posts!$F53+Posts!$G53+Posts!$H53)/Posts!$I53</f>
        <v>0.15227535227535227</v>
      </c>
      <c r="R53" s="1">
        <f t="shared" si="1"/>
        <v>3296</v>
      </c>
    </row>
    <row r="54" spans="1:18" ht="15.75" customHeight="1">
      <c r="A54" s="30" t="s">
        <v>98</v>
      </c>
      <c r="B54" s="31" t="s">
        <v>31</v>
      </c>
      <c r="C54" s="32">
        <v>45516</v>
      </c>
      <c r="D54" s="31" t="s">
        <v>32</v>
      </c>
      <c r="E54" s="31" t="s">
        <v>42</v>
      </c>
      <c r="F54" s="33">
        <v>2842</v>
      </c>
      <c r="G54" s="33">
        <v>213</v>
      </c>
      <c r="H54" s="33">
        <v>331</v>
      </c>
      <c r="I54" s="33">
        <v>57660</v>
      </c>
      <c r="J54" s="33">
        <v>68606</v>
      </c>
      <c r="K54" s="33">
        <v>87</v>
      </c>
      <c r="L54" s="31" t="s">
        <v>34</v>
      </c>
      <c r="M54" s="30" t="s">
        <v>2</v>
      </c>
      <c r="N54" s="34">
        <f>INDEX('[1]Campaign Metadata '!B:B,MATCH(M54,'[1]Campaign Metadata '!A:A,0))</f>
        <v>45667</v>
      </c>
      <c r="O54" s="34">
        <f>INDEX('[1]Campaign Metadata '!C:C,MATCH(M54,'[1]Campaign Metadata '!A:A,0))</f>
        <v>45698</v>
      </c>
      <c r="P54" s="35" t="str">
        <f t="shared" si="0"/>
        <v>BEFORE</v>
      </c>
      <c r="Q54">
        <f>(Posts!$F54+Posts!$G54+Posts!$H54)/Posts!$I54</f>
        <v>5.8723551855705859E-2</v>
      </c>
      <c r="R54" s="1">
        <f t="shared" si="1"/>
        <v>3386</v>
      </c>
    </row>
    <row r="55" spans="1:18" ht="15.75" customHeight="1">
      <c r="A55" s="36" t="s">
        <v>99</v>
      </c>
      <c r="B55" s="37" t="s">
        <v>23</v>
      </c>
      <c r="C55" s="38">
        <v>45722</v>
      </c>
      <c r="D55" s="37" t="s">
        <v>24</v>
      </c>
      <c r="E55" s="37" t="s">
        <v>44</v>
      </c>
      <c r="F55" s="39">
        <v>4851</v>
      </c>
      <c r="G55" s="39">
        <v>460</v>
      </c>
      <c r="H55" s="39">
        <v>212</v>
      </c>
      <c r="I55" s="39">
        <v>58075</v>
      </c>
      <c r="J55" s="39">
        <v>59574</v>
      </c>
      <c r="K55" s="39">
        <v>239</v>
      </c>
      <c r="L55" s="37" t="s">
        <v>29</v>
      </c>
      <c r="M55" s="36" t="s">
        <v>3</v>
      </c>
      <c r="N55" s="40">
        <f>INDEX('[1]Campaign Metadata '!B:B,MATCH(M55,'[1]Campaign Metadata '!A:A,0))</f>
        <v>45717</v>
      </c>
      <c r="O55" s="40">
        <f>INDEX('[1]Campaign Metadata '!C:C,MATCH(M55,'[1]Campaign Metadata '!A:A,0))</f>
        <v>45747</v>
      </c>
      <c r="P55" s="41" t="str">
        <f t="shared" si="0"/>
        <v>DURING</v>
      </c>
      <c r="Q55">
        <f>(Posts!$F55+Posts!$G55+Posts!$H55)/Posts!$I55</f>
        <v>9.5101162290142052E-2</v>
      </c>
      <c r="R55" s="1">
        <f t="shared" si="1"/>
        <v>5523</v>
      </c>
    </row>
    <row r="56" spans="1:18" ht="15.75" customHeight="1">
      <c r="A56" s="30" t="s">
        <v>100</v>
      </c>
      <c r="B56" s="31" t="s">
        <v>31</v>
      </c>
      <c r="C56" s="32">
        <v>45420</v>
      </c>
      <c r="D56" s="31" t="s">
        <v>24</v>
      </c>
      <c r="E56" s="31" t="s">
        <v>28</v>
      </c>
      <c r="F56" s="33">
        <v>1828</v>
      </c>
      <c r="G56" s="33">
        <v>450</v>
      </c>
      <c r="H56" s="33">
        <v>214</v>
      </c>
      <c r="I56" s="33">
        <v>52115</v>
      </c>
      <c r="J56" s="33">
        <v>19166</v>
      </c>
      <c r="K56" s="33">
        <v>190</v>
      </c>
      <c r="L56" s="31" t="s">
        <v>49</v>
      </c>
      <c r="M56" s="30" t="s">
        <v>2</v>
      </c>
      <c r="N56" s="34">
        <f>INDEX('[1]Campaign Metadata '!B:B,MATCH(M56,'[1]Campaign Metadata '!A:A,0))</f>
        <v>45667</v>
      </c>
      <c r="O56" s="34">
        <f>INDEX('[1]Campaign Metadata '!C:C,MATCH(M56,'[1]Campaign Metadata '!A:A,0))</f>
        <v>45698</v>
      </c>
      <c r="P56" s="35" t="str">
        <f t="shared" si="0"/>
        <v>BEFORE</v>
      </c>
      <c r="Q56">
        <f>(Posts!$F56+Posts!$G56+Posts!$H56)/Posts!$I56</f>
        <v>4.781732706514439E-2</v>
      </c>
      <c r="R56" s="1">
        <f t="shared" si="1"/>
        <v>2492</v>
      </c>
    </row>
    <row r="57" spans="1:18" ht="15.75" customHeight="1">
      <c r="A57" s="36" t="s">
        <v>101</v>
      </c>
      <c r="B57" s="37" t="s">
        <v>23</v>
      </c>
      <c r="C57" s="38">
        <v>45707</v>
      </c>
      <c r="D57" s="37" t="s">
        <v>32</v>
      </c>
      <c r="E57" s="37" t="s">
        <v>56</v>
      </c>
      <c r="F57" s="39">
        <v>2422</v>
      </c>
      <c r="G57" s="39">
        <v>455</v>
      </c>
      <c r="H57" s="39">
        <v>376</v>
      </c>
      <c r="I57" s="39">
        <v>23428</v>
      </c>
      <c r="J57" s="39">
        <v>46775</v>
      </c>
      <c r="K57" s="39">
        <v>259</v>
      </c>
      <c r="L57" s="37" t="s">
        <v>49</v>
      </c>
      <c r="M57" s="36" t="s">
        <v>1</v>
      </c>
      <c r="N57" s="40">
        <f>INDEX('[1]Campaign Metadata '!B:B,MATCH(M57,'[1]Campaign Metadata '!A:A,0))</f>
        <v>45627</v>
      </c>
      <c r="O57" s="40">
        <f>INDEX('[1]Campaign Metadata '!C:C,MATCH(M57,'[1]Campaign Metadata '!A:A,0))</f>
        <v>45657</v>
      </c>
      <c r="P57" s="41" t="str">
        <f t="shared" si="0"/>
        <v>AFTER</v>
      </c>
      <c r="Q57">
        <f>(Posts!$F57+Posts!$G57+Posts!$H57)/Posts!$I57</f>
        <v>0.13885094758408742</v>
      </c>
      <c r="R57" s="1">
        <f t="shared" si="1"/>
        <v>3253</v>
      </c>
    </row>
    <row r="58" spans="1:18" ht="15.75" customHeight="1">
      <c r="A58" s="30" t="s">
        <v>102</v>
      </c>
      <c r="B58" s="31" t="s">
        <v>23</v>
      </c>
      <c r="C58" s="32">
        <v>45299</v>
      </c>
      <c r="D58" s="31" t="s">
        <v>24</v>
      </c>
      <c r="E58" s="31" t="s">
        <v>48</v>
      </c>
      <c r="F58" s="33">
        <v>2683</v>
      </c>
      <c r="G58" s="33">
        <v>405</v>
      </c>
      <c r="H58" s="33">
        <v>223</v>
      </c>
      <c r="I58" s="33">
        <v>31233</v>
      </c>
      <c r="J58" s="33">
        <v>58106</v>
      </c>
      <c r="K58" s="33">
        <v>291</v>
      </c>
      <c r="L58" s="31" t="s">
        <v>29</v>
      </c>
      <c r="M58" s="30" t="s">
        <v>3</v>
      </c>
      <c r="N58" s="34">
        <f>INDEX('[1]Campaign Metadata '!B:B,MATCH(M58,'[1]Campaign Metadata '!A:A,0))</f>
        <v>45717</v>
      </c>
      <c r="O58" s="34">
        <f>INDEX('[1]Campaign Metadata '!C:C,MATCH(M58,'[1]Campaign Metadata '!A:A,0))</f>
        <v>45747</v>
      </c>
      <c r="P58" s="35" t="str">
        <f t="shared" si="0"/>
        <v>BEFORE</v>
      </c>
      <c r="Q58">
        <f>(Posts!$F58+Posts!$G58+Posts!$H58)/Posts!$I58</f>
        <v>0.10600966926007749</v>
      </c>
      <c r="R58" s="1">
        <f t="shared" si="1"/>
        <v>3311</v>
      </c>
    </row>
    <row r="59" spans="1:18" ht="15.75" customHeight="1">
      <c r="A59" s="36" t="s">
        <v>103</v>
      </c>
      <c r="B59" s="37" t="s">
        <v>38</v>
      </c>
      <c r="C59" s="38">
        <v>45490</v>
      </c>
      <c r="D59" s="37" t="s">
        <v>24</v>
      </c>
      <c r="E59" s="37" t="s">
        <v>48</v>
      </c>
      <c r="F59" s="39">
        <v>3135</v>
      </c>
      <c r="G59" s="39">
        <v>110</v>
      </c>
      <c r="H59" s="39">
        <v>215</v>
      </c>
      <c r="I59" s="39">
        <v>39192</v>
      </c>
      <c r="J59" s="39">
        <v>24744</v>
      </c>
      <c r="K59" s="39">
        <v>177</v>
      </c>
      <c r="L59" s="37" t="s">
        <v>40</v>
      </c>
      <c r="M59" s="36" t="s">
        <v>3</v>
      </c>
      <c r="N59" s="40">
        <f>INDEX('[1]Campaign Metadata '!B:B,MATCH(M59,'[1]Campaign Metadata '!A:A,0))</f>
        <v>45717</v>
      </c>
      <c r="O59" s="40">
        <f>INDEX('[1]Campaign Metadata '!C:C,MATCH(M59,'[1]Campaign Metadata '!A:A,0))</f>
        <v>45747</v>
      </c>
      <c r="P59" s="41" t="str">
        <f t="shared" si="0"/>
        <v>BEFORE</v>
      </c>
      <c r="Q59">
        <f>(Posts!$F59+Posts!$G59+Posts!$H59)/Posts!$I59</f>
        <v>8.8283323127168814E-2</v>
      </c>
      <c r="R59" s="1">
        <f t="shared" si="1"/>
        <v>3460</v>
      </c>
    </row>
    <row r="60" spans="1:18" ht="15.75" customHeight="1">
      <c r="A60" s="30" t="s">
        <v>104</v>
      </c>
      <c r="B60" s="31" t="s">
        <v>38</v>
      </c>
      <c r="C60" s="32">
        <v>45514</v>
      </c>
      <c r="D60" s="31" t="s">
        <v>24</v>
      </c>
      <c r="E60" s="31" t="s">
        <v>56</v>
      </c>
      <c r="F60" s="33">
        <v>1105</v>
      </c>
      <c r="G60" s="33">
        <v>181</v>
      </c>
      <c r="H60" s="33">
        <v>55</v>
      </c>
      <c r="I60" s="33">
        <v>53581</v>
      </c>
      <c r="J60" s="33">
        <v>74048</v>
      </c>
      <c r="K60" s="33">
        <v>220</v>
      </c>
      <c r="L60" s="31" t="s">
        <v>40</v>
      </c>
      <c r="M60" s="30" t="s">
        <v>3</v>
      </c>
      <c r="N60" s="34">
        <f>INDEX('[1]Campaign Metadata '!B:B,MATCH(M60,'[1]Campaign Metadata '!A:A,0))</f>
        <v>45717</v>
      </c>
      <c r="O60" s="34">
        <f>INDEX('[1]Campaign Metadata '!C:C,MATCH(M60,'[1]Campaign Metadata '!A:A,0))</f>
        <v>45747</v>
      </c>
      <c r="P60" s="35" t="str">
        <f t="shared" si="0"/>
        <v>BEFORE</v>
      </c>
      <c r="Q60">
        <f>(Posts!$F60+Posts!$G60+Posts!$H60)/Posts!$I60</f>
        <v>2.50275284149232E-2</v>
      </c>
      <c r="R60" s="1">
        <f t="shared" si="1"/>
        <v>1341</v>
      </c>
    </row>
    <row r="61" spans="1:18" ht="15.75" customHeight="1">
      <c r="A61" s="36" t="s">
        <v>105</v>
      </c>
      <c r="B61" s="37" t="s">
        <v>38</v>
      </c>
      <c r="C61" s="38">
        <v>45398</v>
      </c>
      <c r="D61" s="37" t="s">
        <v>24</v>
      </c>
      <c r="E61" s="37" t="s">
        <v>25</v>
      </c>
      <c r="F61" s="39">
        <v>4674</v>
      </c>
      <c r="G61" s="39">
        <v>326</v>
      </c>
      <c r="H61" s="39">
        <v>62</v>
      </c>
      <c r="I61" s="39">
        <v>45503</v>
      </c>
      <c r="J61" s="39">
        <v>46814</v>
      </c>
      <c r="K61" s="39">
        <v>116</v>
      </c>
      <c r="L61" s="37" t="s">
        <v>40</v>
      </c>
      <c r="M61" s="36" t="s">
        <v>3</v>
      </c>
      <c r="N61" s="40">
        <f>INDEX('[1]Campaign Metadata '!B:B,MATCH(M61,'[1]Campaign Metadata '!A:A,0))</f>
        <v>45717</v>
      </c>
      <c r="O61" s="40">
        <f>INDEX('[1]Campaign Metadata '!C:C,MATCH(M61,'[1]Campaign Metadata '!A:A,0))</f>
        <v>45747</v>
      </c>
      <c r="P61" s="41" t="str">
        <f t="shared" si="0"/>
        <v>BEFORE</v>
      </c>
      <c r="Q61">
        <f>(Posts!$F61+Posts!$G61+Posts!$H61)/Posts!$I61</f>
        <v>0.11124541239039185</v>
      </c>
      <c r="R61" s="1">
        <f t="shared" si="1"/>
        <v>5062</v>
      </c>
    </row>
    <row r="62" spans="1:18" ht="15.75" customHeight="1">
      <c r="A62" s="30" t="s">
        <v>106</v>
      </c>
      <c r="B62" s="31" t="s">
        <v>38</v>
      </c>
      <c r="C62" s="32">
        <v>45292</v>
      </c>
      <c r="D62" s="31" t="s">
        <v>63</v>
      </c>
      <c r="E62" s="31" t="s">
        <v>28</v>
      </c>
      <c r="F62" s="33">
        <v>3437</v>
      </c>
      <c r="G62" s="33">
        <v>129</v>
      </c>
      <c r="H62" s="33">
        <v>359</v>
      </c>
      <c r="I62" s="33">
        <v>44558</v>
      </c>
      <c r="J62" s="33">
        <v>30854</v>
      </c>
      <c r="K62" s="33">
        <v>171</v>
      </c>
      <c r="L62" s="31" t="s">
        <v>64</v>
      </c>
      <c r="M62" s="30" t="s">
        <v>0</v>
      </c>
      <c r="N62" s="34">
        <f>INDEX('[1]Campaign Metadata '!B:B,MATCH(M62,'[1]Campaign Metadata '!A:A,0))</f>
        <v>45458</v>
      </c>
      <c r="O62" s="34">
        <f>INDEX('[1]Campaign Metadata '!C:C,MATCH(M62,'[1]Campaign Metadata '!A:A,0))</f>
        <v>45488</v>
      </c>
      <c r="P62" s="35" t="str">
        <f t="shared" si="0"/>
        <v>BEFORE</v>
      </c>
      <c r="Q62">
        <f>(Posts!$F62+Posts!$G62+Posts!$H62)/Posts!$I62</f>
        <v>8.8087436599488311E-2</v>
      </c>
      <c r="R62" s="1">
        <f t="shared" si="1"/>
        <v>3925</v>
      </c>
    </row>
    <row r="63" spans="1:18" ht="15.75" customHeight="1">
      <c r="A63" s="36" t="s">
        <v>107</v>
      </c>
      <c r="B63" s="37" t="s">
        <v>31</v>
      </c>
      <c r="C63" s="38">
        <v>45599</v>
      </c>
      <c r="D63" s="37" t="s">
        <v>32</v>
      </c>
      <c r="E63" s="37" t="s">
        <v>36</v>
      </c>
      <c r="F63" s="39">
        <v>1959</v>
      </c>
      <c r="G63" s="39">
        <v>316</v>
      </c>
      <c r="H63" s="39">
        <v>82</v>
      </c>
      <c r="I63" s="39">
        <v>54036</v>
      </c>
      <c r="J63" s="39">
        <v>69015</v>
      </c>
      <c r="K63" s="39">
        <v>182</v>
      </c>
      <c r="L63" s="37" t="s">
        <v>34</v>
      </c>
      <c r="M63" s="36" t="s">
        <v>2</v>
      </c>
      <c r="N63" s="40">
        <f>INDEX('[1]Campaign Metadata '!B:B,MATCH(M63,'[1]Campaign Metadata '!A:A,0))</f>
        <v>45667</v>
      </c>
      <c r="O63" s="40">
        <f>INDEX('[1]Campaign Metadata '!C:C,MATCH(M63,'[1]Campaign Metadata '!A:A,0))</f>
        <v>45698</v>
      </c>
      <c r="P63" s="41" t="str">
        <f t="shared" si="0"/>
        <v>BEFORE</v>
      </c>
      <c r="Q63">
        <f>(Posts!$F63+Posts!$G63+Posts!$H63)/Posts!$I63</f>
        <v>4.3619068768968837E-2</v>
      </c>
      <c r="R63" s="1">
        <f t="shared" si="1"/>
        <v>2357</v>
      </c>
    </row>
    <row r="64" spans="1:18" ht="15.75" customHeight="1">
      <c r="A64" s="30" t="s">
        <v>108</v>
      </c>
      <c r="B64" s="31" t="s">
        <v>31</v>
      </c>
      <c r="C64" s="32">
        <v>45480</v>
      </c>
      <c r="D64" s="31" t="s">
        <v>24</v>
      </c>
      <c r="E64" s="31" t="s">
        <v>33</v>
      </c>
      <c r="F64" s="33">
        <v>1035</v>
      </c>
      <c r="G64" s="33">
        <v>137</v>
      </c>
      <c r="H64" s="33">
        <v>184</v>
      </c>
      <c r="I64" s="33">
        <v>37302</v>
      </c>
      <c r="J64" s="33">
        <v>68953</v>
      </c>
      <c r="K64" s="33">
        <v>237</v>
      </c>
      <c r="L64" s="31" t="s">
        <v>52</v>
      </c>
      <c r="M64" s="30" t="s">
        <v>3</v>
      </c>
      <c r="N64" s="34">
        <f>INDEX('[1]Campaign Metadata '!B:B,MATCH(M64,'[1]Campaign Metadata '!A:A,0))</f>
        <v>45717</v>
      </c>
      <c r="O64" s="34">
        <f>INDEX('[1]Campaign Metadata '!C:C,MATCH(M64,'[1]Campaign Metadata '!A:A,0))</f>
        <v>45747</v>
      </c>
      <c r="P64" s="35" t="str">
        <f t="shared" si="0"/>
        <v>BEFORE</v>
      </c>
      <c r="Q64">
        <f>(Posts!$F64+Posts!$G64+Posts!$H64)/Posts!$I64</f>
        <v>3.6351938233874857E-2</v>
      </c>
      <c r="R64" s="1">
        <f t="shared" si="1"/>
        <v>1356</v>
      </c>
    </row>
    <row r="65" spans="1:18" ht="15.75" customHeight="1">
      <c r="A65" s="36" t="s">
        <v>109</v>
      </c>
      <c r="B65" s="37" t="s">
        <v>31</v>
      </c>
      <c r="C65" s="38">
        <v>45679</v>
      </c>
      <c r="D65" s="37" t="s">
        <v>32</v>
      </c>
      <c r="E65" s="37" t="s">
        <v>33</v>
      </c>
      <c r="F65" s="39">
        <v>4478</v>
      </c>
      <c r="G65" s="39">
        <v>101</v>
      </c>
      <c r="H65" s="39">
        <v>121</v>
      </c>
      <c r="I65" s="39">
        <v>51035</v>
      </c>
      <c r="J65" s="39">
        <v>58207</v>
      </c>
      <c r="K65" s="39">
        <v>205</v>
      </c>
      <c r="L65" s="37" t="s">
        <v>34</v>
      </c>
      <c r="M65" s="36" t="s">
        <v>2</v>
      </c>
      <c r="N65" s="40">
        <f>INDEX('[1]Campaign Metadata '!B:B,MATCH(M65,'[1]Campaign Metadata '!A:A,0))</f>
        <v>45667</v>
      </c>
      <c r="O65" s="40">
        <f>INDEX('[1]Campaign Metadata '!C:C,MATCH(M65,'[1]Campaign Metadata '!A:A,0))</f>
        <v>45698</v>
      </c>
      <c r="P65" s="41" t="str">
        <f t="shared" si="0"/>
        <v>DURING</v>
      </c>
      <c r="Q65">
        <f>(Posts!$F65+Posts!$G65+Posts!$H65)/Posts!$I65</f>
        <v>9.2093661212893113E-2</v>
      </c>
      <c r="R65" s="1">
        <f t="shared" si="1"/>
        <v>4700</v>
      </c>
    </row>
    <row r="66" spans="1:18" ht="15.75" customHeight="1">
      <c r="A66" s="30" t="s">
        <v>110</v>
      </c>
      <c r="B66" s="31" t="s">
        <v>38</v>
      </c>
      <c r="C66" s="32">
        <v>45438</v>
      </c>
      <c r="D66" s="31" t="s">
        <v>24</v>
      </c>
      <c r="E66" s="31" t="s">
        <v>56</v>
      </c>
      <c r="F66" s="33">
        <v>1488</v>
      </c>
      <c r="G66" s="33">
        <v>327</v>
      </c>
      <c r="H66" s="33">
        <v>110</v>
      </c>
      <c r="I66" s="33">
        <v>53805</v>
      </c>
      <c r="J66" s="33">
        <v>30239</v>
      </c>
      <c r="K66" s="33">
        <v>109</v>
      </c>
      <c r="L66" s="31" t="s">
        <v>40</v>
      </c>
      <c r="M66" s="30" t="s">
        <v>3</v>
      </c>
      <c r="N66" s="34">
        <f>INDEX('[1]Campaign Metadata '!B:B,MATCH(M66,'[1]Campaign Metadata '!A:A,0))</f>
        <v>45717</v>
      </c>
      <c r="O66" s="34">
        <f>INDEX('[1]Campaign Metadata '!C:C,MATCH(M66,'[1]Campaign Metadata '!A:A,0))</f>
        <v>45747</v>
      </c>
      <c r="P66" s="35" t="str">
        <f t="shared" si="0"/>
        <v>BEFORE</v>
      </c>
      <c r="Q66">
        <f>(Posts!$F66+Posts!$G66+Posts!$H66)/Posts!$I66</f>
        <v>3.5777344113000653E-2</v>
      </c>
      <c r="R66" s="1">
        <f t="shared" si="1"/>
        <v>1925</v>
      </c>
    </row>
    <row r="67" spans="1:18" ht="15.75" customHeight="1">
      <c r="A67" s="36" t="s">
        <v>111</v>
      </c>
      <c r="B67" s="37" t="s">
        <v>23</v>
      </c>
      <c r="C67" s="38">
        <v>45763</v>
      </c>
      <c r="D67" s="37" t="s">
        <v>24</v>
      </c>
      <c r="E67" s="37" t="s">
        <v>36</v>
      </c>
      <c r="F67" s="39">
        <v>4836</v>
      </c>
      <c r="G67" s="39">
        <v>331</v>
      </c>
      <c r="H67" s="39">
        <v>140</v>
      </c>
      <c r="I67" s="39">
        <v>58792</v>
      </c>
      <c r="J67" s="39">
        <v>47711</v>
      </c>
      <c r="K67" s="39">
        <v>227</v>
      </c>
      <c r="L67" s="37" t="s">
        <v>26</v>
      </c>
      <c r="M67" s="36" t="s">
        <v>2</v>
      </c>
      <c r="N67" s="40">
        <f>INDEX('[1]Campaign Metadata '!B:B,MATCH(M67,'[1]Campaign Metadata '!A:A,0))</f>
        <v>45667</v>
      </c>
      <c r="O67" s="40">
        <f>INDEX('[1]Campaign Metadata '!C:C,MATCH(M67,'[1]Campaign Metadata '!A:A,0))</f>
        <v>45698</v>
      </c>
      <c r="P67" s="41" t="str">
        <f t="shared" ref="P67:P130" si="2">IF(AND(C67&lt;=O67,C67&gt;=N67),"DURING",IF(C67&lt;O67,"BEFORE", "AFTER"))</f>
        <v>AFTER</v>
      </c>
      <c r="Q67">
        <f>(Posts!$F67+Posts!$G67+Posts!$H67)/Posts!$I67</f>
        <v>9.0267383317458164E-2</v>
      </c>
      <c r="R67" s="1">
        <f t="shared" ref="R67:R130" si="3">F67+G67+H67</f>
        <v>5307</v>
      </c>
    </row>
    <row r="68" spans="1:18" ht="15.75" customHeight="1">
      <c r="A68" s="30" t="s">
        <v>112</v>
      </c>
      <c r="B68" s="31" t="s">
        <v>38</v>
      </c>
      <c r="C68" s="32">
        <v>45384</v>
      </c>
      <c r="D68" s="31" t="s">
        <v>63</v>
      </c>
      <c r="E68" s="31" t="s">
        <v>58</v>
      </c>
      <c r="F68" s="33">
        <v>4563</v>
      </c>
      <c r="G68" s="33">
        <v>488</v>
      </c>
      <c r="H68" s="33">
        <v>356</v>
      </c>
      <c r="I68" s="33">
        <v>30619</v>
      </c>
      <c r="J68" s="33">
        <v>23328</v>
      </c>
      <c r="K68" s="33">
        <v>267</v>
      </c>
      <c r="L68" s="31" t="s">
        <v>64</v>
      </c>
      <c r="M68" s="30" t="s">
        <v>0</v>
      </c>
      <c r="N68" s="34">
        <f>INDEX('[1]Campaign Metadata '!B:B,MATCH(M68,'[1]Campaign Metadata '!A:A,0))</f>
        <v>45458</v>
      </c>
      <c r="O68" s="34">
        <f>INDEX('[1]Campaign Metadata '!C:C,MATCH(M68,'[1]Campaign Metadata '!A:A,0))</f>
        <v>45488</v>
      </c>
      <c r="P68" s="35" t="str">
        <f t="shared" si="2"/>
        <v>BEFORE</v>
      </c>
      <c r="Q68">
        <f>(Posts!$F68+Posts!$G68+Posts!$H68)/Posts!$I68</f>
        <v>0.17658969920637513</v>
      </c>
      <c r="R68" s="1">
        <f t="shared" si="3"/>
        <v>5407</v>
      </c>
    </row>
    <row r="69" spans="1:18" ht="15.75" customHeight="1">
      <c r="A69" s="36" t="s">
        <v>113</v>
      </c>
      <c r="B69" s="37" t="s">
        <v>31</v>
      </c>
      <c r="C69" s="38">
        <v>45379</v>
      </c>
      <c r="D69" s="37" t="s">
        <v>24</v>
      </c>
      <c r="E69" s="37" t="s">
        <v>39</v>
      </c>
      <c r="F69" s="39">
        <v>3276</v>
      </c>
      <c r="G69" s="39">
        <v>421</v>
      </c>
      <c r="H69" s="39">
        <v>114</v>
      </c>
      <c r="I69" s="39">
        <v>20580</v>
      </c>
      <c r="J69" s="39">
        <v>30324</v>
      </c>
      <c r="K69" s="39">
        <v>221</v>
      </c>
      <c r="L69" s="37" t="s">
        <v>52</v>
      </c>
      <c r="M69" s="36" t="s">
        <v>3</v>
      </c>
      <c r="N69" s="40">
        <f>INDEX('[1]Campaign Metadata '!B:B,MATCH(M69,'[1]Campaign Metadata '!A:A,0))</f>
        <v>45717</v>
      </c>
      <c r="O69" s="40">
        <f>INDEX('[1]Campaign Metadata '!C:C,MATCH(M69,'[1]Campaign Metadata '!A:A,0))</f>
        <v>45747</v>
      </c>
      <c r="P69" s="41" t="str">
        <f t="shared" si="2"/>
        <v>BEFORE</v>
      </c>
      <c r="Q69">
        <f>(Posts!$F69+Posts!$G69+Posts!$H69)/Posts!$I69</f>
        <v>0.18517978620019437</v>
      </c>
      <c r="R69" s="1">
        <f t="shared" si="3"/>
        <v>3811</v>
      </c>
    </row>
    <row r="70" spans="1:18" ht="15.75" customHeight="1">
      <c r="A70" s="30" t="s">
        <v>114</v>
      </c>
      <c r="B70" s="31" t="s">
        <v>31</v>
      </c>
      <c r="C70" s="32">
        <v>45643</v>
      </c>
      <c r="D70" s="31" t="s">
        <v>32</v>
      </c>
      <c r="E70" s="31" t="s">
        <v>39</v>
      </c>
      <c r="F70" s="33">
        <v>1316</v>
      </c>
      <c r="G70" s="33">
        <v>472</v>
      </c>
      <c r="H70" s="33">
        <v>286</v>
      </c>
      <c r="I70" s="33">
        <v>44692</v>
      </c>
      <c r="J70" s="33">
        <v>53343</v>
      </c>
      <c r="K70" s="33">
        <v>227</v>
      </c>
      <c r="L70" s="31" t="s">
        <v>46</v>
      </c>
      <c r="M70" s="30" t="s">
        <v>2</v>
      </c>
      <c r="N70" s="34">
        <f>INDEX('[1]Campaign Metadata '!B:B,MATCH(M70,'[1]Campaign Metadata '!A:A,0))</f>
        <v>45667</v>
      </c>
      <c r="O70" s="34">
        <f>INDEX('[1]Campaign Metadata '!C:C,MATCH(M70,'[1]Campaign Metadata '!A:A,0))</f>
        <v>45698</v>
      </c>
      <c r="P70" s="35" t="str">
        <f t="shared" si="2"/>
        <v>BEFORE</v>
      </c>
      <c r="Q70">
        <f>(Posts!$F70+Posts!$G70+Posts!$H70)/Posts!$I70</f>
        <v>4.6406515707509172E-2</v>
      </c>
      <c r="R70" s="1">
        <f t="shared" si="3"/>
        <v>2074</v>
      </c>
    </row>
    <row r="71" spans="1:18" ht="15.75" customHeight="1">
      <c r="A71" s="36" t="s">
        <v>115</v>
      </c>
      <c r="B71" s="37" t="s">
        <v>31</v>
      </c>
      <c r="C71" s="38">
        <v>45662</v>
      </c>
      <c r="D71" s="37" t="s">
        <v>24</v>
      </c>
      <c r="E71" s="37" t="s">
        <v>36</v>
      </c>
      <c r="F71" s="39">
        <v>4811</v>
      </c>
      <c r="G71" s="39">
        <v>473</v>
      </c>
      <c r="H71" s="39">
        <v>254</v>
      </c>
      <c r="I71" s="39">
        <v>51964</v>
      </c>
      <c r="J71" s="39">
        <v>68795</v>
      </c>
      <c r="K71" s="39">
        <v>107</v>
      </c>
      <c r="L71" s="37" t="s">
        <v>49</v>
      </c>
      <c r="M71" s="36" t="s">
        <v>2</v>
      </c>
      <c r="N71" s="40">
        <f>INDEX('[1]Campaign Metadata '!B:B,MATCH(M71,'[1]Campaign Metadata '!A:A,0))</f>
        <v>45667</v>
      </c>
      <c r="O71" s="40">
        <f>INDEX('[1]Campaign Metadata '!C:C,MATCH(M71,'[1]Campaign Metadata '!A:A,0))</f>
        <v>45698</v>
      </c>
      <c r="P71" s="41" t="str">
        <f t="shared" si="2"/>
        <v>BEFORE</v>
      </c>
      <c r="Q71">
        <f>(Posts!$F71+Posts!$G71+Posts!$H71)/Posts!$I71</f>
        <v>0.10657378184897237</v>
      </c>
      <c r="R71" s="1">
        <f t="shared" si="3"/>
        <v>5538</v>
      </c>
    </row>
    <row r="72" spans="1:18" ht="15.75" customHeight="1">
      <c r="A72" s="30" t="s">
        <v>116</v>
      </c>
      <c r="B72" s="31" t="s">
        <v>31</v>
      </c>
      <c r="C72" s="32">
        <v>45302</v>
      </c>
      <c r="D72" s="31" t="s">
        <v>24</v>
      </c>
      <c r="E72" s="31" t="s">
        <v>42</v>
      </c>
      <c r="F72" s="33">
        <v>4218</v>
      </c>
      <c r="G72" s="33">
        <v>247</v>
      </c>
      <c r="H72" s="33">
        <v>183</v>
      </c>
      <c r="I72" s="33">
        <v>28914</v>
      </c>
      <c r="J72" s="33">
        <v>18310</v>
      </c>
      <c r="K72" s="33">
        <v>135</v>
      </c>
      <c r="L72" s="31" t="s">
        <v>52</v>
      </c>
      <c r="M72" s="30" t="s">
        <v>3</v>
      </c>
      <c r="N72" s="34">
        <f>INDEX('[1]Campaign Metadata '!B:B,MATCH(M72,'[1]Campaign Metadata '!A:A,0))</f>
        <v>45717</v>
      </c>
      <c r="O72" s="34">
        <f>INDEX('[1]Campaign Metadata '!C:C,MATCH(M72,'[1]Campaign Metadata '!A:A,0))</f>
        <v>45747</v>
      </c>
      <c r="P72" s="35" t="str">
        <f t="shared" si="2"/>
        <v>BEFORE</v>
      </c>
      <c r="Q72">
        <f>(Posts!$F72+Posts!$G72+Posts!$H72)/Posts!$I72</f>
        <v>0.1607525766064882</v>
      </c>
      <c r="R72" s="1">
        <f t="shared" si="3"/>
        <v>4648</v>
      </c>
    </row>
    <row r="73" spans="1:18" ht="15.75" customHeight="1">
      <c r="A73" s="36" t="s">
        <v>117</v>
      </c>
      <c r="B73" s="37" t="s">
        <v>23</v>
      </c>
      <c r="C73" s="38">
        <v>45576</v>
      </c>
      <c r="D73" s="37" t="s">
        <v>24</v>
      </c>
      <c r="E73" s="37" t="s">
        <v>56</v>
      </c>
      <c r="F73" s="39">
        <v>1360</v>
      </c>
      <c r="G73" s="39">
        <v>249</v>
      </c>
      <c r="H73" s="39">
        <v>52</v>
      </c>
      <c r="I73" s="39">
        <v>20368</v>
      </c>
      <c r="J73" s="39">
        <v>42152</v>
      </c>
      <c r="K73" s="39">
        <v>193</v>
      </c>
      <c r="L73" s="37" t="s">
        <v>29</v>
      </c>
      <c r="M73" s="36" t="s">
        <v>3</v>
      </c>
      <c r="N73" s="40">
        <f>INDEX('[1]Campaign Metadata '!B:B,MATCH(M73,'[1]Campaign Metadata '!A:A,0))</f>
        <v>45717</v>
      </c>
      <c r="O73" s="40">
        <f>INDEX('[1]Campaign Metadata '!C:C,MATCH(M73,'[1]Campaign Metadata '!A:A,0))</f>
        <v>45747</v>
      </c>
      <c r="P73" s="41" t="str">
        <f t="shared" si="2"/>
        <v>BEFORE</v>
      </c>
      <c r="Q73">
        <f>(Posts!$F73+Posts!$G73+Posts!$H73)/Posts!$I73</f>
        <v>8.1549489395129612E-2</v>
      </c>
      <c r="R73" s="1">
        <f t="shared" si="3"/>
        <v>1661</v>
      </c>
    </row>
    <row r="74" spans="1:18" ht="15.75" customHeight="1">
      <c r="A74" s="30" t="s">
        <v>118</v>
      </c>
      <c r="B74" s="31" t="s">
        <v>38</v>
      </c>
      <c r="C74" s="32">
        <v>45783</v>
      </c>
      <c r="D74" s="31" t="s">
        <v>63</v>
      </c>
      <c r="E74" s="31" t="s">
        <v>25</v>
      </c>
      <c r="F74" s="33">
        <v>1085</v>
      </c>
      <c r="G74" s="33">
        <v>496</v>
      </c>
      <c r="H74" s="33">
        <v>320</v>
      </c>
      <c r="I74" s="33">
        <v>36528</v>
      </c>
      <c r="J74" s="33">
        <v>38599</v>
      </c>
      <c r="K74" s="33">
        <v>270</v>
      </c>
      <c r="L74" s="31" t="s">
        <v>64</v>
      </c>
      <c r="M74" s="30" t="s">
        <v>0</v>
      </c>
      <c r="N74" s="34">
        <f>INDEX('[1]Campaign Metadata '!B:B,MATCH(M74,'[1]Campaign Metadata '!A:A,0))</f>
        <v>45458</v>
      </c>
      <c r="O74" s="34">
        <f>INDEX('[1]Campaign Metadata '!C:C,MATCH(M74,'[1]Campaign Metadata '!A:A,0))</f>
        <v>45488</v>
      </c>
      <c r="P74" s="35" t="str">
        <f t="shared" si="2"/>
        <v>AFTER</v>
      </c>
      <c r="Q74">
        <f>(Posts!$F74+Posts!$G74+Posts!$H74)/Posts!$I74</f>
        <v>5.2042268944371438E-2</v>
      </c>
      <c r="R74" s="1">
        <f t="shared" si="3"/>
        <v>1901</v>
      </c>
    </row>
    <row r="75" spans="1:18" ht="15.75" customHeight="1">
      <c r="A75" s="36" t="s">
        <v>119</v>
      </c>
      <c r="B75" s="37" t="s">
        <v>31</v>
      </c>
      <c r="C75" s="38">
        <v>45431</v>
      </c>
      <c r="D75" s="37" t="s">
        <v>32</v>
      </c>
      <c r="E75" s="37" t="s">
        <v>44</v>
      </c>
      <c r="F75" s="39">
        <v>1763</v>
      </c>
      <c r="G75" s="39">
        <v>206</v>
      </c>
      <c r="H75" s="39">
        <v>187</v>
      </c>
      <c r="I75" s="39">
        <v>53342</v>
      </c>
      <c r="J75" s="39">
        <v>25095</v>
      </c>
      <c r="K75" s="39">
        <v>88</v>
      </c>
      <c r="L75" s="37" t="s">
        <v>46</v>
      </c>
      <c r="M75" s="36" t="s">
        <v>2</v>
      </c>
      <c r="N75" s="40">
        <f>INDEX('[1]Campaign Metadata '!B:B,MATCH(M75,'[1]Campaign Metadata '!A:A,0))</f>
        <v>45667</v>
      </c>
      <c r="O75" s="40">
        <f>INDEX('[1]Campaign Metadata '!C:C,MATCH(M75,'[1]Campaign Metadata '!A:A,0))</f>
        <v>45698</v>
      </c>
      <c r="P75" s="41" t="str">
        <f t="shared" si="2"/>
        <v>BEFORE</v>
      </c>
      <c r="Q75">
        <f>(Posts!$F75+Posts!$G75+Posts!$H75)/Posts!$I75</f>
        <v>4.0418432004799221E-2</v>
      </c>
      <c r="R75" s="1">
        <f t="shared" si="3"/>
        <v>2156</v>
      </c>
    </row>
    <row r="76" spans="1:18" ht="15.75" customHeight="1">
      <c r="A76" s="30" t="s">
        <v>120</v>
      </c>
      <c r="B76" s="31" t="s">
        <v>31</v>
      </c>
      <c r="C76" s="32">
        <v>45313</v>
      </c>
      <c r="D76" s="31" t="s">
        <v>32</v>
      </c>
      <c r="E76" s="31" t="s">
        <v>56</v>
      </c>
      <c r="F76" s="33">
        <v>1554</v>
      </c>
      <c r="G76" s="33">
        <v>455</v>
      </c>
      <c r="H76" s="33">
        <v>158</v>
      </c>
      <c r="I76" s="33">
        <v>41947</v>
      </c>
      <c r="J76" s="33">
        <v>48578</v>
      </c>
      <c r="K76" s="33">
        <v>101</v>
      </c>
      <c r="L76" s="31" t="s">
        <v>26</v>
      </c>
      <c r="M76" s="30" t="s">
        <v>2</v>
      </c>
      <c r="N76" s="34">
        <f>INDEX('[1]Campaign Metadata '!B:B,MATCH(M76,'[1]Campaign Metadata '!A:A,0))</f>
        <v>45667</v>
      </c>
      <c r="O76" s="34">
        <f>INDEX('[1]Campaign Metadata '!C:C,MATCH(M76,'[1]Campaign Metadata '!A:A,0))</f>
        <v>45698</v>
      </c>
      <c r="P76" s="35" t="str">
        <f t="shared" si="2"/>
        <v>BEFORE</v>
      </c>
      <c r="Q76">
        <f>(Posts!$F76+Posts!$G76+Posts!$H76)/Posts!$I76</f>
        <v>5.1660428636136076E-2</v>
      </c>
      <c r="R76" s="1">
        <f t="shared" si="3"/>
        <v>2167</v>
      </c>
    </row>
    <row r="77" spans="1:18" ht="15.75" customHeight="1">
      <c r="A77" s="36" t="s">
        <v>121</v>
      </c>
      <c r="B77" s="37" t="s">
        <v>23</v>
      </c>
      <c r="C77" s="38">
        <v>45487</v>
      </c>
      <c r="D77" s="37" t="s">
        <v>24</v>
      </c>
      <c r="E77" s="37" t="s">
        <v>36</v>
      </c>
      <c r="F77" s="39">
        <v>2464</v>
      </c>
      <c r="G77" s="39">
        <v>401</v>
      </c>
      <c r="H77" s="39">
        <v>78</v>
      </c>
      <c r="I77" s="39">
        <v>38665</v>
      </c>
      <c r="J77" s="39">
        <v>73593</v>
      </c>
      <c r="K77" s="39">
        <v>207</v>
      </c>
      <c r="L77" s="37" t="s">
        <v>29</v>
      </c>
      <c r="M77" s="36" t="s">
        <v>3</v>
      </c>
      <c r="N77" s="40">
        <f>INDEX('[1]Campaign Metadata '!B:B,MATCH(M77,'[1]Campaign Metadata '!A:A,0))</f>
        <v>45717</v>
      </c>
      <c r="O77" s="40">
        <f>INDEX('[1]Campaign Metadata '!C:C,MATCH(M77,'[1]Campaign Metadata '!A:A,0))</f>
        <v>45747</v>
      </c>
      <c r="P77" s="41" t="str">
        <f t="shared" si="2"/>
        <v>BEFORE</v>
      </c>
      <c r="Q77">
        <f>(Posts!$F77+Posts!$G77+Posts!$H77)/Posts!$I77</f>
        <v>7.611534979956032E-2</v>
      </c>
      <c r="R77" s="1">
        <f t="shared" si="3"/>
        <v>2943</v>
      </c>
    </row>
    <row r="78" spans="1:18" ht="15.75" customHeight="1">
      <c r="A78" s="30" t="s">
        <v>122</v>
      </c>
      <c r="B78" s="31" t="s">
        <v>31</v>
      </c>
      <c r="C78" s="32">
        <v>45805</v>
      </c>
      <c r="D78" s="31" t="s">
        <v>24</v>
      </c>
      <c r="E78" s="31" t="s">
        <v>56</v>
      </c>
      <c r="F78" s="33">
        <v>2418</v>
      </c>
      <c r="G78" s="33">
        <v>161</v>
      </c>
      <c r="H78" s="33">
        <v>360</v>
      </c>
      <c r="I78" s="33">
        <v>30589</v>
      </c>
      <c r="J78" s="33">
        <v>41383</v>
      </c>
      <c r="K78" s="33">
        <v>88</v>
      </c>
      <c r="L78" s="31" t="s">
        <v>49</v>
      </c>
      <c r="M78" s="30" t="s">
        <v>2</v>
      </c>
      <c r="N78" s="34">
        <f>INDEX('[1]Campaign Metadata '!B:B,MATCH(M78,'[1]Campaign Metadata '!A:A,0))</f>
        <v>45667</v>
      </c>
      <c r="O78" s="34">
        <f>INDEX('[1]Campaign Metadata '!C:C,MATCH(M78,'[1]Campaign Metadata '!A:A,0))</f>
        <v>45698</v>
      </c>
      <c r="P78" s="35" t="str">
        <f t="shared" si="2"/>
        <v>AFTER</v>
      </c>
      <c r="Q78">
        <f>(Posts!$F78+Posts!$G78+Posts!$H78)/Posts!$I78</f>
        <v>9.6080290300434801E-2</v>
      </c>
      <c r="R78" s="1">
        <f t="shared" si="3"/>
        <v>2939</v>
      </c>
    </row>
    <row r="79" spans="1:18" ht="15.75" customHeight="1">
      <c r="A79" s="36" t="s">
        <v>123</v>
      </c>
      <c r="B79" s="37" t="s">
        <v>31</v>
      </c>
      <c r="C79" s="38">
        <v>45678</v>
      </c>
      <c r="D79" s="37" t="s">
        <v>32</v>
      </c>
      <c r="E79" s="37" t="s">
        <v>25</v>
      </c>
      <c r="F79" s="39">
        <v>2494</v>
      </c>
      <c r="G79" s="39">
        <v>494</v>
      </c>
      <c r="H79" s="39">
        <v>55</v>
      </c>
      <c r="I79" s="39">
        <v>22580</v>
      </c>
      <c r="J79" s="39">
        <v>22214</v>
      </c>
      <c r="K79" s="39">
        <v>109</v>
      </c>
      <c r="L79" s="37" t="s">
        <v>34</v>
      </c>
      <c r="M79" s="36" t="s">
        <v>2</v>
      </c>
      <c r="N79" s="40">
        <f>INDEX('[1]Campaign Metadata '!B:B,MATCH(M79,'[1]Campaign Metadata '!A:A,0))</f>
        <v>45667</v>
      </c>
      <c r="O79" s="40">
        <f>INDEX('[1]Campaign Metadata '!C:C,MATCH(M79,'[1]Campaign Metadata '!A:A,0))</f>
        <v>45698</v>
      </c>
      <c r="P79" s="41" t="str">
        <f t="shared" si="2"/>
        <v>DURING</v>
      </c>
      <c r="Q79">
        <f>(Posts!$F79+Posts!$G79+Posts!$H79)/Posts!$I79</f>
        <v>0.13476527900797167</v>
      </c>
      <c r="R79" s="1">
        <f t="shared" si="3"/>
        <v>3043</v>
      </c>
    </row>
    <row r="80" spans="1:18" ht="15.75" customHeight="1">
      <c r="A80" s="30" t="s">
        <v>124</v>
      </c>
      <c r="B80" s="31" t="s">
        <v>38</v>
      </c>
      <c r="C80" s="32">
        <v>45304</v>
      </c>
      <c r="D80" s="31" t="s">
        <v>63</v>
      </c>
      <c r="E80" s="31" t="s">
        <v>33</v>
      </c>
      <c r="F80" s="33">
        <v>4781</v>
      </c>
      <c r="G80" s="33">
        <v>191</v>
      </c>
      <c r="H80" s="33">
        <v>122</v>
      </c>
      <c r="I80" s="33">
        <v>35535</v>
      </c>
      <c r="J80" s="33">
        <v>50777</v>
      </c>
      <c r="K80" s="33">
        <v>128</v>
      </c>
      <c r="L80" s="31" t="s">
        <v>64</v>
      </c>
      <c r="M80" s="30" t="s">
        <v>0</v>
      </c>
      <c r="N80" s="34">
        <f>INDEX('[1]Campaign Metadata '!B:B,MATCH(M80,'[1]Campaign Metadata '!A:A,0))</f>
        <v>45458</v>
      </c>
      <c r="O80" s="34">
        <f>INDEX('[1]Campaign Metadata '!C:C,MATCH(M80,'[1]Campaign Metadata '!A:A,0))</f>
        <v>45488</v>
      </c>
      <c r="P80" s="35" t="str">
        <f t="shared" si="2"/>
        <v>BEFORE</v>
      </c>
      <c r="Q80">
        <f>(Posts!$F80+Posts!$G80+Posts!$H80)/Posts!$I80</f>
        <v>0.14335162515829464</v>
      </c>
      <c r="R80" s="1">
        <f t="shared" si="3"/>
        <v>5094</v>
      </c>
    </row>
    <row r="81" spans="1:18" ht="15.75" customHeight="1">
      <c r="A81" s="36" t="s">
        <v>125</v>
      </c>
      <c r="B81" s="37" t="s">
        <v>23</v>
      </c>
      <c r="C81" s="38">
        <v>45825</v>
      </c>
      <c r="D81" s="37" t="s">
        <v>24</v>
      </c>
      <c r="E81" s="37" t="s">
        <v>39</v>
      </c>
      <c r="F81" s="39">
        <v>2284</v>
      </c>
      <c r="G81" s="39">
        <v>187</v>
      </c>
      <c r="H81" s="39">
        <v>260</v>
      </c>
      <c r="I81" s="39">
        <v>37400</v>
      </c>
      <c r="J81" s="39">
        <v>65014</v>
      </c>
      <c r="K81" s="39">
        <v>157</v>
      </c>
      <c r="L81" s="37" t="s">
        <v>26</v>
      </c>
      <c r="M81" s="36" t="s">
        <v>2</v>
      </c>
      <c r="N81" s="40">
        <f>INDEX('[1]Campaign Metadata '!B:B,MATCH(M81,'[1]Campaign Metadata '!A:A,0))</f>
        <v>45667</v>
      </c>
      <c r="O81" s="40">
        <f>INDEX('[1]Campaign Metadata '!C:C,MATCH(M81,'[1]Campaign Metadata '!A:A,0))</f>
        <v>45698</v>
      </c>
      <c r="P81" s="41" t="str">
        <f t="shared" si="2"/>
        <v>AFTER</v>
      </c>
      <c r="Q81">
        <f>(Posts!$F81+Posts!$G81+Posts!$H81)/Posts!$I81</f>
        <v>7.3021390374331557E-2</v>
      </c>
      <c r="R81" s="1">
        <f t="shared" si="3"/>
        <v>2731</v>
      </c>
    </row>
    <row r="82" spans="1:18" ht="15.75" customHeight="1">
      <c r="A82" s="30" t="s">
        <v>126</v>
      </c>
      <c r="B82" s="31" t="s">
        <v>31</v>
      </c>
      <c r="C82" s="32">
        <v>45723</v>
      </c>
      <c r="D82" s="31" t="s">
        <v>24</v>
      </c>
      <c r="E82" s="31" t="s">
        <v>44</v>
      </c>
      <c r="F82" s="33">
        <v>4234</v>
      </c>
      <c r="G82" s="33">
        <v>486</v>
      </c>
      <c r="H82" s="33">
        <v>276</v>
      </c>
      <c r="I82" s="33">
        <v>56623</v>
      </c>
      <c r="J82" s="33">
        <v>41343</v>
      </c>
      <c r="K82" s="33">
        <v>184</v>
      </c>
      <c r="L82" s="31" t="s">
        <v>52</v>
      </c>
      <c r="M82" s="30" t="s">
        <v>3</v>
      </c>
      <c r="N82" s="34">
        <f>INDEX('[1]Campaign Metadata '!B:B,MATCH(M82,'[1]Campaign Metadata '!A:A,0))</f>
        <v>45717</v>
      </c>
      <c r="O82" s="34">
        <f>INDEX('[1]Campaign Metadata '!C:C,MATCH(M82,'[1]Campaign Metadata '!A:A,0))</f>
        <v>45747</v>
      </c>
      <c r="P82" s="35" t="str">
        <f t="shared" si="2"/>
        <v>DURING</v>
      </c>
      <c r="Q82">
        <f>(Posts!$F82+Posts!$G82+Posts!$H82)/Posts!$I82</f>
        <v>8.8232696960599044E-2</v>
      </c>
      <c r="R82" s="1">
        <f t="shared" si="3"/>
        <v>4996</v>
      </c>
    </row>
    <row r="83" spans="1:18" ht="15.75" customHeight="1">
      <c r="A83" s="36" t="s">
        <v>127</v>
      </c>
      <c r="B83" s="37" t="s">
        <v>23</v>
      </c>
      <c r="C83" s="38">
        <v>45530</v>
      </c>
      <c r="D83" s="37" t="s">
        <v>24</v>
      </c>
      <c r="E83" s="37" t="s">
        <v>58</v>
      </c>
      <c r="F83" s="39">
        <v>2102</v>
      </c>
      <c r="G83" s="39">
        <v>181</v>
      </c>
      <c r="H83" s="39">
        <v>306</v>
      </c>
      <c r="I83" s="39">
        <v>43650</v>
      </c>
      <c r="J83" s="39">
        <v>50079</v>
      </c>
      <c r="K83" s="39">
        <v>182</v>
      </c>
      <c r="L83" s="37" t="s">
        <v>29</v>
      </c>
      <c r="M83" s="36" t="s">
        <v>3</v>
      </c>
      <c r="N83" s="40">
        <f>INDEX('[1]Campaign Metadata '!B:B,MATCH(M83,'[1]Campaign Metadata '!A:A,0))</f>
        <v>45717</v>
      </c>
      <c r="O83" s="40">
        <f>INDEX('[1]Campaign Metadata '!C:C,MATCH(M83,'[1]Campaign Metadata '!A:A,0))</f>
        <v>45747</v>
      </c>
      <c r="P83" s="41" t="str">
        <f t="shared" si="2"/>
        <v>BEFORE</v>
      </c>
      <c r="Q83">
        <f>(Posts!$F83+Posts!$G83+Posts!$H83)/Posts!$I83</f>
        <v>5.9312714776632303E-2</v>
      </c>
      <c r="R83" s="1">
        <f t="shared" si="3"/>
        <v>2589</v>
      </c>
    </row>
    <row r="84" spans="1:18" ht="15.75" customHeight="1">
      <c r="A84" s="30" t="s">
        <v>128</v>
      </c>
      <c r="B84" s="31" t="s">
        <v>31</v>
      </c>
      <c r="C84" s="32">
        <v>45660</v>
      </c>
      <c r="D84" s="31" t="s">
        <v>32</v>
      </c>
      <c r="E84" s="31" t="s">
        <v>44</v>
      </c>
      <c r="F84" s="33">
        <v>4845</v>
      </c>
      <c r="G84" s="33">
        <v>158</v>
      </c>
      <c r="H84" s="33">
        <v>84</v>
      </c>
      <c r="I84" s="33">
        <v>34578</v>
      </c>
      <c r="J84" s="33">
        <v>51480</v>
      </c>
      <c r="K84" s="33">
        <v>180</v>
      </c>
      <c r="L84" s="31" t="s">
        <v>26</v>
      </c>
      <c r="M84" s="30" t="s">
        <v>2</v>
      </c>
      <c r="N84" s="34">
        <f>INDEX('[1]Campaign Metadata '!B:B,MATCH(M84,'[1]Campaign Metadata '!A:A,0))</f>
        <v>45667</v>
      </c>
      <c r="O84" s="34">
        <f>INDEX('[1]Campaign Metadata '!C:C,MATCH(M84,'[1]Campaign Metadata '!A:A,0))</f>
        <v>45698</v>
      </c>
      <c r="P84" s="35" t="str">
        <f t="shared" si="2"/>
        <v>BEFORE</v>
      </c>
      <c r="Q84">
        <f>(Posts!$F84+Posts!$G84+Posts!$H84)/Posts!$I84</f>
        <v>0.1471166637746544</v>
      </c>
      <c r="R84" s="1">
        <f t="shared" si="3"/>
        <v>5087</v>
      </c>
    </row>
    <row r="85" spans="1:18" ht="15.75" customHeight="1">
      <c r="A85" s="36" t="s">
        <v>129</v>
      </c>
      <c r="B85" s="37" t="s">
        <v>31</v>
      </c>
      <c r="C85" s="38">
        <v>45507</v>
      </c>
      <c r="D85" s="37" t="s">
        <v>24</v>
      </c>
      <c r="E85" s="37" t="s">
        <v>58</v>
      </c>
      <c r="F85" s="39">
        <v>4247</v>
      </c>
      <c r="G85" s="39">
        <v>390</v>
      </c>
      <c r="H85" s="39">
        <v>213</v>
      </c>
      <c r="I85" s="39">
        <v>29785</v>
      </c>
      <c r="J85" s="39">
        <v>57768</v>
      </c>
      <c r="K85" s="39">
        <v>122</v>
      </c>
      <c r="L85" s="37" t="s">
        <v>49</v>
      </c>
      <c r="M85" s="36" t="s">
        <v>2</v>
      </c>
      <c r="N85" s="40">
        <f>INDEX('[1]Campaign Metadata '!B:B,MATCH(M85,'[1]Campaign Metadata '!A:A,0))</f>
        <v>45667</v>
      </c>
      <c r="O85" s="40">
        <f>INDEX('[1]Campaign Metadata '!C:C,MATCH(M85,'[1]Campaign Metadata '!A:A,0))</f>
        <v>45698</v>
      </c>
      <c r="P85" s="41" t="str">
        <f t="shared" si="2"/>
        <v>BEFORE</v>
      </c>
      <c r="Q85">
        <f>(Posts!$F85+Posts!$G85+Posts!$H85)/Posts!$I85</f>
        <v>0.16283364109451065</v>
      </c>
      <c r="R85" s="1">
        <f t="shared" si="3"/>
        <v>4850</v>
      </c>
    </row>
    <row r="86" spans="1:18" ht="15.75" customHeight="1">
      <c r="A86" s="30" t="s">
        <v>130</v>
      </c>
      <c r="B86" s="31" t="s">
        <v>23</v>
      </c>
      <c r="C86" s="32">
        <v>45522</v>
      </c>
      <c r="D86" s="31" t="s">
        <v>24</v>
      </c>
      <c r="E86" s="31" t="s">
        <v>28</v>
      </c>
      <c r="F86" s="33">
        <v>2965</v>
      </c>
      <c r="G86" s="33">
        <v>328</v>
      </c>
      <c r="H86" s="33">
        <v>171</v>
      </c>
      <c r="I86" s="33">
        <v>57685</v>
      </c>
      <c r="J86" s="33">
        <v>67536</v>
      </c>
      <c r="K86" s="33">
        <v>264</v>
      </c>
      <c r="L86" s="31" t="s">
        <v>26</v>
      </c>
      <c r="M86" s="30" t="s">
        <v>2</v>
      </c>
      <c r="N86" s="34">
        <f>INDEX('[1]Campaign Metadata '!B:B,MATCH(M86,'[1]Campaign Metadata '!A:A,0))</f>
        <v>45667</v>
      </c>
      <c r="O86" s="34">
        <f>INDEX('[1]Campaign Metadata '!C:C,MATCH(M86,'[1]Campaign Metadata '!A:A,0))</f>
        <v>45698</v>
      </c>
      <c r="P86" s="35" t="str">
        <f t="shared" si="2"/>
        <v>BEFORE</v>
      </c>
      <c r="Q86">
        <f>(Posts!$F86+Posts!$G86+Posts!$H86)/Posts!$I86</f>
        <v>6.0050273034584378E-2</v>
      </c>
      <c r="R86" s="1">
        <f t="shared" si="3"/>
        <v>3464</v>
      </c>
    </row>
    <row r="87" spans="1:18" ht="15.75" customHeight="1">
      <c r="A87" s="36" t="s">
        <v>131</v>
      </c>
      <c r="B87" s="37" t="s">
        <v>31</v>
      </c>
      <c r="C87" s="38">
        <v>45791</v>
      </c>
      <c r="D87" s="37" t="s">
        <v>32</v>
      </c>
      <c r="E87" s="37" t="s">
        <v>36</v>
      </c>
      <c r="F87" s="39">
        <v>1371</v>
      </c>
      <c r="G87" s="39">
        <v>139</v>
      </c>
      <c r="H87" s="39">
        <v>96</v>
      </c>
      <c r="I87" s="39">
        <v>36140</v>
      </c>
      <c r="J87" s="39">
        <v>39395</v>
      </c>
      <c r="K87" s="39">
        <v>169</v>
      </c>
      <c r="L87" s="37" t="s">
        <v>26</v>
      </c>
      <c r="M87" s="36" t="s">
        <v>2</v>
      </c>
      <c r="N87" s="40">
        <f>INDEX('[1]Campaign Metadata '!B:B,MATCH(M87,'[1]Campaign Metadata '!A:A,0))</f>
        <v>45667</v>
      </c>
      <c r="O87" s="40">
        <f>INDEX('[1]Campaign Metadata '!C:C,MATCH(M87,'[1]Campaign Metadata '!A:A,0))</f>
        <v>45698</v>
      </c>
      <c r="P87" s="41" t="str">
        <f t="shared" si="2"/>
        <v>AFTER</v>
      </c>
      <c r="Q87">
        <f>(Posts!$F87+Posts!$G87+Posts!$H87)/Posts!$I87</f>
        <v>4.4438295517432211E-2</v>
      </c>
      <c r="R87" s="1">
        <f t="shared" si="3"/>
        <v>1606</v>
      </c>
    </row>
    <row r="88" spans="1:18" ht="15.75" customHeight="1">
      <c r="A88" s="30" t="s">
        <v>132</v>
      </c>
      <c r="B88" s="31" t="s">
        <v>31</v>
      </c>
      <c r="C88" s="32">
        <v>45405</v>
      </c>
      <c r="D88" s="31" t="s">
        <v>32</v>
      </c>
      <c r="E88" s="31" t="s">
        <v>25</v>
      </c>
      <c r="F88" s="33">
        <v>2683</v>
      </c>
      <c r="G88" s="33">
        <v>496</v>
      </c>
      <c r="H88" s="33">
        <v>89</v>
      </c>
      <c r="I88" s="33">
        <v>53435</v>
      </c>
      <c r="J88" s="33">
        <v>30334</v>
      </c>
      <c r="K88" s="33">
        <v>160</v>
      </c>
      <c r="L88" s="31" t="s">
        <v>26</v>
      </c>
      <c r="M88" s="30" t="s">
        <v>2</v>
      </c>
      <c r="N88" s="34">
        <f>INDEX('[1]Campaign Metadata '!B:B,MATCH(M88,'[1]Campaign Metadata '!A:A,0))</f>
        <v>45667</v>
      </c>
      <c r="O88" s="34">
        <f>INDEX('[1]Campaign Metadata '!C:C,MATCH(M88,'[1]Campaign Metadata '!A:A,0))</f>
        <v>45698</v>
      </c>
      <c r="P88" s="35" t="str">
        <f t="shared" si="2"/>
        <v>BEFORE</v>
      </c>
      <c r="Q88">
        <f>(Posts!$F88+Posts!$G88+Posts!$H88)/Posts!$I88</f>
        <v>6.1158416768035934E-2</v>
      </c>
      <c r="R88" s="1">
        <f t="shared" si="3"/>
        <v>3268</v>
      </c>
    </row>
    <row r="89" spans="1:18" ht="15.75" customHeight="1">
      <c r="A89" s="36" t="s">
        <v>133</v>
      </c>
      <c r="B89" s="37" t="s">
        <v>31</v>
      </c>
      <c r="C89" s="38">
        <v>45705</v>
      </c>
      <c r="D89" s="37" t="s">
        <v>32</v>
      </c>
      <c r="E89" s="37" t="s">
        <v>42</v>
      </c>
      <c r="F89" s="39">
        <v>4796</v>
      </c>
      <c r="G89" s="39">
        <v>427</v>
      </c>
      <c r="H89" s="39">
        <v>339</v>
      </c>
      <c r="I89" s="39">
        <v>30752</v>
      </c>
      <c r="J89" s="39">
        <v>33870</v>
      </c>
      <c r="K89" s="39">
        <v>298</v>
      </c>
      <c r="L89" s="37" t="s">
        <v>26</v>
      </c>
      <c r="M89" s="36" t="s">
        <v>2</v>
      </c>
      <c r="N89" s="40">
        <f>INDEX('[1]Campaign Metadata '!B:B,MATCH(M89,'[1]Campaign Metadata '!A:A,0))</f>
        <v>45667</v>
      </c>
      <c r="O89" s="40">
        <f>INDEX('[1]Campaign Metadata '!C:C,MATCH(M89,'[1]Campaign Metadata '!A:A,0))</f>
        <v>45698</v>
      </c>
      <c r="P89" s="41" t="str">
        <f t="shared" si="2"/>
        <v>AFTER</v>
      </c>
      <c r="Q89">
        <f>(Posts!$F89+Posts!$G89+Posts!$H89)/Posts!$I89</f>
        <v>0.18086628511966701</v>
      </c>
      <c r="R89" s="1">
        <f t="shared" si="3"/>
        <v>5562</v>
      </c>
    </row>
    <row r="90" spans="1:18" ht="15.75" customHeight="1">
      <c r="A90" s="30" t="s">
        <v>134</v>
      </c>
      <c r="B90" s="31" t="s">
        <v>23</v>
      </c>
      <c r="C90" s="32">
        <v>45630</v>
      </c>
      <c r="D90" s="31" t="s">
        <v>24</v>
      </c>
      <c r="E90" s="31" t="s">
        <v>36</v>
      </c>
      <c r="F90" s="33">
        <v>2601</v>
      </c>
      <c r="G90" s="33">
        <v>336</v>
      </c>
      <c r="H90" s="33">
        <v>260</v>
      </c>
      <c r="I90" s="33">
        <v>32368</v>
      </c>
      <c r="J90" s="33">
        <v>49028</v>
      </c>
      <c r="K90" s="33">
        <v>120</v>
      </c>
      <c r="L90" s="31" t="s">
        <v>26</v>
      </c>
      <c r="M90" s="30" t="s">
        <v>2</v>
      </c>
      <c r="N90" s="34">
        <f>INDEX('[1]Campaign Metadata '!B:B,MATCH(M90,'[1]Campaign Metadata '!A:A,0))</f>
        <v>45667</v>
      </c>
      <c r="O90" s="34">
        <f>INDEX('[1]Campaign Metadata '!C:C,MATCH(M90,'[1]Campaign Metadata '!A:A,0))</f>
        <v>45698</v>
      </c>
      <c r="P90" s="35" t="str">
        <f t="shared" si="2"/>
        <v>BEFORE</v>
      </c>
      <c r="Q90">
        <f>(Posts!$F90+Posts!$G90+Posts!$H90)/Posts!$I90</f>
        <v>9.8770390509144837E-2</v>
      </c>
      <c r="R90" s="1">
        <f t="shared" si="3"/>
        <v>3197</v>
      </c>
    </row>
    <row r="91" spans="1:18" ht="15.75" customHeight="1">
      <c r="A91" s="36" t="s">
        <v>135</v>
      </c>
      <c r="B91" s="37" t="s">
        <v>31</v>
      </c>
      <c r="C91" s="38">
        <v>45495</v>
      </c>
      <c r="D91" s="37" t="s">
        <v>32</v>
      </c>
      <c r="E91" s="37" t="s">
        <v>36</v>
      </c>
      <c r="F91" s="39">
        <v>3336</v>
      </c>
      <c r="G91" s="39">
        <v>229</v>
      </c>
      <c r="H91" s="39">
        <v>337</v>
      </c>
      <c r="I91" s="39">
        <v>22117</v>
      </c>
      <c r="J91" s="39">
        <v>26205</v>
      </c>
      <c r="K91" s="39">
        <v>160</v>
      </c>
      <c r="L91" s="37" t="s">
        <v>34</v>
      </c>
      <c r="M91" s="36" t="s">
        <v>2</v>
      </c>
      <c r="N91" s="40">
        <f>INDEX('[1]Campaign Metadata '!B:B,MATCH(M91,'[1]Campaign Metadata '!A:A,0))</f>
        <v>45667</v>
      </c>
      <c r="O91" s="40">
        <f>INDEX('[1]Campaign Metadata '!C:C,MATCH(M91,'[1]Campaign Metadata '!A:A,0))</f>
        <v>45698</v>
      </c>
      <c r="P91" s="41" t="str">
        <f t="shared" si="2"/>
        <v>BEFORE</v>
      </c>
      <c r="Q91">
        <f>(Posts!$F91+Posts!$G91+Posts!$H91)/Posts!$I91</f>
        <v>0.17642537414658407</v>
      </c>
      <c r="R91" s="1">
        <f t="shared" si="3"/>
        <v>3902</v>
      </c>
    </row>
    <row r="92" spans="1:18" ht="15.75" customHeight="1">
      <c r="A92" s="30" t="s">
        <v>136</v>
      </c>
      <c r="B92" s="31" t="s">
        <v>31</v>
      </c>
      <c r="C92" s="32">
        <v>45774</v>
      </c>
      <c r="D92" s="31" t="s">
        <v>24</v>
      </c>
      <c r="E92" s="31" t="s">
        <v>28</v>
      </c>
      <c r="F92" s="33">
        <v>1165</v>
      </c>
      <c r="G92" s="33">
        <v>294</v>
      </c>
      <c r="H92" s="33">
        <v>163</v>
      </c>
      <c r="I92" s="33">
        <v>20659</v>
      </c>
      <c r="J92" s="33">
        <v>45926</v>
      </c>
      <c r="K92" s="33">
        <v>111</v>
      </c>
      <c r="L92" s="31" t="s">
        <v>52</v>
      </c>
      <c r="M92" s="30" t="s">
        <v>3</v>
      </c>
      <c r="N92" s="34">
        <f>INDEX('[1]Campaign Metadata '!B:B,MATCH(M92,'[1]Campaign Metadata '!A:A,0))</f>
        <v>45717</v>
      </c>
      <c r="O92" s="34">
        <f>INDEX('[1]Campaign Metadata '!C:C,MATCH(M92,'[1]Campaign Metadata '!A:A,0))</f>
        <v>45747</v>
      </c>
      <c r="P92" s="35" t="str">
        <f t="shared" si="2"/>
        <v>AFTER</v>
      </c>
      <c r="Q92">
        <f>(Posts!$F92+Posts!$G92+Posts!$H92)/Posts!$I92</f>
        <v>7.8512996756861422E-2</v>
      </c>
      <c r="R92" s="1">
        <f t="shared" si="3"/>
        <v>1622</v>
      </c>
    </row>
    <row r="93" spans="1:18" ht="15.75" customHeight="1">
      <c r="A93" s="36" t="s">
        <v>137</v>
      </c>
      <c r="B93" s="37" t="s">
        <v>38</v>
      </c>
      <c r="C93" s="38">
        <v>45376</v>
      </c>
      <c r="D93" s="37" t="s">
        <v>63</v>
      </c>
      <c r="E93" s="37" t="s">
        <v>28</v>
      </c>
      <c r="F93" s="39">
        <v>1948</v>
      </c>
      <c r="G93" s="39">
        <v>155</v>
      </c>
      <c r="H93" s="39">
        <v>315</v>
      </c>
      <c r="I93" s="39">
        <v>30321</v>
      </c>
      <c r="J93" s="39">
        <v>57121</v>
      </c>
      <c r="K93" s="39">
        <v>82</v>
      </c>
      <c r="L93" s="37" t="s">
        <v>64</v>
      </c>
      <c r="M93" s="36" t="s">
        <v>0</v>
      </c>
      <c r="N93" s="40">
        <f>INDEX('[1]Campaign Metadata '!B:B,MATCH(M93,'[1]Campaign Metadata '!A:A,0))</f>
        <v>45458</v>
      </c>
      <c r="O93" s="40">
        <f>INDEX('[1]Campaign Metadata '!C:C,MATCH(M93,'[1]Campaign Metadata '!A:A,0))</f>
        <v>45488</v>
      </c>
      <c r="P93" s="41" t="str">
        <f t="shared" si="2"/>
        <v>BEFORE</v>
      </c>
      <c r="Q93">
        <f>(Posts!$F93+Posts!$G93+Posts!$H93)/Posts!$I93</f>
        <v>7.974671020085089E-2</v>
      </c>
      <c r="R93" s="1">
        <f t="shared" si="3"/>
        <v>2418</v>
      </c>
    </row>
    <row r="94" spans="1:18" ht="15.75" customHeight="1">
      <c r="A94" s="30" t="s">
        <v>138</v>
      </c>
      <c r="B94" s="31" t="s">
        <v>23</v>
      </c>
      <c r="C94" s="32">
        <v>45351</v>
      </c>
      <c r="D94" s="31" t="s">
        <v>24</v>
      </c>
      <c r="E94" s="31" t="s">
        <v>56</v>
      </c>
      <c r="F94" s="33">
        <v>1100</v>
      </c>
      <c r="G94" s="33">
        <v>229</v>
      </c>
      <c r="H94" s="33">
        <v>312</v>
      </c>
      <c r="I94" s="33">
        <v>25641</v>
      </c>
      <c r="J94" s="33">
        <v>34601</v>
      </c>
      <c r="K94" s="33">
        <v>169</v>
      </c>
      <c r="L94" s="31" t="s">
        <v>29</v>
      </c>
      <c r="M94" s="30" t="s">
        <v>3</v>
      </c>
      <c r="N94" s="34">
        <f>INDEX('[1]Campaign Metadata '!B:B,MATCH(M94,'[1]Campaign Metadata '!A:A,0))</f>
        <v>45717</v>
      </c>
      <c r="O94" s="34">
        <f>INDEX('[1]Campaign Metadata '!C:C,MATCH(M94,'[1]Campaign Metadata '!A:A,0))</f>
        <v>45747</v>
      </c>
      <c r="P94" s="35" t="str">
        <f t="shared" si="2"/>
        <v>BEFORE</v>
      </c>
      <c r="Q94">
        <f>(Posts!$F94+Posts!$G94+Posts!$H94)/Posts!$I94</f>
        <v>6.3999063999063993E-2</v>
      </c>
      <c r="R94" s="1">
        <f t="shared" si="3"/>
        <v>1641</v>
      </c>
    </row>
    <row r="95" spans="1:18" ht="15.75" customHeight="1">
      <c r="A95" s="36" t="s">
        <v>139</v>
      </c>
      <c r="B95" s="37" t="s">
        <v>31</v>
      </c>
      <c r="C95" s="38">
        <v>45609</v>
      </c>
      <c r="D95" s="37" t="s">
        <v>32</v>
      </c>
      <c r="E95" s="37" t="s">
        <v>48</v>
      </c>
      <c r="F95" s="39">
        <v>4628</v>
      </c>
      <c r="G95" s="39">
        <v>257</v>
      </c>
      <c r="H95" s="39">
        <v>397</v>
      </c>
      <c r="I95" s="39">
        <v>36686</v>
      </c>
      <c r="J95" s="39">
        <v>54683</v>
      </c>
      <c r="K95" s="39">
        <v>98</v>
      </c>
      <c r="L95" s="37" t="s">
        <v>26</v>
      </c>
      <c r="M95" s="36" t="s">
        <v>2</v>
      </c>
      <c r="N95" s="40">
        <f>INDEX('[1]Campaign Metadata '!B:B,MATCH(M95,'[1]Campaign Metadata '!A:A,0))</f>
        <v>45667</v>
      </c>
      <c r="O95" s="40">
        <f>INDEX('[1]Campaign Metadata '!C:C,MATCH(M95,'[1]Campaign Metadata '!A:A,0))</f>
        <v>45698</v>
      </c>
      <c r="P95" s="41" t="str">
        <f t="shared" si="2"/>
        <v>BEFORE</v>
      </c>
      <c r="Q95">
        <f>(Posts!$F95+Posts!$G95+Posts!$H95)/Posts!$I95</f>
        <v>0.1439786294499264</v>
      </c>
      <c r="R95" s="1">
        <f t="shared" si="3"/>
        <v>5282</v>
      </c>
    </row>
    <row r="96" spans="1:18" ht="15.75" customHeight="1">
      <c r="A96" s="30" t="s">
        <v>140</v>
      </c>
      <c r="B96" s="31" t="s">
        <v>23</v>
      </c>
      <c r="C96" s="32">
        <v>45373</v>
      </c>
      <c r="D96" s="31" t="s">
        <v>32</v>
      </c>
      <c r="E96" s="31" t="s">
        <v>25</v>
      </c>
      <c r="F96" s="33">
        <v>2319</v>
      </c>
      <c r="G96" s="33">
        <v>484</v>
      </c>
      <c r="H96" s="33">
        <v>193</v>
      </c>
      <c r="I96" s="33">
        <v>21202</v>
      </c>
      <c r="J96" s="33">
        <v>18091</v>
      </c>
      <c r="K96" s="33">
        <v>241</v>
      </c>
      <c r="L96" s="31" t="s">
        <v>49</v>
      </c>
      <c r="M96" s="30" t="s">
        <v>1</v>
      </c>
      <c r="N96" s="34">
        <f>INDEX('[1]Campaign Metadata '!B:B,MATCH(M96,'[1]Campaign Metadata '!A:A,0))</f>
        <v>45627</v>
      </c>
      <c r="O96" s="34">
        <f>INDEX('[1]Campaign Metadata '!C:C,MATCH(M96,'[1]Campaign Metadata '!A:A,0))</f>
        <v>45657</v>
      </c>
      <c r="P96" s="35" t="str">
        <f t="shared" si="2"/>
        <v>BEFORE</v>
      </c>
      <c r="Q96">
        <f>(Posts!$F96+Posts!$G96+Posts!$H96)/Posts!$I96</f>
        <v>0.14130742382794076</v>
      </c>
      <c r="R96" s="1">
        <f t="shared" si="3"/>
        <v>2996</v>
      </c>
    </row>
    <row r="97" spans="1:18" ht="15.75" customHeight="1">
      <c r="A97" s="36" t="s">
        <v>141</v>
      </c>
      <c r="B97" s="37" t="s">
        <v>31</v>
      </c>
      <c r="C97" s="38">
        <v>45367</v>
      </c>
      <c r="D97" s="37" t="s">
        <v>32</v>
      </c>
      <c r="E97" s="37" t="s">
        <v>36</v>
      </c>
      <c r="F97" s="39">
        <v>2895</v>
      </c>
      <c r="G97" s="39">
        <v>292</v>
      </c>
      <c r="H97" s="39">
        <v>90</v>
      </c>
      <c r="I97" s="39">
        <v>24223</v>
      </c>
      <c r="J97" s="39">
        <v>54626</v>
      </c>
      <c r="K97" s="39">
        <v>114</v>
      </c>
      <c r="L97" s="37" t="s">
        <v>26</v>
      </c>
      <c r="M97" s="36" t="s">
        <v>2</v>
      </c>
      <c r="N97" s="40">
        <f>INDEX('[1]Campaign Metadata '!B:B,MATCH(M97,'[1]Campaign Metadata '!A:A,0))</f>
        <v>45667</v>
      </c>
      <c r="O97" s="40">
        <f>INDEX('[1]Campaign Metadata '!C:C,MATCH(M97,'[1]Campaign Metadata '!A:A,0))</f>
        <v>45698</v>
      </c>
      <c r="P97" s="41" t="str">
        <f t="shared" si="2"/>
        <v>BEFORE</v>
      </c>
      <c r="Q97">
        <f>(Posts!$F97+Posts!$G97+Posts!$H97)/Posts!$I97</f>
        <v>0.13528464682326713</v>
      </c>
      <c r="R97" s="1">
        <f t="shared" si="3"/>
        <v>3277</v>
      </c>
    </row>
    <row r="98" spans="1:18" ht="15.75" customHeight="1">
      <c r="A98" s="30" t="s">
        <v>142</v>
      </c>
      <c r="B98" s="31" t="s">
        <v>23</v>
      </c>
      <c r="C98" s="32">
        <v>45317</v>
      </c>
      <c r="D98" s="31" t="s">
        <v>24</v>
      </c>
      <c r="E98" s="31" t="s">
        <v>42</v>
      </c>
      <c r="F98" s="33">
        <v>3878</v>
      </c>
      <c r="G98" s="33">
        <v>431</v>
      </c>
      <c r="H98" s="33">
        <v>97</v>
      </c>
      <c r="I98" s="33">
        <v>41763</v>
      </c>
      <c r="J98" s="33">
        <v>29729</v>
      </c>
      <c r="K98" s="33">
        <v>191</v>
      </c>
      <c r="L98" s="31" t="s">
        <v>29</v>
      </c>
      <c r="M98" s="30" t="s">
        <v>3</v>
      </c>
      <c r="N98" s="34">
        <f>INDEX('[1]Campaign Metadata '!B:B,MATCH(M98,'[1]Campaign Metadata '!A:A,0))</f>
        <v>45717</v>
      </c>
      <c r="O98" s="34">
        <f>INDEX('[1]Campaign Metadata '!C:C,MATCH(M98,'[1]Campaign Metadata '!A:A,0))</f>
        <v>45747</v>
      </c>
      <c r="P98" s="35" t="str">
        <f t="shared" si="2"/>
        <v>BEFORE</v>
      </c>
      <c r="Q98">
        <f>(Posts!$F98+Posts!$G98+Posts!$H98)/Posts!$I98</f>
        <v>0.10550008380623997</v>
      </c>
      <c r="R98" s="1">
        <f t="shared" si="3"/>
        <v>4406</v>
      </c>
    </row>
    <row r="99" spans="1:18" ht="15.75" customHeight="1">
      <c r="A99" s="36" t="s">
        <v>143</v>
      </c>
      <c r="B99" s="37" t="s">
        <v>31</v>
      </c>
      <c r="C99" s="38">
        <v>45366</v>
      </c>
      <c r="D99" s="37" t="s">
        <v>32</v>
      </c>
      <c r="E99" s="37" t="s">
        <v>44</v>
      </c>
      <c r="F99" s="39">
        <v>4969</v>
      </c>
      <c r="G99" s="39">
        <v>433</v>
      </c>
      <c r="H99" s="39">
        <v>237</v>
      </c>
      <c r="I99" s="39">
        <v>59552</v>
      </c>
      <c r="J99" s="39">
        <v>23885</v>
      </c>
      <c r="K99" s="39">
        <v>157</v>
      </c>
      <c r="L99" s="37" t="s">
        <v>46</v>
      </c>
      <c r="M99" s="36" t="s">
        <v>2</v>
      </c>
      <c r="N99" s="40">
        <f>INDEX('[1]Campaign Metadata '!B:B,MATCH(M99,'[1]Campaign Metadata '!A:A,0))</f>
        <v>45667</v>
      </c>
      <c r="O99" s="40">
        <f>INDEX('[1]Campaign Metadata '!C:C,MATCH(M99,'[1]Campaign Metadata '!A:A,0))</f>
        <v>45698</v>
      </c>
      <c r="P99" s="41" t="str">
        <f t="shared" si="2"/>
        <v>BEFORE</v>
      </c>
      <c r="Q99">
        <f>(Posts!$F99+Posts!$G99+Posts!$H99)/Posts!$I99</f>
        <v>9.4690354648038683E-2</v>
      </c>
      <c r="R99" s="1">
        <f t="shared" si="3"/>
        <v>5639</v>
      </c>
    </row>
    <row r="100" spans="1:18" ht="15.75" customHeight="1">
      <c r="A100" s="30" t="s">
        <v>144</v>
      </c>
      <c r="B100" s="31" t="s">
        <v>31</v>
      </c>
      <c r="C100" s="32">
        <v>45580</v>
      </c>
      <c r="D100" s="31" t="s">
        <v>24</v>
      </c>
      <c r="E100" s="31" t="s">
        <v>36</v>
      </c>
      <c r="F100" s="33">
        <v>1984</v>
      </c>
      <c r="G100" s="33">
        <v>481</v>
      </c>
      <c r="H100" s="33">
        <v>356</v>
      </c>
      <c r="I100" s="33">
        <v>40681</v>
      </c>
      <c r="J100" s="33">
        <v>63111</v>
      </c>
      <c r="K100" s="33">
        <v>258</v>
      </c>
      <c r="L100" s="31" t="s">
        <v>49</v>
      </c>
      <c r="M100" s="30" t="s">
        <v>2</v>
      </c>
      <c r="N100" s="34">
        <f>INDEX('[1]Campaign Metadata '!B:B,MATCH(M100,'[1]Campaign Metadata '!A:A,0))</f>
        <v>45667</v>
      </c>
      <c r="O100" s="34">
        <f>INDEX('[1]Campaign Metadata '!C:C,MATCH(M100,'[1]Campaign Metadata '!A:A,0))</f>
        <v>45698</v>
      </c>
      <c r="P100" s="35" t="str">
        <f t="shared" si="2"/>
        <v>BEFORE</v>
      </c>
      <c r="Q100">
        <f>(Posts!$F100+Posts!$G100+Posts!$H100)/Posts!$I100</f>
        <v>6.934441139598338E-2</v>
      </c>
      <c r="R100" s="1">
        <f t="shared" si="3"/>
        <v>2821</v>
      </c>
    </row>
    <row r="101" spans="1:18" ht="15.75" customHeight="1">
      <c r="A101" s="36" t="s">
        <v>145</v>
      </c>
      <c r="B101" s="37" t="s">
        <v>23</v>
      </c>
      <c r="C101" s="38">
        <v>45494</v>
      </c>
      <c r="D101" s="37" t="s">
        <v>24</v>
      </c>
      <c r="E101" s="37" t="s">
        <v>25</v>
      </c>
      <c r="F101" s="39">
        <v>3004</v>
      </c>
      <c r="G101" s="39">
        <v>415</v>
      </c>
      <c r="H101" s="39">
        <v>218</v>
      </c>
      <c r="I101" s="39">
        <v>36090</v>
      </c>
      <c r="J101" s="39">
        <v>37073</v>
      </c>
      <c r="K101" s="39">
        <v>181</v>
      </c>
      <c r="L101" s="37" t="s">
        <v>29</v>
      </c>
      <c r="M101" s="36" t="s">
        <v>3</v>
      </c>
      <c r="N101" s="40">
        <f>INDEX('[1]Campaign Metadata '!B:B,MATCH(M101,'[1]Campaign Metadata '!A:A,0))</f>
        <v>45717</v>
      </c>
      <c r="O101" s="40">
        <f>INDEX('[1]Campaign Metadata '!C:C,MATCH(M101,'[1]Campaign Metadata '!A:A,0))</f>
        <v>45747</v>
      </c>
      <c r="P101" s="41" t="str">
        <f t="shared" si="2"/>
        <v>BEFORE</v>
      </c>
      <c r="Q101">
        <f>(Posts!$F101+Posts!$G101+Posts!$H101)/Posts!$I101</f>
        <v>0.10077583818232197</v>
      </c>
      <c r="R101" s="1">
        <f t="shared" si="3"/>
        <v>3637</v>
      </c>
    </row>
    <row r="102" spans="1:18" ht="15.75" customHeight="1">
      <c r="A102" s="30" t="s">
        <v>146</v>
      </c>
      <c r="B102" s="31" t="s">
        <v>31</v>
      </c>
      <c r="C102" s="32">
        <v>45577</v>
      </c>
      <c r="D102" s="31" t="s">
        <v>24</v>
      </c>
      <c r="E102" s="31" t="s">
        <v>44</v>
      </c>
      <c r="F102" s="33">
        <v>3169</v>
      </c>
      <c r="G102" s="33">
        <v>386</v>
      </c>
      <c r="H102" s="33">
        <v>175</v>
      </c>
      <c r="I102" s="33">
        <v>45012</v>
      </c>
      <c r="J102" s="33">
        <v>38508</v>
      </c>
      <c r="K102" s="33">
        <v>218</v>
      </c>
      <c r="L102" s="31" t="s">
        <v>49</v>
      </c>
      <c r="M102" s="30" t="s">
        <v>2</v>
      </c>
      <c r="N102" s="34">
        <f>INDEX('[1]Campaign Metadata '!B:B,MATCH(M102,'[1]Campaign Metadata '!A:A,0))</f>
        <v>45667</v>
      </c>
      <c r="O102" s="34">
        <f>INDEX('[1]Campaign Metadata '!C:C,MATCH(M102,'[1]Campaign Metadata '!A:A,0))</f>
        <v>45698</v>
      </c>
      <c r="P102" s="35" t="str">
        <f t="shared" si="2"/>
        <v>BEFORE</v>
      </c>
      <c r="Q102">
        <f>(Posts!$F102+Posts!$G102+Posts!$H102)/Posts!$I102</f>
        <v>8.2866791077934779E-2</v>
      </c>
      <c r="R102" s="1">
        <f t="shared" si="3"/>
        <v>3730</v>
      </c>
    </row>
    <row r="103" spans="1:18" ht="15.75" customHeight="1">
      <c r="A103" s="36" t="s">
        <v>147</v>
      </c>
      <c r="B103" s="37" t="s">
        <v>31</v>
      </c>
      <c r="C103" s="38">
        <v>45591</v>
      </c>
      <c r="D103" s="37" t="s">
        <v>24</v>
      </c>
      <c r="E103" s="37" t="s">
        <v>25</v>
      </c>
      <c r="F103" s="39">
        <v>3036</v>
      </c>
      <c r="G103" s="39">
        <v>293</v>
      </c>
      <c r="H103" s="39">
        <v>115</v>
      </c>
      <c r="I103" s="39">
        <v>23776</v>
      </c>
      <c r="J103" s="39">
        <v>46386</v>
      </c>
      <c r="K103" s="39">
        <v>282</v>
      </c>
      <c r="L103" s="37" t="s">
        <v>49</v>
      </c>
      <c r="M103" s="36" t="s">
        <v>2</v>
      </c>
      <c r="N103" s="40">
        <f>INDEX('[1]Campaign Metadata '!B:B,MATCH(M103,'[1]Campaign Metadata '!A:A,0))</f>
        <v>45667</v>
      </c>
      <c r="O103" s="40">
        <f>INDEX('[1]Campaign Metadata '!C:C,MATCH(M103,'[1]Campaign Metadata '!A:A,0))</f>
        <v>45698</v>
      </c>
      <c r="P103" s="41" t="str">
        <f t="shared" si="2"/>
        <v>BEFORE</v>
      </c>
      <c r="Q103">
        <f>(Posts!$F103+Posts!$G103+Posts!$H103)/Posts!$I103</f>
        <v>0.14485195154777927</v>
      </c>
      <c r="R103" s="1">
        <f t="shared" si="3"/>
        <v>3444</v>
      </c>
    </row>
    <row r="104" spans="1:18" ht="15.75" customHeight="1">
      <c r="A104" s="30" t="s">
        <v>148</v>
      </c>
      <c r="B104" s="31" t="s">
        <v>23</v>
      </c>
      <c r="C104" s="32">
        <v>45336</v>
      </c>
      <c r="D104" s="31" t="s">
        <v>24</v>
      </c>
      <c r="E104" s="31" t="s">
        <v>39</v>
      </c>
      <c r="F104" s="33">
        <v>1830</v>
      </c>
      <c r="G104" s="33">
        <v>112</v>
      </c>
      <c r="H104" s="33">
        <v>181</v>
      </c>
      <c r="I104" s="33">
        <v>31870</v>
      </c>
      <c r="J104" s="33">
        <v>55742</v>
      </c>
      <c r="K104" s="33">
        <v>263</v>
      </c>
      <c r="L104" s="31" t="s">
        <v>26</v>
      </c>
      <c r="M104" s="30" t="s">
        <v>2</v>
      </c>
      <c r="N104" s="34">
        <f>INDEX('[1]Campaign Metadata '!B:B,MATCH(M104,'[1]Campaign Metadata '!A:A,0))</f>
        <v>45667</v>
      </c>
      <c r="O104" s="34">
        <f>INDEX('[1]Campaign Metadata '!C:C,MATCH(M104,'[1]Campaign Metadata '!A:A,0))</f>
        <v>45698</v>
      </c>
      <c r="P104" s="35" t="str">
        <f t="shared" si="2"/>
        <v>BEFORE</v>
      </c>
      <c r="Q104">
        <f>(Posts!$F104+Posts!$G104+Posts!$H104)/Posts!$I104</f>
        <v>6.6614370881706936E-2</v>
      </c>
      <c r="R104" s="1">
        <f t="shared" si="3"/>
        <v>2123</v>
      </c>
    </row>
    <row r="105" spans="1:18" ht="15.75" customHeight="1">
      <c r="A105" s="36" t="s">
        <v>149</v>
      </c>
      <c r="B105" s="37" t="s">
        <v>31</v>
      </c>
      <c r="C105" s="38">
        <v>45413</v>
      </c>
      <c r="D105" s="37" t="s">
        <v>32</v>
      </c>
      <c r="E105" s="37" t="s">
        <v>42</v>
      </c>
      <c r="F105" s="39">
        <v>2587</v>
      </c>
      <c r="G105" s="39">
        <v>447</v>
      </c>
      <c r="H105" s="39">
        <v>183</v>
      </c>
      <c r="I105" s="39">
        <v>36266</v>
      </c>
      <c r="J105" s="39">
        <v>32877</v>
      </c>
      <c r="K105" s="39">
        <v>132</v>
      </c>
      <c r="L105" s="37" t="s">
        <v>46</v>
      </c>
      <c r="M105" s="36" t="s">
        <v>2</v>
      </c>
      <c r="N105" s="40">
        <f>INDEX('[1]Campaign Metadata '!B:B,MATCH(M105,'[1]Campaign Metadata '!A:A,0))</f>
        <v>45667</v>
      </c>
      <c r="O105" s="40">
        <f>INDEX('[1]Campaign Metadata '!C:C,MATCH(M105,'[1]Campaign Metadata '!A:A,0))</f>
        <v>45698</v>
      </c>
      <c r="P105" s="41" t="str">
        <f t="shared" si="2"/>
        <v>BEFORE</v>
      </c>
      <c r="Q105">
        <f>(Posts!$F105+Posts!$G105+Posts!$H105)/Posts!$I105</f>
        <v>8.8705674736667947E-2</v>
      </c>
      <c r="R105" s="1">
        <f t="shared" si="3"/>
        <v>3217</v>
      </c>
    </row>
    <row r="106" spans="1:18" ht="15.75" customHeight="1">
      <c r="A106" s="30" t="s">
        <v>150</v>
      </c>
      <c r="B106" s="31" t="s">
        <v>31</v>
      </c>
      <c r="C106" s="32">
        <v>45553</v>
      </c>
      <c r="D106" s="31" t="s">
        <v>24</v>
      </c>
      <c r="E106" s="31" t="s">
        <v>25</v>
      </c>
      <c r="F106" s="33">
        <v>2878</v>
      </c>
      <c r="G106" s="33">
        <v>265</v>
      </c>
      <c r="H106" s="33">
        <v>91</v>
      </c>
      <c r="I106" s="33">
        <v>52090</v>
      </c>
      <c r="J106" s="33">
        <v>28924</v>
      </c>
      <c r="K106" s="33">
        <v>133</v>
      </c>
      <c r="L106" s="31" t="s">
        <v>49</v>
      </c>
      <c r="M106" s="30" t="s">
        <v>2</v>
      </c>
      <c r="N106" s="34">
        <f>INDEX('[1]Campaign Metadata '!B:B,MATCH(M106,'[1]Campaign Metadata '!A:A,0))</f>
        <v>45667</v>
      </c>
      <c r="O106" s="34">
        <f>INDEX('[1]Campaign Metadata '!C:C,MATCH(M106,'[1]Campaign Metadata '!A:A,0))</f>
        <v>45698</v>
      </c>
      <c r="P106" s="35" t="str">
        <f t="shared" si="2"/>
        <v>BEFORE</v>
      </c>
      <c r="Q106">
        <f>(Posts!$F106+Posts!$G106+Posts!$H106)/Posts!$I106</f>
        <v>6.2084853138798232E-2</v>
      </c>
      <c r="R106" s="1">
        <f t="shared" si="3"/>
        <v>3234</v>
      </c>
    </row>
    <row r="107" spans="1:18" ht="15.75" customHeight="1">
      <c r="A107" s="36" t="s">
        <v>151</v>
      </c>
      <c r="B107" s="37" t="s">
        <v>31</v>
      </c>
      <c r="C107" s="38">
        <v>45677</v>
      </c>
      <c r="D107" s="37" t="s">
        <v>32</v>
      </c>
      <c r="E107" s="37" t="s">
        <v>33</v>
      </c>
      <c r="F107" s="39">
        <v>4619</v>
      </c>
      <c r="G107" s="39">
        <v>272</v>
      </c>
      <c r="H107" s="39">
        <v>57</v>
      </c>
      <c r="I107" s="39">
        <v>21334</v>
      </c>
      <c r="J107" s="39">
        <v>46292</v>
      </c>
      <c r="K107" s="39">
        <v>91</v>
      </c>
      <c r="L107" s="37" t="s">
        <v>26</v>
      </c>
      <c r="M107" s="36" t="s">
        <v>2</v>
      </c>
      <c r="N107" s="40">
        <f>INDEX('[1]Campaign Metadata '!B:B,MATCH(M107,'[1]Campaign Metadata '!A:A,0))</f>
        <v>45667</v>
      </c>
      <c r="O107" s="40">
        <f>INDEX('[1]Campaign Metadata '!C:C,MATCH(M107,'[1]Campaign Metadata '!A:A,0))</f>
        <v>45698</v>
      </c>
      <c r="P107" s="41" t="str">
        <f t="shared" si="2"/>
        <v>DURING</v>
      </c>
      <c r="Q107">
        <f>(Posts!$F107+Posts!$G107+Posts!$H107)/Posts!$I107</f>
        <v>0.23193025217961938</v>
      </c>
      <c r="R107" s="1">
        <f t="shared" si="3"/>
        <v>4948</v>
      </c>
    </row>
    <row r="108" spans="1:18" ht="15.75" customHeight="1">
      <c r="A108" s="30" t="s">
        <v>152</v>
      </c>
      <c r="B108" s="31" t="s">
        <v>31</v>
      </c>
      <c r="C108" s="32">
        <v>45670</v>
      </c>
      <c r="D108" s="31" t="s">
        <v>24</v>
      </c>
      <c r="E108" s="31" t="s">
        <v>39</v>
      </c>
      <c r="F108" s="33">
        <v>4090</v>
      </c>
      <c r="G108" s="33">
        <v>209</v>
      </c>
      <c r="H108" s="33">
        <v>278</v>
      </c>
      <c r="I108" s="33">
        <v>52853</v>
      </c>
      <c r="J108" s="33">
        <v>57084</v>
      </c>
      <c r="K108" s="33">
        <v>102</v>
      </c>
      <c r="L108" s="31" t="s">
        <v>52</v>
      </c>
      <c r="M108" s="30" t="s">
        <v>3</v>
      </c>
      <c r="N108" s="34">
        <f>INDEX('[1]Campaign Metadata '!B:B,MATCH(M108,'[1]Campaign Metadata '!A:A,0))</f>
        <v>45717</v>
      </c>
      <c r="O108" s="34">
        <f>INDEX('[1]Campaign Metadata '!C:C,MATCH(M108,'[1]Campaign Metadata '!A:A,0))</f>
        <v>45747</v>
      </c>
      <c r="P108" s="35" t="str">
        <f t="shared" si="2"/>
        <v>BEFORE</v>
      </c>
      <c r="Q108">
        <f>(Posts!$F108+Posts!$G108+Posts!$H108)/Posts!$I108</f>
        <v>8.6598679355949518E-2</v>
      </c>
      <c r="R108" s="1">
        <f t="shared" si="3"/>
        <v>4577</v>
      </c>
    </row>
    <row r="109" spans="1:18" ht="15.75" customHeight="1">
      <c r="A109" s="36" t="s">
        <v>153</v>
      </c>
      <c r="B109" s="37" t="s">
        <v>38</v>
      </c>
      <c r="C109" s="38">
        <v>45542</v>
      </c>
      <c r="D109" s="37" t="s">
        <v>63</v>
      </c>
      <c r="E109" s="37" t="s">
        <v>39</v>
      </c>
      <c r="F109" s="39">
        <v>3882</v>
      </c>
      <c r="G109" s="39">
        <v>342</v>
      </c>
      <c r="H109" s="39">
        <v>374</v>
      </c>
      <c r="I109" s="39">
        <v>41991</v>
      </c>
      <c r="J109" s="39">
        <v>48554</v>
      </c>
      <c r="K109" s="39">
        <v>118</v>
      </c>
      <c r="L109" s="37" t="s">
        <v>64</v>
      </c>
      <c r="M109" s="36" t="s">
        <v>0</v>
      </c>
      <c r="N109" s="40">
        <f>INDEX('[1]Campaign Metadata '!B:B,MATCH(M109,'[1]Campaign Metadata '!A:A,0))</f>
        <v>45458</v>
      </c>
      <c r="O109" s="40">
        <f>INDEX('[1]Campaign Metadata '!C:C,MATCH(M109,'[1]Campaign Metadata '!A:A,0))</f>
        <v>45488</v>
      </c>
      <c r="P109" s="41" t="str">
        <f t="shared" si="2"/>
        <v>AFTER</v>
      </c>
      <c r="Q109">
        <f>(Posts!$F109+Posts!$G109+Posts!$H109)/Posts!$I109</f>
        <v>0.10949965468790931</v>
      </c>
      <c r="R109" s="1">
        <f t="shared" si="3"/>
        <v>4598</v>
      </c>
    </row>
    <row r="110" spans="1:18" ht="15.75" customHeight="1">
      <c r="A110" s="30" t="s">
        <v>154</v>
      </c>
      <c r="B110" s="31" t="s">
        <v>23</v>
      </c>
      <c r="C110" s="32">
        <v>45617</v>
      </c>
      <c r="D110" s="31" t="s">
        <v>24</v>
      </c>
      <c r="E110" s="31" t="s">
        <v>39</v>
      </c>
      <c r="F110" s="33">
        <v>4581</v>
      </c>
      <c r="G110" s="33">
        <v>181</v>
      </c>
      <c r="H110" s="33">
        <v>112</v>
      </c>
      <c r="I110" s="33">
        <v>35221</v>
      </c>
      <c r="J110" s="33">
        <v>28797</v>
      </c>
      <c r="K110" s="33">
        <v>164</v>
      </c>
      <c r="L110" s="31" t="s">
        <v>26</v>
      </c>
      <c r="M110" s="30" t="s">
        <v>2</v>
      </c>
      <c r="N110" s="34">
        <f>INDEX('[1]Campaign Metadata '!B:B,MATCH(M110,'[1]Campaign Metadata '!A:A,0))</f>
        <v>45667</v>
      </c>
      <c r="O110" s="34">
        <f>INDEX('[1]Campaign Metadata '!C:C,MATCH(M110,'[1]Campaign Metadata '!A:A,0))</f>
        <v>45698</v>
      </c>
      <c r="P110" s="35" t="str">
        <f t="shared" si="2"/>
        <v>BEFORE</v>
      </c>
      <c r="Q110">
        <f>(Posts!$F110+Posts!$G110+Posts!$H110)/Posts!$I110</f>
        <v>0.13838335084182732</v>
      </c>
      <c r="R110" s="1">
        <f t="shared" si="3"/>
        <v>4874</v>
      </c>
    </row>
    <row r="111" spans="1:18" ht="15.75" customHeight="1">
      <c r="A111" s="36" t="s">
        <v>155</v>
      </c>
      <c r="B111" s="37" t="s">
        <v>23</v>
      </c>
      <c r="C111" s="38">
        <v>45469</v>
      </c>
      <c r="D111" s="37" t="s">
        <v>24</v>
      </c>
      <c r="E111" s="37" t="s">
        <v>33</v>
      </c>
      <c r="F111" s="39">
        <v>3253</v>
      </c>
      <c r="G111" s="39">
        <v>483</v>
      </c>
      <c r="H111" s="39">
        <v>336</v>
      </c>
      <c r="I111" s="39">
        <v>25397</v>
      </c>
      <c r="J111" s="39">
        <v>51485</v>
      </c>
      <c r="K111" s="39">
        <v>131</v>
      </c>
      <c r="L111" s="37" t="s">
        <v>29</v>
      </c>
      <c r="M111" s="36" t="s">
        <v>3</v>
      </c>
      <c r="N111" s="40">
        <f>INDEX('[1]Campaign Metadata '!B:B,MATCH(M111,'[1]Campaign Metadata '!A:A,0))</f>
        <v>45717</v>
      </c>
      <c r="O111" s="40">
        <f>INDEX('[1]Campaign Metadata '!C:C,MATCH(M111,'[1]Campaign Metadata '!A:A,0))</f>
        <v>45747</v>
      </c>
      <c r="P111" s="41" t="str">
        <f t="shared" si="2"/>
        <v>BEFORE</v>
      </c>
      <c r="Q111">
        <f>(Posts!$F111+Posts!$G111+Posts!$H111)/Posts!$I111</f>
        <v>0.16033389770445328</v>
      </c>
      <c r="R111" s="1">
        <f t="shared" si="3"/>
        <v>4072</v>
      </c>
    </row>
    <row r="112" spans="1:18" ht="15.75" customHeight="1">
      <c r="A112" s="30" t="s">
        <v>156</v>
      </c>
      <c r="B112" s="31" t="s">
        <v>38</v>
      </c>
      <c r="C112" s="32">
        <v>45493</v>
      </c>
      <c r="D112" s="31" t="s">
        <v>63</v>
      </c>
      <c r="E112" s="31" t="s">
        <v>39</v>
      </c>
      <c r="F112" s="33">
        <v>4955</v>
      </c>
      <c r="G112" s="33">
        <v>299</v>
      </c>
      <c r="H112" s="33">
        <v>345</v>
      </c>
      <c r="I112" s="33">
        <v>33644</v>
      </c>
      <c r="J112" s="33">
        <v>43547</v>
      </c>
      <c r="K112" s="33">
        <v>194</v>
      </c>
      <c r="L112" s="31" t="s">
        <v>64</v>
      </c>
      <c r="M112" s="30" t="s">
        <v>0</v>
      </c>
      <c r="N112" s="34">
        <f>INDEX('[1]Campaign Metadata '!B:B,MATCH(M112,'[1]Campaign Metadata '!A:A,0))</f>
        <v>45458</v>
      </c>
      <c r="O112" s="34">
        <f>INDEX('[1]Campaign Metadata '!C:C,MATCH(M112,'[1]Campaign Metadata '!A:A,0))</f>
        <v>45488</v>
      </c>
      <c r="P112" s="35" t="str">
        <f t="shared" si="2"/>
        <v>AFTER</v>
      </c>
      <c r="Q112">
        <f>(Posts!$F112+Posts!$G112+Posts!$H112)/Posts!$I112</f>
        <v>0.16641897515158721</v>
      </c>
      <c r="R112" s="1">
        <f t="shared" si="3"/>
        <v>5599</v>
      </c>
    </row>
    <row r="113" spans="1:18" ht="15.75" customHeight="1">
      <c r="A113" s="36" t="s">
        <v>157</v>
      </c>
      <c r="B113" s="37" t="s">
        <v>23</v>
      </c>
      <c r="C113" s="38">
        <v>45704</v>
      </c>
      <c r="D113" s="37" t="s">
        <v>24</v>
      </c>
      <c r="E113" s="37" t="s">
        <v>58</v>
      </c>
      <c r="F113" s="39">
        <v>1333</v>
      </c>
      <c r="G113" s="39">
        <v>286</v>
      </c>
      <c r="H113" s="39">
        <v>298</v>
      </c>
      <c r="I113" s="39">
        <v>36174</v>
      </c>
      <c r="J113" s="39">
        <v>34517</v>
      </c>
      <c r="K113" s="39">
        <v>170</v>
      </c>
      <c r="L113" s="37" t="s">
        <v>26</v>
      </c>
      <c r="M113" s="36" t="s">
        <v>2</v>
      </c>
      <c r="N113" s="40">
        <f>INDEX('[1]Campaign Metadata '!B:B,MATCH(M113,'[1]Campaign Metadata '!A:A,0))</f>
        <v>45667</v>
      </c>
      <c r="O113" s="40">
        <f>INDEX('[1]Campaign Metadata '!C:C,MATCH(M113,'[1]Campaign Metadata '!A:A,0))</f>
        <v>45698</v>
      </c>
      <c r="P113" s="41" t="str">
        <f t="shared" si="2"/>
        <v>AFTER</v>
      </c>
      <c r="Q113">
        <f>(Posts!$F113+Posts!$G113+Posts!$H113)/Posts!$I113</f>
        <v>5.2993862995521647E-2</v>
      </c>
      <c r="R113" s="1">
        <f t="shared" si="3"/>
        <v>1917</v>
      </c>
    </row>
    <row r="114" spans="1:18" ht="15.75" customHeight="1">
      <c r="A114" s="30" t="s">
        <v>158</v>
      </c>
      <c r="B114" s="31" t="s">
        <v>23</v>
      </c>
      <c r="C114" s="32">
        <v>45544</v>
      </c>
      <c r="D114" s="31" t="s">
        <v>24</v>
      </c>
      <c r="E114" s="31" t="s">
        <v>33</v>
      </c>
      <c r="F114" s="33">
        <v>1616</v>
      </c>
      <c r="G114" s="33">
        <v>360</v>
      </c>
      <c r="H114" s="33">
        <v>180</v>
      </c>
      <c r="I114" s="33">
        <v>54342</v>
      </c>
      <c r="J114" s="33">
        <v>18796</v>
      </c>
      <c r="K114" s="33">
        <v>282</v>
      </c>
      <c r="L114" s="31" t="s">
        <v>26</v>
      </c>
      <c r="M114" s="30" t="s">
        <v>2</v>
      </c>
      <c r="N114" s="34">
        <f>INDEX('[1]Campaign Metadata '!B:B,MATCH(M114,'[1]Campaign Metadata '!A:A,0))</f>
        <v>45667</v>
      </c>
      <c r="O114" s="34">
        <f>INDEX('[1]Campaign Metadata '!C:C,MATCH(M114,'[1]Campaign Metadata '!A:A,0))</f>
        <v>45698</v>
      </c>
      <c r="P114" s="35" t="str">
        <f t="shared" si="2"/>
        <v>BEFORE</v>
      </c>
      <c r="Q114">
        <f>(Posts!$F114+Posts!$G114+Posts!$H114)/Posts!$I114</f>
        <v>3.9674653122814763E-2</v>
      </c>
      <c r="R114" s="1">
        <f t="shared" si="3"/>
        <v>2156</v>
      </c>
    </row>
    <row r="115" spans="1:18" ht="15.75" customHeight="1">
      <c r="A115" s="36" t="s">
        <v>159</v>
      </c>
      <c r="B115" s="37" t="s">
        <v>31</v>
      </c>
      <c r="C115" s="38">
        <v>45489</v>
      </c>
      <c r="D115" s="37" t="s">
        <v>24</v>
      </c>
      <c r="E115" s="37" t="s">
        <v>48</v>
      </c>
      <c r="F115" s="39">
        <v>1803</v>
      </c>
      <c r="G115" s="39">
        <v>273</v>
      </c>
      <c r="H115" s="39">
        <v>287</v>
      </c>
      <c r="I115" s="39">
        <v>46176</v>
      </c>
      <c r="J115" s="39">
        <v>25488</v>
      </c>
      <c r="K115" s="39">
        <v>141</v>
      </c>
      <c r="L115" s="37" t="s">
        <v>49</v>
      </c>
      <c r="M115" s="36" t="s">
        <v>2</v>
      </c>
      <c r="N115" s="40">
        <f>INDEX('[1]Campaign Metadata '!B:B,MATCH(M115,'[1]Campaign Metadata '!A:A,0))</f>
        <v>45667</v>
      </c>
      <c r="O115" s="40">
        <f>INDEX('[1]Campaign Metadata '!C:C,MATCH(M115,'[1]Campaign Metadata '!A:A,0))</f>
        <v>45698</v>
      </c>
      <c r="P115" s="41" t="str">
        <f t="shared" si="2"/>
        <v>BEFORE</v>
      </c>
      <c r="Q115">
        <f>(Posts!$F115+Posts!$G115+Posts!$H115)/Posts!$I115</f>
        <v>5.1173769923769923E-2</v>
      </c>
      <c r="R115" s="1">
        <f t="shared" si="3"/>
        <v>2363</v>
      </c>
    </row>
    <row r="116" spans="1:18" ht="15.75" customHeight="1">
      <c r="A116" s="30" t="s">
        <v>160</v>
      </c>
      <c r="B116" s="31" t="s">
        <v>23</v>
      </c>
      <c r="C116" s="32">
        <v>45762</v>
      </c>
      <c r="D116" s="31" t="s">
        <v>24</v>
      </c>
      <c r="E116" s="31" t="s">
        <v>28</v>
      </c>
      <c r="F116" s="33">
        <v>4177</v>
      </c>
      <c r="G116" s="33">
        <v>489</v>
      </c>
      <c r="H116" s="33">
        <v>331</v>
      </c>
      <c r="I116" s="33">
        <v>57451</v>
      </c>
      <c r="J116" s="33">
        <v>73793</v>
      </c>
      <c r="K116" s="33">
        <v>251</v>
      </c>
      <c r="L116" s="31" t="s">
        <v>29</v>
      </c>
      <c r="M116" s="30" t="s">
        <v>3</v>
      </c>
      <c r="N116" s="34">
        <f>INDEX('[1]Campaign Metadata '!B:B,MATCH(M116,'[1]Campaign Metadata '!A:A,0))</f>
        <v>45717</v>
      </c>
      <c r="O116" s="34">
        <f>INDEX('[1]Campaign Metadata '!C:C,MATCH(M116,'[1]Campaign Metadata '!A:A,0))</f>
        <v>45747</v>
      </c>
      <c r="P116" s="35" t="str">
        <f t="shared" si="2"/>
        <v>AFTER</v>
      </c>
      <c r="Q116">
        <f>(Posts!$F116+Posts!$G116+Posts!$H116)/Posts!$I116</f>
        <v>8.6978468608031198E-2</v>
      </c>
      <c r="R116" s="1">
        <f t="shared" si="3"/>
        <v>4997</v>
      </c>
    </row>
    <row r="117" spans="1:18" ht="15.75" customHeight="1">
      <c r="A117" s="36" t="s">
        <v>161</v>
      </c>
      <c r="B117" s="37" t="s">
        <v>23</v>
      </c>
      <c r="C117" s="38">
        <v>45781</v>
      </c>
      <c r="D117" s="37" t="s">
        <v>32</v>
      </c>
      <c r="E117" s="37" t="s">
        <v>33</v>
      </c>
      <c r="F117" s="39">
        <v>1311</v>
      </c>
      <c r="G117" s="39">
        <v>181</v>
      </c>
      <c r="H117" s="39">
        <v>361</v>
      </c>
      <c r="I117" s="39">
        <v>37148</v>
      </c>
      <c r="J117" s="39">
        <v>44875</v>
      </c>
      <c r="K117" s="39">
        <v>245</v>
      </c>
      <c r="L117" s="37" t="s">
        <v>49</v>
      </c>
      <c r="M117" s="36" t="s">
        <v>1</v>
      </c>
      <c r="N117" s="40">
        <f>INDEX('[1]Campaign Metadata '!B:B,MATCH(M117,'[1]Campaign Metadata '!A:A,0))</f>
        <v>45627</v>
      </c>
      <c r="O117" s="40">
        <f>INDEX('[1]Campaign Metadata '!C:C,MATCH(M117,'[1]Campaign Metadata '!A:A,0))</f>
        <v>45657</v>
      </c>
      <c r="P117" s="41" t="str">
        <f t="shared" si="2"/>
        <v>AFTER</v>
      </c>
      <c r="Q117">
        <f>(Posts!$F117+Posts!$G117+Posts!$H117)/Posts!$I117</f>
        <v>4.9881554861634543E-2</v>
      </c>
      <c r="R117" s="1">
        <f t="shared" si="3"/>
        <v>1853</v>
      </c>
    </row>
    <row r="118" spans="1:18" ht="15.75" customHeight="1">
      <c r="A118" s="30" t="s">
        <v>162</v>
      </c>
      <c r="B118" s="31" t="s">
        <v>23</v>
      </c>
      <c r="C118" s="32">
        <v>45340</v>
      </c>
      <c r="D118" s="31" t="s">
        <v>32</v>
      </c>
      <c r="E118" s="31" t="s">
        <v>56</v>
      </c>
      <c r="F118" s="33">
        <v>1516</v>
      </c>
      <c r="G118" s="33">
        <v>215</v>
      </c>
      <c r="H118" s="33">
        <v>332</v>
      </c>
      <c r="I118" s="33">
        <v>58981</v>
      </c>
      <c r="J118" s="33">
        <v>36118</v>
      </c>
      <c r="K118" s="33">
        <v>211</v>
      </c>
      <c r="L118" s="31" t="s">
        <v>49</v>
      </c>
      <c r="M118" s="30" t="s">
        <v>1</v>
      </c>
      <c r="N118" s="34">
        <f>INDEX('[1]Campaign Metadata '!B:B,MATCH(M118,'[1]Campaign Metadata '!A:A,0))</f>
        <v>45627</v>
      </c>
      <c r="O118" s="34">
        <f>INDEX('[1]Campaign Metadata '!C:C,MATCH(M118,'[1]Campaign Metadata '!A:A,0))</f>
        <v>45657</v>
      </c>
      <c r="P118" s="35" t="str">
        <f t="shared" si="2"/>
        <v>BEFORE</v>
      </c>
      <c r="Q118">
        <f>(Posts!$F118+Posts!$G118+Posts!$H118)/Posts!$I118</f>
        <v>3.4977365592309385E-2</v>
      </c>
      <c r="R118" s="1">
        <f t="shared" si="3"/>
        <v>2063</v>
      </c>
    </row>
    <row r="119" spans="1:18" ht="15.75" customHeight="1">
      <c r="A119" s="36" t="s">
        <v>163</v>
      </c>
      <c r="B119" s="37" t="s">
        <v>31</v>
      </c>
      <c r="C119" s="38">
        <v>45428</v>
      </c>
      <c r="D119" s="37" t="s">
        <v>32</v>
      </c>
      <c r="E119" s="37" t="s">
        <v>39</v>
      </c>
      <c r="F119" s="39">
        <v>2023</v>
      </c>
      <c r="G119" s="39">
        <v>124</v>
      </c>
      <c r="H119" s="39">
        <v>99</v>
      </c>
      <c r="I119" s="39">
        <v>54524</v>
      </c>
      <c r="J119" s="39">
        <v>34790</v>
      </c>
      <c r="K119" s="39">
        <v>195</v>
      </c>
      <c r="L119" s="37" t="s">
        <v>46</v>
      </c>
      <c r="M119" s="36" t="s">
        <v>2</v>
      </c>
      <c r="N119" s="40">
        <f>INDEX('[1]Campaign Metadata '!B:B,MATCH(M119,'[1]Campaign Metadata '!A:A,0))</f>
        <v>45667</v>
      </c>
      <c r="O119" s="40">
        <f>INDEX('[1]Campaign Metadata '!C:C,MATCH(M119,'[1]Campaign Metadata '!A:A,0))</f>
        <v>45698</v>
      </c>
      <c r="P119" s="41" t="str">
        <f t="shared" si="2"/>
        <v>BEFORE</v>
      </c>
      <c r="Q119">
        <f>(Posts!$F119+Posts!$G119+Posts!$H119)/Posts!$I119</f>
        <v>4.1192869195216787E-2</v>
      </c>
      <c r="R119" s="1">
        <f t="shared" si="3"/>
        <v>2246</v>
      </c>
    </row>
    <row r="120" spans="1:18" ht="15.75" customHeight="1">
      <c r="A120" s="30" t="s">
        <v>164</v>
      </c>
      <c r="B120" s="31" t="s">
        <v>31</v>
      </c>
      <c r="C120" s="32">
        <v>45806</v>
      </c>
      <c r="D120" s="31" t="s">
        <v>32</v>
      </c>
      <c r="E120" s="31" t="s">
        <v>39</v>
      </c>
      <c r="F120" s="33">
        <v>2134</v>
      </c>
      <c r="G120" s="33">
        <v>322</v>
      </c>
      <c r="H120" s="33">
        <v>114</v>
      </c>
      <c r="I120" s="33">
        <v>44338</v>
      </c>
      <c r="J120" s="33">
        <v>52165</v>
      </c>
      <c r="K120" s="33">
        <v>176</v>
      </c>
      <c r="L120" s="31" t="s">
        <v>34</v>
      </c>
      <c r="M120" s="30" t="s">
        <v>2</v>
      </c>
      <c r="N120" s="34">
        <f>INDEX('[1]Campaign Metadata '!B:B,MATCH(M120,'[1]Campaign Metadata '!A:A,0))</f>
        <v>45667</v>
      </c>
      <c r="O120" s="34">
        <f>INDEX('[1]Campaign Metadata '!C:C,MATCH(M120,'[1]Campaign Metadata '!A:A,0))</f>
        <v>45698</v>
      </c>
      <c r="P120" s="35" t="str">
        <f t="shared" si="2"/>
        <v>AFTER</v>
      </c>
      <c r="Q120">
        <f>(Posts!$F120+Posts!$G120+Posts!$H120)/Posts!$I120</f>
        <v>5.7963823356939871E-2</v>
      </c>
      <c r="R120" s="1">
        <f t="shared" si="3"/>
        <v>2570</v>
      </c>
    </row>
    <row r="121" spans="1:18" ht="15.75" customHeight="1">
      <c r="A121" s="36" t="s">
        <v>165</v>
      </c>
      <c r="B121" s="37" t="s">
        <v>23</v>
      </c>
      <c r="C121" s="38">
        <v>45674</v>
      </c>
      <c r="D121" s="37" t="s">
        <v>24</v>
      </c>
      <c r="E121" s="37" t="s">
        <v>48</v>
      </c>
      <c r="F121" s="39">
        <v>2266</v>
      </c>
      <c r="G121" s="39">
        <v>126</v>
      </c>
      <c r="H121" s="39">
        <v>140</v>
      </c>
      <c r="I121" s="39">
        <v>53759</v>
      </c>
      <c r="J121" s="39">
        <v>46834</v>
      </c>
      <c r="K121" s="39">
        <v>277</v>
      </c>
      <c r="L121" s="37" t="s">
        <v>29</v>
      </c>
      <c r="M121" s="36" t="s">
        <v>3</v>
      </c>
      <c r="N121" s="40">
        <f>INDEX('[1]Campaign Metadata '!B:B,MATCH(M121,'[1]Campaign Metadata '!A:A,0))</f>
        <v>45717</v>
      </c>
      <c r="O121" s="40">
        <f>INDEX('[1]Campaign Metadata '!C:C,MATCH(M121,'[1]Campaign Metadata '!A:A,0))</f>
        <v>45747</v>
      </c>
      <c r="P121" s="41" t="str">
        <f t="shared" si="2"/>
        <v>BEFORE</v>
      </c>
      <c r="Q121">
        <f>(Posts!$F121+Posts!$G121+Posts!$H121)/Posts!$I121</f>
        <v>4.7099090384865788E-2</v>
      </c>
      <c r="R121" s="1">
        <f t="shared" si="3"/>
        <v>2532</v>
      </c>
    </row>
    <row r="122" spans="1:18" ht="15.75" customHeight="1">
      <c r="A122" s="30" t="s">
        <v>166</v>
      </c>
      <c r="B122" s="31" t="s">
        <v>23</v>
      </c>
      <c r="C122" s="32">
        <v>45777</v>
      </c>
      <c r="D122" s="31" t="s">
        <v>32</v>
      </c>
      <c r="E122" s="31" t="s">
        <v>33</v>
      </c>
      <c r="F122" s="33">
        <v>3916</v>
      </c>
      <c r="G122" s="33">
        <v>459</v>
      </c>
      <c r="H122" s="33">
        <v>229</v>
      </c>
      <c r="I122" s="33">
        <v>48989</v>
      </c>
      <c r="J122" s="33">
        <v>39768</v>
      </c>
      <c r="K122" s="33">
        <v>200</v>
      </c>
      <c r="L122" s="31" t="s">
        <v>49</v>
      </c>
      <c r="M122" s="30" t="s">
        <v>1</v>
      </c>
      <c r="N122" s="34">
        <f>INDEX('[1]Campaign Metadata '!B:B,MATCH(M122,'[1]Campaign Metadata '!A:A,0))</f>
        <v>45627</v>
      </c>
      <c r="O122" s="34">
        <f>INDEX('[1]Campaign Metadata '!C:C,MATCH(M122,'[1]Campaign Metadata '!A:A,0))</f>
        <v>45657</v>
      </c>
      <c r="P122" s="35" t="str">
        <f t="shared" si="2"/>
        <v>AFTER</v>
      </c>
      <c r="Q122">
        <f>(Posts!$F122+Posts!$G122+Posts!$H122)/Posts!$I122</f>
        <v>9.3980281287635997E-2</v>
      </c>
      <c r="R122" s="1">
        <f t="shared" si="3"/>
        <v>4604</v>
      </c>
    </row>
    <row r="123" spans="1:18" ht="15.75" customHeight="1">
      <c r="A123" s="36" t="s">
        <v>167</v>
      </c>
      <c r="B123" s="37" t="s">
        <v>31</v>
      </c>
      <c r="C123" s="38">
        <v>45346</v>
      </c>
      <c r="D123" s="37" t="s">
        <v>32</v>
      </c>
      <c r="E123" s="37" t="s">
        <v>39</v>
      </c>
      <c r="F123" s="39">
        <v>1022</v>
      </c>
      <c r="G123" s="39">
        <v>463</v>
      </c>
      <c r="H123" s="39">
        <v>360</v>
      </c>
      <c r="I123" s="39">
        <v>51468</v>
      </c>
      <c r="J123" s="39">
        <v>24279</v>
      </c>
      <c r="K123" s="39">
        <v>230</v>
      </c>
      <c r="L123" s="37" t="s">
        <v>46</v>
      </c>
      <c r="M123" s="36" t="s">
        <v>2</v>
      </c>
      <c r="N123" s="40">
        <f>INDEX('[1]Campaign Metadata '!B:B,MATCH(M123,'[1]Campaign Metadata '!A:A,0))</f>
        <v>45667</v>
      </c>
      <c r="O123" s="40">
        <f>INDEX('[1]Campaign Metadata '!C:C,MATCH(M123,'[1]Campaign Metadata '!A:A,0))</f>
        <v>45698</v>
      </c>
      <c r="P123" s="41" t="str">
        <f t="shared" si="2"/>
        <v>BEFORE</v>
      </c>
      <c r="Q123">
        <f>(Posts!$F123+Posts!$G123+Posts!$H123)/Posts!$I123</f>
        <v>3.5847516903707161E-2</v>
      </c>
      <c r="R123" s="1">
        <f t="shared" si="3"/>
        <v>1845</v>
      </c>
    </row>
    <row r="124" spans="1:18" ht="15.75" customHeight="1">
      <c r="A124" s="30" t="s">
        <v>168</v>
      </c>
      <c r="B124" s="31" t="s">
        <v>38</v>
      </c>
      <c r="C124" s="32">
        <v>45424</v>
      </c>
      <c r="D124" s="31" t="s">
        <v>24</v>
      </c>
      <c r="E124" s="31" t="s">
        <v>56</v>
      </c>
      <c r="F124" s="33">
        <v>2911</v>
      </c>
      <c r="G124" s="33">
        <v>467</v>
      </c>
      <c r="H124" s="33">
        <v>94</v>
      </c>
      <c r="I124" s="33">
        <v>59083</v>
      </c>
      <c r="J124" s="33">
        <v>49762</v>
      </c>
      <c r="K124" s="33">
        <v>236</v>
      </c>
      <c r="L124" s="31" t="s">
        <v>40</v>
      </c>
      <c r="M124" s="30" t="s">
        <v>3</v>
      </c>
      <c r="N124" s="34">
        <f>INDEX('[1]Campaign Metadata '!B:B,MATCH(M124,'[1]Campaign Metadata '!A:A,0))</f>
        <v>45717</v>
      </c>
      <c r="O124" s="34">
        <f>INDEX('[1]Campaign Metadata '!C:C,MATCH(M124,'[1]Campaign Metadata '!A:A,0))</f>
        <v>45747</v>
      </c>
      <c r="P124" s="35" t="str">
        <f t="shared" si="2"/>
        <v>BEFORE</v>
      </c>
      <c r="Q124">
        <f>(Posts!$F124+Posts!$G124+Posts!$H124)/Posts!$I124</f>
        <v>5.8764788517847777E-2</v>
      </c>
      <c r="R124" s="1">
        <f t="shared" si="3"/>
        <v>3472</v>
      </c>
    </row>
    <row r="125" spans="1:18" ht="15.75" customHeight="1">
      <c r="A125" s="36" t="s">
        <v>169</v>
      </c>
      <c r="B125" s="37" t="s">
        <v>31</v>
      </c>
      <c r="C125" s="38">
        <v>45421</v>
      </c>
      <c r="D125" s="37" t="s">
        <v>32</v>
      </c>
      <c r="E125" s="37" t="s">
        <v>33</v>
      </c>
      <c r="F125" s="39">
        <v>3277</v>
      </c>
      <c r="G125" s="39">
        <v>423</v>
      </c>
      <c r="H125" s="39">
        <v>259</v>
      </c>
      <c r="I125" s="39">
        <v>46328</v>
      </c>
      <c r="J125" s="39">
        <v>44293</v>
      </c>
      <c r="K125" s="39">
        <v>299</v>
      </c>
      <c r="L125" s="37" t="s">
        <v>26</v>
      </c>
      <c r="M125" s="36" t="s">
        <v>2</v>
      </c>
      <c r="N125" s="40">
        <f>INDEX('[1]Campaign Metadata '!B:B,MATCH(M125,'[1]Campaign Metadata '!A:A,0))</f>
        <v>45667</v>
      </c>
      <c r="O125" s="40">
        <f>INDEX('[1]Campaign Metadata '!C:C,MATCH(M125,'[1]Campaign Metadata '!A:A,0))</f>
        <v>45698</v>
      </c>
      <c r="P125" s="41" t="str">
        <f t="shared" si="2"/>
        <v>BEFORE</v>
      </c>
      <c r="Q125">
        <f>(Posts!$F125+Posts!$G125+Posts!$H125)/Posts!$I125</f>
        <v>8.5455879813503707E-2</v>
      </c>
      <c r="R125" s="1">
        <f t="shared" si="3"/>
        <v>3959</v>
      </c>
    </row>
    <row r="126" spans="1:18" ht="15.75" customHeight="1">
      <c r="A126" s="30" t="s">
        <v>170</v>
      </c>
      <c r="B126" s="31" t="s">
        <v>31</v>
      </c>
      <c r="C126" s="32">
        <v>45602</v>
      </c>
      <c r="D126" s="31" t="s">
        <v>24</v>
      </c>
      <c r="E126" s="31" t="s">
        <v>56</v>
      </c>
      <c r="F126" s="33">
        <v>2956</v>
      </c>
      <c r="G126" s="33">
        <v>381</v>
      </c>
      <c r="H126" s="33">
        <v>345</v>
      </c>
      <c r="I126" s="33">
        <v>33347</v>
      </c>
      <c r="J126" s="33">
        <v>22558</v>
      </c>
      <c r="K126" s="33">
        <v>173</v>
      </c>
      <c r="L126" s="31" t="s">
        <v>49</v>
      </c>
      <c r="M126" s="30" t="s">
        <v>2</v>
      </c>
      <c r="N126" s="34">
        <f>INDEX('[1]Campaign Metadata '!B:B,MATCH(M126,'[1]Campaign Metadata '!A:A,0))</f>
        <v>45667</v>
      </c>
      <c r="O126" s="34">
        <f>INDEX('[1]Campaign Metadata '!C:C,MATCH(M126,'[1]Campaign Metadata '!A:A,0))</f>
        <v>45698</v>
      </c>
      <c r="P126" s="35" t="str">
        <f t="shared" si="2"/>
        <v>BEFORE</v>
      </c>
      <c r="Q126">
        <f>(Posts!$F126+Posts!$G126+Posts!$H126)/Posts!$I126</f>
        <v>0.11041472996071611</v>
      </c>
      <c r="R126" s="1">
        <f t="shared" si="3"/>
        <v>3682</v>
      </c>
    </row>
    <row r="127" spans="1:18" ht="15.75" customHeight="1">
      <c r="A127" s="36" t="s">
        <v>171</v>
      </c>
      <c r="B127" s="37" t="s">
        <v>31</v>
      </c>
      <c r="C127" s="38">
        <v>45295</v>
      </c>
      <c r="D127" s="37" t="s">
        <v>32</v>
      </c>
      <c r="E127" s="37" t="s">
        <v>42</v>
      </c>
      <c r="F127" s="39">
        <v>3208</v>
      </c>
      <c r="G127" s="39">
        <v>476</v>
      </c>
      <c r="H127" s="39">
        <v>277</v>
      </c>
      <c r="I127" s="39">
        <v>56072</v>
      </c>
      <c r="J127" s="39">
        <v>21061</v>
      </c>
      <c r="K127" s="39">
        <v>113</v>
      </c>
      <c r="L127" s="37" t="s">
        <v>34</v>
      </c>
      <c r="M127" s="36" t="s">
        <v>2</v>
      </c>
      <c r="N127" s="40">
        <f>INDEX('[1]Campaign Metadata '!B:B,MATCH(M127,'[1]Campaign Metadata '!A:A,0))</f>
        <v>45667</v>
      </c>
      <c r="O127" s="40">
        <f>INDEX('[1]Campaign Metadata '!C:C,MATCH(M127,'[1]Campaign Metadata '!A:A,0))</f>
        <v>45698</v>
      </c>
      <c r="P127" s="41" t="str">
        <f t="shared" si="2"/>
        <v>BEFORE</v>
      </c>
      <c r="Q127">
        <f>(Posts!$F127+Posts!$G127+Posts!$H127)/Posts!$I127</f>
        <v>7.064131830503638E-2</v>
      </c>
      <c r="R127" s="1">
        <f t="shared" si="3"/>
        <v>3961</v>
      </c>
    </row>
    <row r="128" spans="1:18" ht="15.75" customHeight="1">
      <c r="A128" s="30" t="s">
        <v>172</v>
      </c>
      <c r="B128" s="31" t="s">
        <v>31</v>
      </c>
      <c r="C128" s="32">
        <v>45319</v>
      </c>
      <c r="D128" s="31" t="s">
        <v>24</v>
      </c>
      <c r="E128" s="31" t="s">
        <v>39</v>
      </c>
      <c r="F128" s="33">
        <v>1456</v>
      </c>
      <c r="G128" s="33">
        <v>265</v>
      </c>
      <c r="H128" s="33">
        <v>137</v>
      </c>
      <c r="I128" s="33">
        <v>53485</v>
      </c>
      <c r="J128" s="33">
        <v>59729</v>
      </c>
      <c r="K128" s="33">
        <v>145</v>
      </c>
      <c r="L128" s="31" t="s">
        <v>52</v>
      </c>
      <c r="M128" s="30" t="s">
        <v>3</v>
      </c>
      <c r="N128" s="34">
        <f>INDEX('[1]Campaign Metadata '!B:B,MATCH(M128,'[1]Campaign Metadata '!A:A,0))</f>
        <v>45717</v>
      </c>
      <c r="O128" s="34">
        <f>INDEX('[1]Campaign Metadata '!C:C,MATCH(M128,'[1]Campaign Metadata '!A:A,0))</f>
        <v>45747</v>
      </c>
      <c r="P128" s="35" t="str">
        <f t="shared" si="2"/>
        <v>BEFORE</v>
      </c>
      <c r="Q128">
        <f>(Posts!$F128+Posts!$G128+Posts!$H128)/Posts!$I128</f>
        <v>3.4738711788351875E-2</v>
      </c>
      <c r="R128" s="1">
        <f t="shared" si="3"/>
        <v>1858</v>
      </c>
    </row>
    <row r="129" spans="1:18" ht="15.75" customHeight="1">
      <c r="A129" s="36" t="s">
        <v>173</v>
      </c>
      <c r="B129" s="37" t="s">
        <v>23</v>
      </c>
      <c r="C129" s="38">
        <v>45344</v>
      </c>
      <c r="D129" s="37" t="s">
        <v>24</v>
      </c>
      <c r="E129" s="37" t="s">
        <v>33</v>
      </c>
      <c r="F129" s="39">
        <v>1902</v>
      </c>
      <c r="G129" s="39">
        <v>394</v>
      </c>
      <c r="H129" s="39">
        <v>279</v>
      </c>
      <c r="I129" s="39">
        <v>24615</v>
      </c>
      <c r="J129" s="39">
        <v>51330</v>
      </c>
      <c r="K129" s="39">
        <v>176</v>
      </c>
      <c r="L129" s="37" t="s">
        <v>26</v>
      </c>
      <c r="M129" s="36" t="s">
        <v>2</v>
      </c>
      <c r="N129" s="40">
        <f>INDEX('[1]Campaign Metadata '!B:B,MATCH(M129,'[1]Campaign Metadata '!A:A,0))</f>
        <v>45667</v>
      </c>
      <c r="O129" s="40">
        <f>INDEX('[1]Campaign Metadata '!C:C,MATCH(M129,'[1]Campaign Metadata '!A:A,0))</f>
        <v>45698</v>
      </c>
      <c r="P129" s="41" t="str">
        <f t="shared" si="2"/>
        <v>BEFORE</v>
      </c>
      <c r="Q129">
        <f>(Posts!$F129+Posts!$G129+Posts!$H129)/Posts!$I129</f>
        <v>0.10461100954702417</v>
      </c>
      <c r="R129" s="1">
        <f t="shared" si="3"/>
        <v>2575</v>
      </c>
    </row>
    <row r="130" spans="1:18" ht="15.75" customHeight="1">
      <c r="A130" s="30" t="s">
        <v>174</v>
      </c>
      <c r="B130" s="31" t="s">
        <v>31</v>
      </c>
      <c r="C130" s="32">
        <v>45839</v>
      </c>
      <c r="D130" s="31" t="s">
        <v>32</v>
      </c>
      <c r="E130" s="31" t="s">
        <v>28</v>
      </c>
      <c r="F130" s="33">
        <v>3219</v>
      </c>
      <c r="G130" s="33">
        <v>424</v>
      </c>
      <c r="H130" s="33">
        <v>267</v>
      </c>
      <c r="I130" s="33">
        <v>48879</v>
      </c>
      <c r="J130" s="33">
        <v>37691</v>
      </c>
      <c r="K130" s="33">
        <v>224</v>
      </c>
      <c r="L130" s="31" t="s">
        <v>46</v>
      </c>
      <c r="M130" s="30" t="s">
        <v>2</v>
      </c>
      <c r="N130" s="34">
        <f>INDEX('[1]Campaign Metadata '!B:B,MATCH(M130,'[1]Campaign Metadata '!A:A,0))</f>
        <v>45667</v>
      </c>
      <c r="O130" s="34">
        <f>INDEX('[1]Campaign Metadata '!C:C,MATCH(M130,'[1]Campaign Metadata '!A:A,0))</f>
        <v>45698</v>
      </c>
      <c r="P130" s="35" t="str">
        <f t="shared" si="2"/>
        <v>AFTER</v>
      </c>
      <c r="Q130">
        <f>(Posts!$F130+Posts!$G130+Posts!$H130)/Posts!$I130</f>
        <v>7.9993453221219743E-2</v>
      </c>
      <c r="R130" s="1">
        <f t="shared" si="3"/>
        <v>3910</v>
      </c>
    </row>
    <row r="131" spans="1:18" ht="15.75" customHeight="1">
      <c r="A131" s="36" t="s">
        <v>175</v>
      </c>
      <c r="B131" s="37" t="s">
        <v>38</v>
      </c>
      <c r="C131" s="38">
        <v>45301</v>
      </c>
      <c r="D131" s="37" t="s">
        <v>24</v>
      </c>
      <c r="E131" s="37" t="s">
        <v>28</v>
      </c>
      <c r="F131" s="39">
        <v>1261</v>
      </c>
      <c r="G131" s="39">
        <v>190</v>
      </c>
      <c r="H131" s="39">
        <v>233</v>
      </c>
      <c r="I131" s="39">
        <v>59888</v>
      </c>
      <c r="J131" s="39">
        <v>51449</v>
      </c>
      <c r="K131" s="39">
        <v>205</v>
      </c>
      <c r="L131" s="37" t="s">
        <v>40</v>
      </c>
      <c r="M131" s="36" t="s">
        <v>3</v>
      </c>
      <c r="N131" s="40">
        <f>INDEX('[1]Campaign Metadata '!B:B,MATCH(M131,'[1]Campaign Metadata '!A:A,0))</f>
        <v>45717</v>
      </c>
      <c r="O131" s="40">
        <f>INDEX('[1]Campaign Metadata '!C:C,MATCH(M131,'[1]Campaign Metadata '!A:A,0))</f>
        <v>45747</v>
      </c>
      <c r="P131" s="41" t="str">
        <f t="shared" ref="P131:P194" si="4">IF(AND(C131&lt;=O131,C131&gt;=N131),"DURING",IF(C131&lt;O131,"BEFORE", "AFTER"))</f>
        <v>BEFORE</v>
      </c>
      <c r="Q131">
        <f>(Posts!$F131+Posts!$G131+Posts!$H131)/Posts!$I131</f>
        <v>2.811915575741384E-2</v>
      </c>
      <c r="R131" s="1">
        <f t="shared" ref="R131:R194" si="5">F131+G131+H131</f>
        <v>1684</v>
      </c>
    </row>
    <row r="132" spans="1:18" ht="15.75" customHeight="1">
      <c r="A132" s="30" t="s">
        <v>176</v>
      </c>
      <c r="B132" s="31" t="s">
        <v>31</v>
      </c>
      <c r="C132" s="32">
        <v>45736</v>
      </c>
      <c r="D132" s="31" t="s">
        <v>24</v>
      </c>
      <c r="E132" s="31" t="s">
        <v>58</v>
      </c>
      <c r="F132" s="33">
        <v>1564</v>
      </c>
      <c r="G132" s="33">
        <v>362</v>
      </c>
      <c r="H132" s="33">
        <v>371</v>
      </c>
      <c r="I132" s="33">
        <v>42075</v>
      </c>
      <c r="J132" s="33">
        <v>66659</v>
      </c>
      <c r="K132" s="33">
        <v>205</v>
      </c>
      <c r="L132" s="31" t="s">
        <v>52</v>
      </c>
      <c r="M132" s="30" t="s">
        <v>3</v>
      </c>
      <c r="N132" s="34">
        <f>INDEX('[1]Campaign Metadata '!B:B,MATCH(M132,'[1]Campaign Metadata '!A:A,0))</f>
        <v>45717</v>
      </c>
      <c r="O132" s="34">
        <f>INDEX('[1]Campaign Metadata '!C:C,MATCH(M132,'[1]Campaign Metadata '!A:A,0))</f>
        <v>45747</v>
      </c>
      <c r="P132" s="35" t="str">
        <f t="shared" si="4"/>
        <v>DURING</v>
      </c>
      <c r="Q132">
        <f>(Posts!$F132+Posts!$G132+Posts!$H132)/Posts!$I132</f>
        <v>5.4592988710635768E-2</v>
      </c>
      <c r="R132" s="1">
        <f t="shared" si="5"/>
        <v>2297</v>
      </c>
    </row>
    <row r="133" spans="1:18" ht="15.75" customHeight="1">
      <c r="A133" s="36" t="s">
        <v>177</v>
      </c>
      <c r="B133" s="37" t="s">
        <v>31</v>
      </c>
      <c r="C133" s="38">
        <v>45563</v>
      </c>
      <c r="D133" s="37" t="s">
        <v>24</v>
      </c>
      <c r="E133" s="37" t="s">
        <v>42</v>
      </c>
      <c r="F133" s="39">
        <v>4006</v>
      </c>
      <c r="G133" s="39">
        <v>420</v>
      </c>
      <c r="H133" s="39">
        <v>194</v>
      </c>
      <c r="I133" s="39">
        <v>49964</v>
      </c>
      <c r="J133" s="39">
        <v>20685</v>
      </c>
      <c r="K133" s="39">
        <v>148</v>
      </c>
      <c r="L133" s="37" t="s">
        <v>49</v>
      </c>
      <c r="M133" s="36" t="s">
        <v>2</v>
      </c>
      <c r="N133" s="40">
        <f>INDEX('[1]Campaign Metadata '!B:B,MATCH(M133,'[1]Campaign Metadata '!A:A,0))</f>
        <v>45667</v>
      </c>
      <c r="O133" s="40">
        <f>INDEX('[1]Campaign Metadata '!C:C,MATCH(M133,'[1]Campaign Metadata '!A:A,0))</f>
        <v>45698</v>
      </c>
      <c r="P133" s="41" t="str">
        <f t="shared" si="4"/>
        <v>BEFORE</v>
      </c>
      <c r="Q133">
        <f>(Posts!$F133+Posts!$G133+Posts!$H133)/Posts!$I133</f>
        <v>9.2466575934672959E-2</v>
      </c>
      <c r="R133" s="1">
        <f t="shared" si="5"/>
        <v>4620</v>
      </c>
    </row>
    <row r="134" spans="1:18" ht="15.75" customHeight="1">
      <c r="A134" s="30" t="s">
        <v>178</v>
      </c>
      <c r="B134" s="31" t="s">
        <v>38</v>
      </c>
      <c r="C134" s="32">
        <v>45318</v>
      </c>
      <c r="D134" s="31" t="s">
        <v>24</v>
      </c>
      <c r="E134" s="31" t="s">
        <v>58</v>
      </c>
      <c r="F134" s="33">
        <v>1976</v>
      </c>
      <c r="G134" s="33">
        <v>262</v>
      </c>
      <c r="H134" s="33">
        <v>218</v>
      </c>
      <c r="I134" s="33">
        <v>51696</v>
      </c>
      <c r="J134" s="33">
        <v>44846</v>
      </c>
      <c r="K134" s="33">
        <v>139</v>
      </c>
      <c r="L134" s="31" t="s">
        <v>40</v>
      </c>
      <c r="M134" s="30" t="s">
        <v>3</v>
      </c>
      <c r="N134" s="34">
        <f>INDEX('[1]Campaign Metadata '!B:B,MATCH(M134,'[1]Campaign Metadata '!A:A,0))</f>
        <v>45717</v>
      </c>
      <c r="O134" s="34">
        <f>INDEX('[1]Campaign Metadata '!C:C,MATCH(M134,'[1]Campaign Metadata '!A:A,0))</f>
        <v>45747</v>
      </c>
      <c r="P134" s="35" t="str">
        <f t="shared" si="4"/>
        <v>BEFORE</v>
      </c>
      <c r="Q134">
        <f>(Posts!$F134+Posts!$G134+Posts!$H134)/Posts!$I134</f>
        <v>4.7508511296812134E-2</v>
      </c>
      <c r="R134" s="1">
        <f t="shared" si="5"/>
        <v>2456</v>
      </c>
    </row>
    <row r="135" spans="1:18" ht="15.75" customHeight="1">
      <c r="A135" s="36" t="s">
        <v>179</v>
      </c>
      <c r="B135" s="37" t="s">
        <v>31</v>
      </c>
      <c r="C135" s="38">
        <v>45792</v>
      </c>
      <c r="D135" s="37" t="s">
        <v>24</v>
      </c>
      <c r="E135" s="37" t="s">
        <v>33</v>
      </c>
      <c r="F135" s="39">
        <v>1583</v>
      </c>
      <c r="G135" s="39">
        <v>433</v>
      </c>
      <c r="H135" s="39">
        <v>249</v>
      </c>
      <c r="I135" s="39">
        <v>30256</v>
      </c>
      <c r="J135" s="39">
        <v>47066</v>
      </c>
      <c r="K135" s="39">
        <v>196</v>
      </c>
      <c r="L135" s="37" t="s">
        <v>49</v>
      </c>
      <c r="M135" s="36" t="s">
        <v>2</v>
      </c>
      <c r="N135" s="40">
        <f>INDEX('[1]Campaign Metadata '!B:B,MATCH(M135,'[1]Campaign Metadata '!A:A,0))</f>
        <v>45667</v>
      </c>
      <c r="O135" s="40">
        <f>INDEX('[1]Campaign Metadata '!C:C,MATCH(M135,'[1]Campaign Metadata '!A:A,0))</f>
        <v>45698</v>
      </c>
      <c r="P135" s="41" t="str">
        <f t="shared" si="4"/>
        <v>AFTER</v>
      </c>
      <c r="Q135">
        <f>(Posts!$F135+Posts!$G135+Posts!$H135)/Posts!$I135</f>
        <v>7.4861184558434685E-2</v>
      </c>
      <c r="R135" s="1">
        <f t="shared" si="5"/>
        <v>2265</v>
      </c>
    </row>
    <row r="136" spans="1:18" ht="15.75" customHeight="1">
      <c r="A136" s="30" t="s">
        <v>180</v>
      </c>
      <c r="B136" s="31" t="s">
        <v>31</v>
      </c>
      <c r="C136" s="32">
        <v>45569</v>
      </c>
      <c r="D136" s="31" t="s">
        <v>32</v>
      </c>
      <c r="E136" s="31" t="s">
        <v>28</v>
      </c>
      <c r="F136" s="33">
        <v>2870</v>
      </c>
      <c r="G136" s="33">
        <v>380</v>
      </c>
      <c r="H136" s="33">
        <v>393</v>
      </c>
      <c r="I136" s="33">
        <v>37621</v>
      </c>
      <c r="J136" s="33">
        <v>71794</v>
      </c>
      <c r="K136" s="33">
        <v>127</v>
      </c>
      <c r="L136" s="31" t="s">
        <v>34</v>
      </c>
      <c r="M136" s="30" t="s">
        <v>2</v>
      </c>
      <c r="N136" s="34">
        <f>INDEX('[1]Campaign Metadata '!B:B,MATCH(M136,'[1]Campaign Metadata '!A:A,0))</f>
        <v>45667</v>
      </c>
      <c r="O136" s="34">
        <f>INDEX('[1]Campaign Metadata '!C:C,MATCH(M136,'[1]Campaign Metadata '!A:A,0))</f>
        <v>45698</v>
      </c>
      <c r="P136" s="35" t="str">
        <f t="shared" si="4"/>
        <v>BEFORE</v>
      </c>
      <c r="Q136">
        <f>(Posts!$F136+Posts!$G136+Posts!$H136)/Posts!$I136</f>
        <v>9.6834214933149046E-2</v>
      </c>
      <c r="R136" s="1">
        <f t="shared" si="5"/>
        <v>3643</v>
      </c>
    </row>
    <row r="137" spans="1:18" ht="15.75" customHeight="1">
      <c r="A137" s="36" t="s">
        <v>181</v>
      </c>
      <c r="B137" s="37" t="s">
        <v>31</v>
      </c>
      <c r="C137" s="38">
        <v>45615</v>
      </c>
      <c r="D137" s="37" t="s">
        <v>24</v>
      </c>
      <c r="E137" s="37" t="s">
        <v>48</v>
      </c>
      <c r="F137" s="39">
        <v>3728</v>
      </c>
      <c r="G137" s="39">
        <v>271</v>
      </c>
      <c r="H137" s="39">
        <v>275</v>
      </c>
      <c r="I137" s="39">
        <v>22827</v>
      </c>
      <c r="J137" s="39">
        <v>37034</v>
      </c>
      <c r="K137" s="39">
        <v>199</v>
      </c>
      <c r="L137" s="37" t="s">
        <v>49</v>
      </c>
      <c r="M137" s="36" t="s">
        <v>2</v>
      </c>
      <c r="N137" s="40">
        <f>INDEX('[1]Campaign Metadata '!B:B,MATCH(M137,'[1]Campaign Metadata '!A:A,0))</f>
        <v>45667</v>
      </c>
      <c r="O137" s="40">
        <f>INDEX('[1]Campaign Metadata '!C:C,MATCH(M137,'[1]Campaign Metadata '!A:A,0))</f>
        <v>45698</v>
      </c>
      <c r="P137" s="41" t="str">
        <f t="shared" si="4"/>
        <v>BEFORE</v>
      </c>
      <c r="Q137">
        <f>(Posts!$F137+Posts!$G137+Posts!$H137)/Posts!$I137</f>
        <v>0.18723441538528934</v>
      </c>
      <c r="R137" s="1">
        <f t="shared" si="5"/>
        <v>4274</v>
      </c>
    </row>
    <row r="138" spans="1:18" ht="15.75" customHeight="1">
      <c r="A138" s="30" t="s">
        <v>182</v>
      </c>
      <c r="B138" s="31" t="s">
        <v>31</v>
      </c>
      <c r="C138" s="32">
        <v>45387</v>
      </c>
      <c r="D138" s="31" t="s">
        <v>32</v>
      </c>
      <c r="E138" s="31" t="s">
        <v>33</v>
      </c>
      <c r="F138" s="33">
        <v>4965</v>
      </c>
      <c r="G138" s="33">
        <v>175</v>
      </c>
      <c r="H138" s="33">
        <v>307</v>
      </c>
      <c r="I138" s="33">
        <v>32793</v>
      </c>
      <c r="J138" s="33">
        <v>43412</v>
      </c>
      <c r="K138" s="33">
        <v>296</v>
      </c>
      <c r="L138" s="31" t="s">
        <v>26</v>
      </c>
      <c r="M138" s="30" t="s">
        <v>2</v>
      </c>
      <c r="N138" s="34">
        <f>INDEX('[1]Campaign Metadata '!B:B,MATCH(M138,'[1]Campaign Metadata '!A:A,0))</f>
        <v>45667</v>
      </c>
      <c r="O138" s="34">
        <f>INDEX('[1]Campaign Metadata '!C:C,MATCH(M138,'[1]Campaign Metadata '!A:A,0))</f>
        <v>45698</v>
      </c>
      <c r="P138" s="35" t="str">
        <f t="shared" si="4"/>
        <v>BEFORE</v>
      </c>
      <c r="Q138">
        <f>(Posts!$F138+Posts!$G138+Posts!$H138)/Posts!$I138</f>
        <v>0.16610252187966945</v>
      </c>
      <c r="R138" s="1">
        <f t="shared" si="5"/>
        <v>5447</v>
      </c>
    </row>
    <row r="139" spans="1:18" ht="15.75" customHeight="1">
      <c r="A139" s="36" t="s">
        <v>183</v>
      </c>
      <c r="B139" s="37" t="s">
        <v>31</v>
      </c>
      <c r="C139" s="38">
        <v>45624</v>
      </c>
      <c r="D139" s="37" t="s">
        <v>32</v>
      </c>
      <c r="E139" s="37" t="s">
        <v>33</v>
      </c>
      <c r="F139" s="39">
        <v>1131</v>
      </c>
      <c r="G139" s="39">
        <v>100</v>
      </c>
      <c r="H139" s="39">
        <v>116</v>
      </c>
      <c r="I139" s="39">
        <v>48437</v>
      </c>
      <c r="J139" s="39">
        <v>72704</v>
      </c>
      <c r="K139" s="39">
        <v>236</v>
      </c>
      <c r="L139" s="37" t="s">
        <v>46</v>
      </c>
      <c r="M139" s="36" t="s">
        <v>2</v>
      </c>
      <c r="N139" s="40">
        <f>INDEX('[1]Campaign Metadata '!B:B,MATCH(M139,'[1]Campaign Metadata '!A:A,0))</f>
        <v>45667</v>
      </c>
      <c r="O139" s="40">
        <f>INDEX('[1]Campaign Metadata '!C:C,MATCH(M139,'[1]Campaign Metadata '!A:A,0))</f>
        <v>45698</v>
      </c>
      <c r="P139" s="41" t="str">
        <f t="shared" si="4"/>
        <v>BEFORE</v>
      </c>
      <c r="Q139">
        <f>(Posts!$F139+Posts!$G139+Posts!$H139)/Posts!$I139</f>
        <v>2.7809319322005904E-2</v>
      </c>
      <c r="R139" s="1">
        <f t="shared" si="5"/>
        <v>1347</v>
      </c>
    </row>
    <row r="140" spans="1:18" ht="15.75" customHeight="1">
      <c r="A140" s="30" t="s">
        <v>184</v>
      </c>
      <c r="B140" s="31" t="s">
        <v>31</v>
      </c>
      <c r="C140" s="32">
        <v>45725</v>
      </c>
      <c r="D140" s="31" t="s">
        <v>24</v>
      </c>
      <c r="E140" s="31" t="s">
        <v>58</v>
      </c>
      <c r="F140" s="33">
        <v>2754</v>
      </c>
      <c r="G140" s="33">
        <v>215</v>
      </c>
      <c r="H140" s="33">
        <v>264</v>
      </c>
      <c r="I140" s="33">
        <v>27762</v>
      </c>
      <c r="J140" s="33">
        <v>70203</v>
      </c>
      <c r="K140" s="33">
        <v>289</v>
      </c>
      <c r="L140" s="31" t="s">
        <v>49</v>
      </c>
      <c r="M140" s="30" t="s">
        <v>2</v>
      </c>
      <c r="N140" s="34">
        <f>INDEX('[1]Campaign Metadata '!B:B,MATCH(M140,'[1]Campaign Metadata '!A:A,0))</f>
        <v>45667</v>
      </c>
      <c r="O140" s="34">
        <f>INDEX('[1]Campaign Metadata '!C:C,MATCH(M140,'[1]Campaign Metadata '!A:A,0))</f>
        <v>45698</v>
      </c>
      <c r="P140" s="35" t="str">
        <f t="shared" si="4"/>
        <v>AFTER</v>
      </c>
      <c r="Q140">
        <f>(Posts!$F140+Posts!$G140+Posts!$H140)/Posts!$I140</f>
        <v>0.11645414595490239</v>
      </c>
      <c r="R140" s="1">
        <f t="shared" si="5"/>
        <v>3233</v>
      </c>
    </row>
    <row r="141" spans="1:18" ht="15.75" customHeight="1">
      <c r="A141" s="36" t="s">
        <v>185</v>
      </c>
      <c r="B141" s="37" t="s">
        <v>31</v>
      </c>
      <c r="C141" s="38">
        <v>45531</v>
      </c>
      <c r="D141" s="37" t="s">
        <v>32</v>
      </c>
      <c r="E141" s="37" t="s">
        <v>33</v>
      </c>
      <c r="F141" s="39">
        <v>1856</v>
      </c>
      <c r="G141" s="39">
        <v>357</v>
      </c>
      <c r="H141" s="39">
        <v>348</v>
      </c>
      <c r="I141" s="39">
        <v>29428</v>
      </c>
      <c r="J141" s="39">
        <v>70206</v>
      </c>
      <c r="K141" s="39">
        <v>236</v>
      </c>
      <c r="L141" s="37" t="s">
        <v>34</v>
      </c>
      <c r="M141" s="36" t="s">
        <v>2</v>
      </c>
      <c r="N141" s="40">
        <f>INDEX('[1]Campaign Metadata '!B:B,MATCH(M141,'[1]Campaign Metadata '!A:A,0))</f>
        <v>45667</v>
      </c>
      <c r="O141" s="40">
        <f>INDEX('[1]Campaign Metadata '!C:C,MATCH(M141,'[1]Campaign Metadata '!A:A,0))</f>
        <v>45698</v>
      </c>
      <c r="P141" s="41" t="str">
        <f t="shared" si="4"/>
        <v>BEFORE</v>
      </c>
      <c r="Q141">
        <f>(Posts!$F141+Posts!$G141+Posts!$H141)/Posts!$I141</f>
        <v>8.702596166915863E-2</v>
      </c>
      <c r="R141" s="1">
        <f t="shared" si="5"/>
        <v>2561</v>
      </c>
    </row>
    <row r="142" spans="1:18" ht="15.75" customHeight="1">
      <c r="A142" s="30" t="s">
        <v>186</v>
      </c>
      <c r="B142" s="31" t="s">
        <v>38</v>
      </c>
      <c r="C142" s="32">
        <v>45566</v>
      </c>
      <c r="D142" s="31" t="s">
        <v>63</v>
      </c>
      <c r="E142" s="31" t="s">
        <v>28</v>
      </c>
      <c r="F142" s="33">
        <v>3543</v>
      </c>
      <c r="G142" s="33">
        <v>334</v>
      </c>
      <c r="H142" s="33">
        <v>218</v>
      </c>
      <c r="I142" s="33">
        <v>58007</v>
      </c>
      <c r="J142" s="33">
        <v>24792</v>
      </c>
      <c r="K142" s="33">
        <v>273</v>
      </c>
      <c r="L142" s="31" t="s">
        <v>64</v>
      </c>
      <c r="M142" s="30" t="s">
        <v>0</v>
      </c>
      <c r="N142" s="34">
        <f>INDEX('[1]Campaign Metadata '!B:B,MATCH(M142,'[1]Campaign Metadata '!A:A,0))</f>
        <v>45458</v>
      </c>
      <c r="O142" s="34">
        <f>INDEX('[1]Campaign Metadata '!C:C,MATCH(M142,'[1]Campaign Metadata '!A:A,0))</f>
        <v>45488</v>
      </c>
      <c r="P142" s="35" t="str">
        <f t="shared" si="4"/>
        <v>AFTER</v>
      </c>
      <c r="Q142">
        <f>(Posts!$F142+Posts!$G142+Posts!$H142)/Posts!$I142</f>
        <v>7.0594928198320889E-2</v>
      </c>
      <c r="R142" s="1">
        <f t="shared" si="5"/>
        <v>4095</v>
      </c>
    </row>
    <row r="143" spans="1:18" ht="15.75" customHeight="1">
      <c r="A143" s="36" t="s">
        <v>187</v>
      </c>
      <c r="B143" s="37" t="s">
        <v>23</v>
      </c>
      <c r="C143" s="38">
        <v>45647</v>
      </c>
      <c r="D143" s="37" t="s">
        <v>32</v>
      </c>
      <c r="E143" s="37" t="s">
        <v>33</v>
      </c>
      <c r="F143" s="39">
        <v>4563</v>
      </c>
      <c r="G143" s="39">
        <v>398</v>
      </c>
      <c r="H143" s="39">
        <v>163</v>
      </c>
      <c r="I143" s="39">
        <v>43679</v>
      </c>
      <c r="J143" s="39">
        <v>48760</v>
      </c>
      <c r="K143" s="39">
        <v>92</v>
      </c>
      <c r="L143" s="37" t="s">
        <v>49</v>
      </c>
      <c r="M143" s="36" t="s">
        <v>1</v>
      </c>
      <c r="N143" s="40">
        <f>INDEX('[1]Campaign Metadata '!B:B,MATCH(M143,'[1]Campaign Metadata '!A:A,0))</f>
        <v>45627</v>
      </c>
      <c r="O143" s="40">
        <f>INDEX('[1]Campaign Metadata '!C:C,MATCH(M143,'[1]Campaign Metadata '!A:A,0))</f>
        <v>45657</v>
      </c>
      <c r="P143" s="41" t="str">
        <f t="shared" si="4"/>
        <v>DURING</v>
      </c>
      <c r="Q143">
        <f>(Posts!$F143+Posts!$G143+Posts!$H143)/Posts!$I143</f>
        <v>0.11731037798484398</v>
      </c>
      <c r="R143" s="1">
        <f t="shared" si="5"/>
        <v>5124</v>
      </c>
    </row>
    <row r="144" spans="1:18" ht="15.75" customHeight="1">
      <c r="A144" s="30" t="s">
        <v>188</v>
      </c>
      <c r="B144" s="31" t="s">
        <v>23</v>
      </c>
      <c r="C144" s="32">
        <v>45460</v>
      </c>
      <c r="D144" s="31" t="s">
        <v>24</v>
      </c>
      <c r="E144" s="31" t="s">
        <v>25</v>
      </c>
      <c r="F144" s="33">
        <v>4283</v>
      </c>
      <c r="G144" s="33">
        <v>471</v>
      </c>
      <c r="H144" s="33">
        <v>156</v>
      </c>
      <c r="I144" s="33">
        <v>53004</v>
      </c>
      <c r="J144" s="33">
        <v>25678</v>
      </c>
      <c r="K144" s="33">
        <v>105</v>
      </c>
      <c r="L144" s="31" t="s">
        <v>29</v>
      </c>
      <c r="M144" s="30" t="s">
        <v>3</v>
      </c>
      <c r="N144" s="34">
        <f>INDEX('[1]Campaign Metadata '!B:B,MATCH(M144,'[1]Campaign Metadata '!A:A,0))</f>
        <v>45717</v>
      </c>
      <c r="O144" s="34">
        <f>INDEX('[1]Campaign Metadata '!C:C,MATCH(M144,'[1]Campaign Metadata '!A:A,0))</f>
        <v>45747</v>
      </c>
      <c r="P144" s="35" t="str">
        <f t="shared" si="4"/>
        <v>BEFORE</v>
      </c>
      <c r="Q144">
        <f>(Posts!$F144+Posts!$G144+Posts!$H144)/Posts!$I144</f>
        <v>9.2634518149573616E-2</v>
      </c>
      <c r="R144" s="1">
        <f t="shared" si="5"/>
        <v>4910</v>
      </c>
    </row>
    <row r="145" spans="1:18" ht="15.75" customHeight="1">
      <c r="A145" s="36" t="s">
        <v>189</v>
      </c>
      <c r="B145" s="37" t="s">
        <v>23</v>
      </c>
      <c r="C145" s="38">
        <v>45702</v>
      </c>
      <c r="D145" s="37" t="s">
        <v>24</v>
      </c>
      <c r="E145" s="37" t="s">
        <v>25</v>
      </c>
      <c r="F145" s="39">
        <v>2329</v>
      </c>
      <c r="G145" s="39">
        <v>373</v>
      </c>
      <c r="H145" s="39">
        <v>291</v>
      </c>
      <c r="I145" s="39">
        <v>49577</v>
      </c>
      <c r="J145" s="39">
        <v>28002</v>
      </c>
      <c r="K145" s="39">
        <v>82</v>
      </c>
      <c r="L145" s="37" t="s">
        <v>26</v>
      </c>
      <c r="M145" s="36" t="s">
        <v>2</v>
      </c>
      <c r="N145" s="40">
        <f>INDEX('[1]Campaign Metadata '!B:B,MATCH(M145,'[1]Campaign Metadata '!A:A,0))</f>
        <v>45667</v>
      </c>
      <c r="O145" s="40">
        <f>INDEX('[1]Campaign Metadata '!C:C,MATCH(M145,'[1]Campaign Metadata '!A:A,0))</f>
        <v>45698</v>
      </c>
      <c r="P145" s="41" t="str">
        <f t="shared" si="4"/>
        <v>AFTER</v>
      </c>
      <c r="Q145">
        <f>(Posts!$F145+Posts!$G145+Posts!$H145)/Posts!$I145</f>
        <v>6.0370736430199488E-2</v>
      </c>
      <c r="R145" s="1">
        <f t="shared" si="5"/>
        <v>2993</v>
      </c>
    </row>
    <row r="146" spans="1:18" ht="15.75" customHeight="1">
      <c r="A146" s="30" t="s">
        <v>190</v>
      </c>
      <c r="B146" s="31" t="s">
        <v>31</v>
      </c>
      <c r="C146" s="32">
        <v>45805</v>
      </c>
      <c r="D146" s="31" t="s">
        <v>32</v>
      </c>
      <c r="E146" s="31" t="s">
        <v>48</v>
      </c>
      <c r="F146" s="33">
        <v>4287</v>
      </c>
      <c r="G146" s="33">
        <v>273</v>
      </c>
      <c r="H146" s="33">
        <v>122</v>
      </c>
      <c r="I146" s="33">
        <v>40792</v>
      </c>
      <c r="J146" s="33">
        <v>23878</v>
      </c>
      <c r="K146" s="33">
        <v>277</v>
      </c>
      <c r="L146" s="31" t="s">
        <v>34</v>
      </c>
      <c r="M146" s="30" t="s">
        <v>2</v>
      </c>
      <c r="N146" s="34">
        <f>INDEX('[1]Campaign Metadata '!B:B,MATCH(M146,'[1]Campaign Metadata '!A:A,0))</f>
        <v>45667</v>
      </c>
      <c r="O146" s="34">
        <f>INDEX('[1]Campaign Metadata '!C:C,MATCH(M146,'[1]Campaign Metadata '!A:A,0))</f>
        <v>45698</v>
      </c>
      <c r="P146" s="35" t="str">
        <f t="shared" si="4"/>
        <v>AFTER</v>
      </c>
      <c r="Q146">
        <f>(Posts!$F146+Posts!$G146+Posts!$H146)/Posts!$I146</f>
        <v>0.11477740733477153</v>
      </c>
      <c r="R146" s="1">
        <f t="shared" si="5"/>
        <v>4682</v>
      </c>
    </row>
    <row r="147" spans="1:18" ht="15.75" customHeight="1">
      <c r="A147" s="36" t="s">
        <v>191</v>
      </c>
      <c r="B147" s="37" t="s">
        <v>23</v>
      </c>
      <c r="C147" s="38">
        <v>45799</v>
      </c>
      <c r="D147" s="37" t="s">
        <v>24</v>
      </c>
      <c r="E147" s="37" t="s">
        <v>25</v>
      </c>
      <c r="F147" s="39">
        <v>2633</v>
      </c>
      <c r="G147" s="39">
        <v>318</v>
      </c>
      <c r="H147" s="39">
        <v>380</v>
      </c>
      <c r="I147" s="39">
        <v>40869</v>
      </c>
      <c r="J147" s="39">
        <v>64474</v>
      </c>
      <c r="K147" s="39">
        <v>245</v>
      </c>
      <c r="L147" s="37" t="s">
        <v>29</v>
      </c>
      <c r="M147" s="36" t="s">
        <v>3</v>
      </c>
      <c r="N147" s="40">
        <f>INDEX('[1]Campaign Metadata '!B:B,MATCH(M147,'[1]Campaign Metadata '!A:A,0))</f>
        <v>45717</v>
      </c>
      <c r="O147" s="40">
        <f>INDEX('[1]Campaign Metadata '!C:C,MATCH(M147,'[1]Campaign Metadata '!A:A,0))</f>
        <v>45747</v>
      </c>
      <c r="P147" s="41" t="str">
        <f t="shared" si="4"/>
        <v>AFTER</v>
      </c>
      <c r="Q147">
        <f>(Posts!$F147+Posts!$G147+Posts!$H147)/Posts!$I147</f>
        <v>8.1504318676747664E-2</v>
      </c>
      <c r="R147" s="1">
        <f t="shared" si="5"/>
        <v>3331</v>
      </c>
    </row>
    <row r="148" spans="1:18" ht="15.75" customHeight="1">
      <c r="A148" s="30" t="s">
        <v>192</v>
      </c>
      <c r="B148" s="31" t="s">
        <v>31</v>
      </c>
      <c r="C148" s="32">
        <v>45312</v>
      </c>
      <c r="D148" s="31" t="s">
        <v>32</v>
      </c>
      <c r="E148" s="31" t="s">
        <v>25</v>
      </c>
      <c r="F148" s="33">
        <v>2383</v>
      </c>
      <c r="G148" s="33">
        <v>136</v>
      </c>
      <c r="H148" s="33">
        <v>302</v>
      </c>
      <c r="I148" s="33">
        <v>39187</v>
      </c>
      <c r="J148" s="33">
        <v>22133</v>
      </c>
      <c r="K148" s="33">
        <v>208</v>
      </c>
      <c r="L148" s="31" t="s">
        <v>34</v>
      </c>
      <c r="M148" s="30" t="s">
        <v>2</v>
      </c>
      <c r="N148" s="34">
        <f>INDEX('[1]Campaign Metadata '!B:B,MATCH(M148,'[1]Campaign Metadata '!A:A,0))</f>
        <v>45667</v>
      </c>
      <c r="O148" s="34">
        <f>INDEX('[1]Campaign Metadata '!C:C,MATCH(M148,'[1]Campaign Metadata '!A:A,0))</f>
        <v>45698</v>
      </c>
      <c r="P148" s="35" t="str">
        <f t="shared" si="4"/>
        <v>BEFORE</v>
      </c>
      <c r="Q148">
        <f>(Posts!$F148+Posts!$G148+Posts!$H148)/Posts!$I148</f>
        <v>7.1988159338556151E-2</v>
      </c>
      <c r="R148" s="1">
        <f t="shared" si="5"/>
        <v>2821</v>
      </c>
    </row>
    <row r="149" spans="1:18" ht="15.75" customHeight="1">
      <c r="A149" s="36" t="s">
        <v>193</v>
      </c>
      <c r="B149" s="37" t="s">
        <v>31</v>
      </c>
      <c r="C149" s="38">
        <v>45696</v>
      </c>
      <c r="D149" s="37" t="s">
        <v>32</v>
      </c>
      <c r="E149" s="37" t="s">
        <v>58</v>
      </c>
      <c r="F149" s="39">
        <v>4752</v>
      </c>
      <c r="G149" s="39">
        <v>334</v>
      </c>
      <c r="H149" s="39">
        <v>56</v>
      </c>
      <c r="I149" s="39">
        <v>48017</v>
      </c>
      <c r="J149" s="39">
        <v>55534</v>
      </c>
      <c r="K149" s="39">
        <v>270</v>
      </c>
      <c r="L149" s="37" t="s">
        <v>46</v>
      </c>
      <c r="M149" s="36" t="s">
        <v>2</v>
      </c>
      <c r="N149" s="40">
        <f>INDEX('[1]Campaign Metadata '!B:B,MATCH(M149,'[1]Campaign Metadata '!A:A,0))</f>
        <v>45667</v>
      </c>
      <c r="O149" s="40">
        <f>INDEX('[1]Campaign Metadata '!C:C,MATCH(M149,'[1]Campaign Metadata '!A:A,0))</f>
        <v>45698</v>
      </c>
      <c r="P149" s="41" t="str">
        <f t="shared" si="4"/>
        <v>DURING</v>
      </c>
      <c r="Q149">
        <f>(Posts!$F149+Posts!$G149+Posts!$H149)/Posts!$I149</f>
        <v>0.10708707332819627</v>
      </c>
      <c r="R149" s="1">
        <f t="shared" si="5"/>
        <v>5142</v>
      </c>
    </row>
    <row r="150" spans="1:18" ht="15.75" customHeight="1">
      <c r="A150" s="30" t="s">
        <v>194</v>
      </c>
      <c r="B150" s="31" t="s">
        <v>31</v>
      </c>
      <c r="C150" s="32">
        <v>45760</v>
      </c>
      <c r="D150" s="31" t="s">
        <v>24</v>
      </c>
      <c r="E150" s="31" t="s">
        <v>56</v>
      </c>
      <c r="F150" s="33">
        <v>3890</v>
      </c>
      <c r="G150" s="33">
        <v>408</v>
      </c>
      <c r="H150" s="33">
        <v>338</v>
      </c>
      <c r="I150" s="33">
        <v>56994</v>
      </c>
      <c r="J150" s="33">
        <v>32621</v>
      </c>
      <c r="K150" s="33">
        <v>286</v>
      </c>
      <c r="L150" s="31" t="s">
        <v>52</v>
      </c>
      <c r="M150" s="30" t="s">
        <v>3</v>
      </c>
      <c r="N150" s="34">
        <f>INDEX('[1]Campaign Metadata '!B:B,MATCH(M150,'[1]Campaign Metadata '!A:A,0))</f>
        <v>45717</v>
      </c>
      <c r="O150" s="34">
        <f>INDEX('[1]Campaign Metadata '!C:C,MATCH(M150,'[1]Campaign Metadata '!A:A,0))</f>
        <v>45747</v>
      </c>
      <c r="P150" s="35" t="str">
        <f t="shared" si="4"/>
        <v>AFTER</v>
      </c>
      <c r="Q150">
        <f>(Posts!$F150+Posts!$G150+Posts!$H150)/Posts!$I150</f>
        <v>8.1341895638137346E-2</v>
      </c>
      <c r="R150" s="1">
        <f t="shared" si="5"/>
        <v>4636</v>
      </c>
    </row>
    <row r="151" spans="1:18" ht="15.75" customHeight="1">
      <c r="A151" s="36" t="s">
        <v>195</v>
      </c>
      <c r="B151" s="37" t="s">
        <v>31</v>
      </c>
      <c r="C151" s="38">
        <v>45442</v>
      </c>
      <c r="D151" s="37" t="s">
        <v>32</v>
      </c>
      <c r="E151" s="37" t="s">
        <v>58</v>
      </c>
      <c r="F151" s="39">
        <v>2311</v>
      </c>
      <c r="G151" s="39">
        <v>207</v>
      </c>
      <c r="H151" s="39">
        <v>363</v>
      </c>
      <c r="I151" s="39">
        <v>30349</v>
      </c>
      <c r="J151" s="39">
        <v>32925</v>
      </c>
      <c r="K151" s="39">
        <v>88</v>
      </c>
      <c r="L151" s="37" t="s">
        <v>34</v>
      </c>
      <c r="M151" s="36" t="s">
        <v>2</v>
      </c>
      <c r="N151" s="40">
        <f>INDEX('[1]Campaign Metadata '!B:B,MATCH(M151,'[1]Campaign Metadata '!A:A,0))</f>
        <v>45667</v>
      </c>
      <c r="O151" s="40">
        <f>INDEX('[1]Campaign Metadata '!C:C,MATCH(M151,'[1]Campaign Metadata '!A:A,0))</f>
        <v>45698</v>
      </c>
      <c r="P151" s="41" t="str">
        <f t="shared" si="4"/>
        <v>BEFORE</v>
      </c>
      <c r="Q151">
        <f>(Posts!$F151+Posts!$G151+Posts!$H151)/Posts!$I151</f>
        <v>9.4928992718046723E-2</v>
      </c>
      <c r="R151" s="1">
        <f t="shared" si="5"/>
        <v>2881</v>
      </c>
    </row>
    <row r="152" spans="1:18" ht="15.75" customHeight="1">
      <c r="A152" s="30" t="s">
        <v>196</v>
      </c>
      <c r="B152" s="31" t="s">
        <v>23</v>
      </c>
      <c r="C152" s="32">
        <v>45516</v>
      </c>
      <c r="D152" s="31" t="s">
        <v>32</v>
      </c>
      <c r="E152" s="31" t="s">
        <v>25</v>
      </c>
      <c r="F152" s="33">
        <v>2962</v>
      </c>
      <c r="G152" s="33">
        <v>400</v>
      </c>
      <c r="H152" s="33">
        <v>280</v>
      </c>
      <c r="I152" s="33">
        <v>52508</v>
      </c>
      <c r="J152" s="33">
        <v>58329</v>
      </c>
      <c r="K152" s="33">
        <v>219</v>
      </c>
      <c r="L152" s="31" t="s">
        <v>49</v>
      </c>
      <c r="M152" s="30" t="s">
        <v>1</v>
      </c>
      <c r="N152" s="34">
        <f>INDEX('[1]Campaign Metadata '!B:B,MATCH(M152,'[1]Campaign Metadata '!A:A,0))</f>
        <v>45627</v>
      </c>
      <c r="O152" s="34">
        <f>INDEX('[1]Campaign Metadata '!C:C,MATCH(M152,'[1]Campaign Metadata '!A:A,0))</f>
        <v>45657</v>
      </c>
      <c r="P152" s="35" t="str">
        <f t="shared" si="4"/>
        <v>BEFORE</v>
      </c>
      <c r="Q152">
        <f>(Posts!$F152+Posts!$G152+Posts!$H152)/Posts!$I152</f>
        <v>6.9360859297630834E-2</v>
      </c>
      <c r="R152" s="1">
        <f t="shared" si="5"/>
        <v>3642</v>
      </c>
    </row>
    <row r="153" spans="1:18" ht="15.75" customHeight="1">
      <c r="A153" s="36" t="s">
        <v>197</v>
      </c>
      <c r="B153" s="37" t="s">
        <v>23</v>
      </c>
      <c r="C153" s="38">
        <v>45562</v>
      </c>
      <c r="D153" s="37" t="s">
        <v>24</v>
      </c>
      <c r="E153" s="37" t="s">
        <v>25</v>
      </c>
      <c r="F153" s="39">
        <v>3118</v>
      </c>
      <c r="G153" s="39">
        <v>116</v>
      </c>
      <c r="H153" s="39">
        <v>195</v>
      </c>
      <c r="I153" s="39">
        <v>37100</v>
      </c>
      <c r="J153" s="39">
        <v>62629</v>
      </c>
      <c r="K153" s="39">
        <v>272</v>
      </c>
      <c r="L153" s="37" t="s">
        <v>29</v>
      </c>
      <c r="M153" s="36" t="s">
        <v>3</v>
      </c>
      <c r="N153" s="40">
        <f>INDEX('[1]Campaign Metadata '!B:B,MATCH(M153,'[1]Campaign Metadata '!A:A,0))</f>
        <v>45717</v>
      </c>
      <c r="O153" s="40">
        <f>INDEX('[1]Campaign Metadata '!C:C,MATCH(M153,'[1]Campaign Metadata '!A:A,0))</f>
        <v>45747</v>
      </c>
      <c r="P153" s="41" t="str">
        <f t="shared" si="4"/>
        <v>BEFORE</v>
      </c>
      <c r="Q153">
        <f>(Posts!$F153+Posts!$G153+Posts!$H153)/Posts!$I153</f>
        <v>9.2425876010781671E-2</v>
      </c>
      <c r="R153" s="1">
        <f t="shared" si="5"/>
        <v>3429</v>
      </c>
    </row>
    <row r="154" spans="1:18" ht="15.75" customHeight="1">
      <c r="A154" s="30" t="s">
        <v>198</v>
      </c>
      <c r="B154" s="31" t="s">
        <v>31</v>
      </c>
      <c r="C154" s="32">
        <v>45819</v>
      </c>
      <c r="D154" s="31" t="s">
        <v>32</v>
      </c>
      <c r="E154" s="31" t="s">
        <v>28</v>
      </c>
      <c r="F154" s="33">
        <v>3805</v>
      </c>
      <c r="G154" s="33">
        <v>453</v>
      </c>
      <c r="H154" s="33">
        <v>63</v>
      </c>
      <c r="I154" s="33">
        <v>52395</v>
      </c>
      <c r="J154" s="33">
        <v>72934</v>
      </c>
      <c r="K154" s="33">
        <v>87</v>
      </c>
      <c r="L154" s="31" t="s">
        <v>46</v>
      </c>
      <c r="M154" s="30" t="s">
        <v>2</v>
      </c>
      <c r="N154" s="34">
        <f>INDEX('[1]Campaign Metadata '!B:B,MATCH(M154,'[1]Campaign Metadata '!A:A,0))</f>
        <v>45667</v>
      </c>
      <c r="O154" s="34">
        <f>INDEX('[1]Campaign Metadata '!C:C,MATCH(M154,'[1]Campaign Metadata '!A:A,0))</f>
        <v>45698</v>
      </c>
      <c r="P154" s="35" t="str">
        <f t="shared" si="4"/>
        <v>AFTER</v>
      </c>
      <c r="Q154">
        <f>(Posts!$F154+Posts!$G154+Posts!$H154)/Posts!$I154</f>
        <v>8.2469701307376658E-2</v>
      </c>
      <c r="R154" s="1">
        <f t="shared" si="5"/>
        <v>4321</v>
      </c>
    </row>
    <row r="155" spans="1:18" ht="15.75" customHeight="1">
      <c r="A155" s="36" t="s">
        <v>199</v>
      </c>
      <c r="B155" s="37" t="s">
        <v>23</v>
      </c>
      <c r="C155" s="38">
        <v>45615</v>
      </c>
      <c r="D155" s="37" t="s">
        <v>24</v>
      </c>
      <c r="E155" s="37" t="s">
        <v>42</v>
      </c>
      <c r="F155" s="39">
        <v>2525</v>
      </c>
      <c r="G155" s="39">
        <v>272</v>
      </c>
      <c r="H155" s="39">
        <v>294</v>
      </c>
      <c r="I155" s="39">
        <v>51875</v>
      </c>
      <c r="J155" s="39">
        <v>24732</v>
      </c>
      <c r="K155" s="39">
        <v>92</v>
      </c>
      <c r="L155" s="37" t="s">
        <v>29</v>
      </c>
      <c r="M155" s="36" t="s">
        <v>3</v>
      </c>
      <c r="N155" s="40">
        <f>INDEX('[1]Campaign Metadata '!B:B,MATCH(M155,'[1]Campaign Metadata '!A:A,0))</f>
        <v>45717</v>
      </c>
      <c r="O155" s="40">
        <f>INDEX('[1]Campaign Metadata '!C:C,MATCH(M155,'[1]Campaign Metadata '!A:A,0))</f>
        <v>45747</v>
      </c>
      <c r="P155" s="41" t="str">
        <f t="shared" si="4"/>
        <v>BEFORE</v>
      </c>
      <c r="Q155">
        <f>(Posts!$F155+Posts!$G155+Posts!$H155)/Posts!$I155</f>
        <v>5.9585542168674697E-2</v>
      </c>
      <c r="R155" s="1">
        <f t="shared" si="5"/>
        <v>3091</v>
      </c>
    </row>
    <row r="156" spans="1:18" ht="15.75" customHeight="1">
      <c r="A156" s="30" t="s">
        <v>200</v>
      </c>
      <c r="B156" s="31" t="s">
        <v>23</v>
      </c>
      <c r="C156" s="32">
        <v>45407</v>
      </c>
      <c r="D156" s="31" t="s">
        <v>24</v>
      </c>
      <c r="E156" s="31" t="s">
        <v>39</v>
      </c>
      <c r="F156" s="33">
        <v>3563</v>
      </c>
      <c r="G156" s="33">
        <v>483</v>
      </c>
      <c r="H156" s="33">
        <v>227</v>
      </c>
      <c r="I156" s="33">
        <v>41085</v>
      </c>
      <c r="J156" s="33">
        <v>26393</v>
      </c>
      <c r="K156" s="33">
        <v>236</v>
      </c>
      <c r="L156" s="31" t="s">
        <v>26</v>
      </c>
      <c r="M156" s="30" t="s">
        <v>2</v>
      </c>
      <c r="N156" s="34">
        <f>INDEX('[1]Campaign Metadata '!B:B,MATCH(M156,'[1]Campaign Metadata '!A:A,0))</f>
        <v>45667</v>
      </c>
      <c r="O156" s="34">
        <f>INDEX('[1]Campaign Metadata '!C:C,MATCH(M156,'[1]Campaign Metadata '!A:A,0))</f>
        <v>45698</v>
      </c>
      <c r="P156" s="35" t="str">
        <f t="shared" si="4"/>
        <v>BEFORE</v>
      </c>
      <c r="Q156">
        <f>(Posts!$F156+Posts!$G156+Posts!$H156)/Posts!$I156</f>
        <v>0.10400389436534015</v>
      </c>
      <c r="R156" s="1">
        <f t="shared" si="5"/>
        <v>4273</v>
      </c>
    </row>
    <row r="157" spans="1:18" ht="15.75" customHeight="1">
      <c r="A157" s="36" t="s">
        <v>201</v>
      </c>
      <c r="B157" s="37" t="s">
        <v>38</v>
      </c>
      <c r="C157" s="38">
        <v>45538</v>
      </c>
      <c r="D157" s="37" t="s">
        <v>63</v>
      </c>
      <c r="E157" s="37" t="s">
        <v>42</v>
      </c>
      <c r="F157" s="39">
        <v>1437</v>
      </c>
      <c r="G157" s="39">
        <v>494</v>
      </c>
      <c r="H157" s="39">
        <v>129</v>
      </c>
      <c r="I157" s="39">
        <v>53048</v>
      </c>
      <c r="J157" s="39">
        <v>44090</v>
      </c>
      <c r="K157" s="39">
        <v>230</v>
      </c>
      <c r="L157" s="37" t="s">
        <v>64</v>
      </c>
      <c r="M157" s="36" t="s">
        <v>0</v>
      </c>
      <c r="N157" s="40">
        <f>INDEX('[1]Campaign Metadata '!B:B,MATCH(M157,'[1]Campaign Metadata '!A:A,0))</f>
        <v>45458</v>
      </c>
      <c r="O157" s="40">
        <f>INDEX('[1]Campaign Metadata '!C:C,MATCH(M157,'[1]Campaign Metadata '!A:A,0))</f>
        <v>45488</v>
      </c>
      <c r="P157" s="41" t="str">
        <f t="shared" si="4"/>
        <v>AFTER</v>
      </c>
      <c r="Q157">
        <f>(Posts!$F157+Posts!$G157+Posts!$H157)/Posts!$I157</f>
        <v>3.8832755240536872E-2</v>
      </c>
      <c r="R157" s="1">
        <f t="shared" si="5"/>
        <v>2060</v>
      </c>
    </row>
    <row r="158" spans="1:18" ht="15.75" customHeight="1">
      <c r="A158" s="30" t="s">
        <v>202</v>
      </c>
      <c r="B158" s="31" t="s">
        <v>38</v>
      </c>
      <c r="C158" s="32">
        <v>45718</v>
      </c>
      <c r="D158" s="31" t="s">
        <v>24</v>
      </c>
      <c r="E158" s="31" t="s">
        <v>56</v>
      </c>
      <c r="F158" s="33">
        <v>4425</v>
      </c>
      <c r="G158" s="33">
        <v>185</v>
      </c>
      <c r="H158" s="33">
        <v>162</v>
      </c>
      <c r="I158" s="33">
        <v>24610</v>
      </c>
      <c r="J158" s="33">
        <v>21342</v>
      </c>
      <c r="K158" s="33">
        <v>158</v>
      </c>
      <c r="L158" s="31" t="s">
        <v>40</v>
      </c>
      <c r="M158" s="30" t="s">
        <v>3</v>
      </c>
      <c r="N158" s="34">
        <f>INDEX('[1]Campaign Metadata '!B:B,MATCH(M158,'[1]Campaign Metadata '!A:A,0))</f>
        <v>45717</v>
      </c>
      <c r="O158" s="34">
        <f>INDEX('[1]Campaign Metadata '!C:C,MATCH(M158,'[1]Campaign Metadata '!A:A,0))</f>
        <v>45747</v>
      </c>
      <c r="P158" s="35" t="str">
        <f t="shared" si="4"/>
        <v>DURING</v>
      </c>
      <c r="Q158">
        <f>(Posts!$F158+Posts!$G158+Posts!$H158)/Posts!$I158</f>
        <v>0.19390491670052823</v>
      </c>
      <c r="R158" s="1">
        <f t="shared" si="5"/>
        <v>4772</v>
      </c>
    </row>
    <row r="159" spans="1:18" ht="15.75" customHeight="1">
      <c r="A159" s="36" t="s">
        <v>203</v>
      </c>
      <c r="B159" s="37" t="s">
        <v>31</v>
      </c>
      <c r="C159" s="38">
        <v>45737</v>
      </c>
      <c r="D159" s="37" t="s">
        <v>32</v>
      </c>
      <c r="E159" s="37" t="s">
        <v>33</v>
      </c>
      <c r="F159" s="39">
        <v>4609</v>
      </c>
      <c r="G159" s="39">
        <v>427</v>
      </c>
      <c r="H159" s="39">
        <v>395</v>
      </c>
      <c r="I159" s="39">
        <v>33698</v>
      </c>
      <c r="J159" s="39">
        <v>29259</v>
      </c>
      <c r="K159" s="39">
        <v>216</v>
      </c>
      <c r="L159" s="37" t="s">
        <v>46</v>
      </c>
      <c r="M159" s="36" t="s">
        <v>2</v>
      </c>
      <c r="N159" s="40">
        <f>INDEX('[1]Campaign Metadata '!B:B,MATCH(M159,'[1]Campaign Metadata '!A:A,0))</f>
        <v>45667</v>
      </c>
      <c r="O159" s="40">
        <f>INDEX('[1]Campaign Metadata '!C:C,MATCH(M159,'[1]Campaign Metadata '!A:A,0))</f>
        <v>45698</v>
      </c>
      <c r="P159" s="41" t="str">
        <f t="shared" si="4"/>
        <v>AFTER</v>
      </c>
      <c r="Q159">
        <f>(Posts!$F159+Posts!$G159+Posts!$H159)/Posts!$I159</f>
        <v>0.16116683482699271</v>
      </c>
      <c r="R159" s="1">
        <f t="shared" si="5"/>
        <v>5431</v>
      </c>
    </row>
    <row r="160" spans="1:18" ht="15.75" customHeight="1">
      <c r="A160" s="30" t="s">
        <v>204</v>
      </c>
      <c r="B160" s="31" t="s">
        <v>23</v>
      </c>
      <c r="C160" s="32">
        <v>45394</v>
      </c>
      <c r="D160" s="31" t="s">
        <v>32</v>
      </c>
      <c r="E160" s="31" t="s">
        <v>44</v>
      </c>
      <c r="F160" s="33">
        <v>1558</v>
      </c>
      <c r="G160" s="33">
        <v>352</v>
      </c>
      <c r="H160" s="33">
        <v>202</v>
      </c>
      <c r="I160" s="33">
        <v>25405</v>
      </c>
      <c r="J160" s="33">
        <v>69941</v>
      </c>
      <c r="K160" s="33">
        <v>219</v>
      </c>
      <c r="L160" s="31" t="s">
        <v>49</v>
      </c>
      <c r="M160" s="30" t="s">
        <v>1</v>
      </c>
      <c r="N160" s="34">
        <f>INDEX('[1]Campaign Metadata '!B:B,MATCH(M160,'[1]Campaign Metadata '!A:A,0))</f>
        <v>45627</v>
      </c>
      <c r="O160" s="34">
        <f>INDEX('[1]Campaign Metadata '!C:C,MATCH(M160,'[1]Campaign Metadata '!A:A,0))</f>
        <v>45657</v>
      </c>
      <c r="P160" s="35" t="str">
        <f t="shared" si="4"/>
        <v>BEFORE</v>
      </c>
      <c r="Q160">
        <f>(Posts!$F160+Posts!$G160+Posts!$H160)/Posts!$I160</f>
        <v>8.3133241487896081E-2</v>
      </c>
      <c r="R160" s="1">
        <f t="shared" si="5"/>
        <v>2112</v>
      </c>
    </row>
    <row r="161" spans="1:18" ht="15.75" customHeight="1">
      <c r="A161" s="36" t="s">
        <v>205</v>
      </c>
      <c r="B161" s="37" t="s">
        <v>38</v>
      </c>
      <c r="C161" s="38">
        <v>45330</v>
      </c>
      <c r="D161" s="37" t="s">
        <v>63</v>
      </c>
      <c r="E161" s="37" t="s">
        <v>48</v>
      </c>
      <c r="F161" s="39">
        <v>1889</v>
      </c>
      <c r="G161" s="39">
        <v>298</v>
      </c>
      <c r="H161" s="39">
        <v>122</v>
      </c>
      <c r="I161" s="39">
        <v>46225</v>
      </c>
      <c r="J161" s="39">
        <v>74305</v>
      </c>
      <c r="K161" s="39">
        <v>293</v>
      </c>
      <c r="L161" s="37" t="s">
        <v>64</v>
      </c>
      <c r="M161" s="36" t="s">
        <v>0</v>
      </c>
      <c r="N161" s="40">
        <f>INDEX('[1]Campaign Metadata '!B:B,MATCH(M161,'[1]Campaign Metadata '!A:A,0))</f>
        <v>45458</v>
      </c>
      <c r="O161" s="40">
        <f>INDEX('[1]Campaign Metadata '!C:C,MATCH(M161,'[1]Campaign Metadata '!A:A,0))</f>
        <v>45488</v>
      </c>
      <c r="P161" s="41" t="str">
        <f t="shared" si="4"/>
        <v>BEFORE</v>
      </c>
      <c r="Q161">
        <f>(Posts!$F161+Posts!$G161+Posts!$H161)/Posts!$I161</f>
        <v>4.9951325040562468E-2</v>
      </c>
      <c r="R161" s="1">
        <f t="shared" si="5"/>
        <v>2309</v>
      </c>
    </row>
    <row r="162" spans="1:18" ht="15.75" customHeight="1">
      <c r="A162" s="30" t="s">
        <v>206</v>
      </c>
      <c r="B162" s="31" t="s">
        <v>23</v>
      </c>
      <c r="C162" s="32">
        <v>45803</v>
      </c>
      <c r="D162" s="31" t="s">
        <v>24</v>
      </c>
      <c r="E162" s="31" t="s">
        <v>25</v>
      </c>
      <c r="F162" s="33">
        <v>3086</v>
      </c>
      <c r="G162" s="33">
        <v>148</v>
      </c>
      <c r="H162" s="33">
        <v>310</v>
      </c>
      <c r="I162" s="33">
        <v>22824</v>
      </c>
      <c r="J162" s="33">
        <v>58103</v>
      </c>
      <c r="K162" s="33">
        <v>275</v>
      </c>
      <c r="L162" s="31" t="s">
        <v>29</v>
      </c>
      <c r="M162" s="30" t="s">
        <v>3</v>
      </c>
      <c r="N162" s="34">
        <f>INDEX('[1]Campaign Metadata '!B:B,MATCH(M162,'[1]Campaign Metadata '!A:A,0))</f>
        <v>45717</v>
      </c>
      <c r="O162" s="34">
        <f>INDEX('[1]Campaign Metadata '!C:C,MATCH(M162,'[1]Campaign Metadata '!A:A,0))</f>
        <v>45747</v>
      </c>
      <c r="P162" s="35" t="str">
        <f t="shared" si="4"/>
        <v>AFTER</v>
      </c>
      <c r="Q162">
        <f>(Posts!$F162+Posts!$G162+Posts!$H162)/Posts!$I162</f>
        <v>0.1552751489660007</v>
      </c>
      <c r="R162" s="1">
        <f t="shared" si="5"/>
        <v>3544</v>
      </c>
    </row>
    <row r="163" spans="1:18" ht="15.75" customHeight="1">
      <c r="A163" s="36" t="s">
        <v>207</v>
      </c>
      <c r="B163" s="37" t="s">
        <v>23</v>
      </c>
      <c r="C163" s="38">
        <v>45610</v>
      </c>
      <c r="D163" s="37" t="s">
        <v>24</v>
      </c>
      <c r="E163" s="37" t="s">
        <v>39</v>
      </c>
      <c r="F163" s="39">
        <v>2422</v>
      </c>
      <c r="G163" s="39">
        <v>318</v>
      </c>
      <c r="H163" s="39">
        <v>118</v>
      </c>
      <c r="I163" s="39">
        <v>25386</v>
      </c>
      <c r="J163" s="39">
        <v>20873</v>
      </c>
      <c r="K163" s="39">
        <v>100</v>
      </c>
      <c r="L163" s="37" t="s">
        <v>26</v>
      </c>
      <c r="M163" s="36" t="s">
        <v>2</v>
      </c>
      <c r="N163" s="40">
        <f>INDEX('[1]Campaign Metadata '!B:B,MATCH(M163,'[1]Campaign Metadata '!A:A,0))</f>
        <v>45667</v>
      </c>
      <c r="O163" s="40">
        <f>INDEX('[1]Campaign Metadata '!C:C,MATCH(M163,'[1]Campaign Metadata '!A:A,0))</f>
        <v>45698</v>
      </c>
      <c r="P163" s="41" t="str">
        <f t="shared" si="4"/>
        <v>BEFORE</v>
      </c>
      <c r="Q163">
        <f>(Posts!$F163+Posts!$G163+Posts!$H163)/Posts!$I163</f>
        <v>0.11258173796580792</v>
      </c>
      <c r="R163" s="1">
        <f t="shared" si="5"/>
        <v>2858</v>
      </c>
    </row>
    <row r="164" spans="1:18" ht="15.75" customHeight="1">
      <c r="A164" s="30" t="s">
        <v>208</v>
      </c>
      <c r="B164" s="31" t="s">
        <v>38</v>
      </c>
      <c r="C164" s="32">
        <v>45513</v>
      </c>
      <c r="D164" s="31" t="s">
        <v>63</v>
      </c>
      <c r="E164" s="31" t="s">
        <v>56</v>
      </c>
      <c r="F164" s="33">
        <v>3414</v>
      </c>
      <c r="G164" s="33">
        <v>154</v>
      </c>
      <c r="H164" s="33">
        <v>204</v>
      </c>
      <c r="I164" s="33">
        <v>34146</v>
      </c>
      <c r="J164" s="33">
        <v>44633</v>
      </c>
      <c r="K164" s="33">
        <v>256</v>
      </c>
      <c r="L164" s="31" t="s">
        <v>64</v>
      </c>
      <c r="M164" s="30" t="s">
        <v>0</v>
      </c>
      <c r="N164" s="34">
        <f>INDEX('[1]Campaign Metadata '!B:B,MATCH(M164,'[1]Campaign Metadata '!A:A,0))</f>
        <v>45458</v>
      </c>
      <c r="O164" s="34">
        <f>INDEX('[1]Campaign Metadata '!C:C,MATCH(M164,'[1]Campaign Metadata '!A:A,0))</f>
        <v>45488</v>
      </c>
      <c r="P164" s="35" t="str">
        <f t="shared" si="4"/>
        <v>AFTER</v>
      </c>
      <c r="Q164">
        <f>(Posts!$F164+Posts!$G164+Posts!$H164)/Posts!$I164</f>
        <v>0.11046681895390383</v>
      </c>
      <c r="R164" s="1">
        <f t="shared" si="5"/>
        <v>3772</v>
      </c>
    </row>
    <row r="165" spans="1:18" ht="15.75" customHeight="1">
      <c r="A165" s="36" t="s">
        <v>209</v>
      </c>
      <c r="B165" s="37" t="s">
        <v>23</v>
      </c>
      <c r="C165" s="38">
        <v>45835</v>
      </c>
      <c r="D165" s="37" t="s">
        <v>32</v>
      </c>
      <c r="E165" s="37" t="s">
        <v>42</v>
      </c>
      <c r="F165" s="39">
        <v>1342</v>
      </c>
      <c r="G165" s="39">
        <v>332</v>
      </c>
      <c r="H165" s="39">
        <v>163</v>
      </c>
      <c r="I165" s="39">
        <v>51712</v>
      </c>
      <c r="J165" s="39">
        <v>57922</v>
      </c>
      <c r="K165" s="39">
        <v>168</v>
      </c>
      <c r="L165" s="37" t="s">
        <v>49</v>
      </c>
      <c r="M165" s="36" t="s">
        <v>1</v>
      </c>
      <c r="N165" s="40">
        <f>INDEX('[1]Campaign Metadata '!B:B,MATCH(M165,'[1]Campaign Metadata '!A:A,0))</f>
        <v>45627</v>
      </c>
      <c r="O165" s="40">
        <f>INDEX('[1]Campaign Metadata '!C:C,MATCH(M165,'[1]Campaign Metadata '!A:A,0))</f>
        <v>45657</v>
      </c>
      <c r="P165" s="41" t="str">
        <f t="shared" si="4"/>
        <v>AFTER</v>
      </c>
      <c r="Q165">
        <f>(Posts!$F165+Posts!$G165+Posts!$H165)/Posts!$I165</f>
        <v>3.5523669554455448E-2</v>
      </c>
      <c r="R165" s="1">
        <f t="shared" si="5"/>
        <v>1837</v>
      </c>
    </row>
    <row r="166" spans="1:18" ht="15.75" customHeight="1">
      <c r="A166" s="30" t="s">
        <v>210</v>
      </c>
      <c r="B166" s="31" t="s">
        <v>23</v>
      </c>
      <c r="C166" s="32">
        <v>45420</v>
      </c>
      <c r="D166" s="31" t="s">
        <v>32</v>
      </c>
      <c r="E166" s="31" t="s">
        <v>39</v>
      </c>
      <c r="F166" s="33">
        <v>2414</v>
      </c>
      <c r="G166" s="33">
        <v>220</v>
      </c>
      <c r="H166" s="33">
        <v>280</v>
      </c>
      <c r="I166" s="33">
        <v>27355</v>
      </c>
      <c r="J166" s="33">
        <v>50562</v>
      </c>
      <c r="K166" s="33">
        <v>258</v>
      </c>
      <c r="L166" s="31" t="s">
        <v>49</v>
      </c>
      <c r="M166" s="30" t="s">
        <v>1</v>
      </c>
      <c r="N166" s="34">
        <f>INDEX('[1]Campaign Metadata '!B:B,MATCH(M166,'[1]Campaign Metadata '!A:A,0))</f>
        <v>45627</v>
      </c>
      <c r="O166" s="34">
        <f>INDEX('[1]Campaign Metadata '!C:C,MATCH(M166,'[1]Campaign Metadata '!A:A,0))</f>
        <v>45657</v>
      </c>
      <c r="P166" s="35" t="str">
        <f t="shared" si="4"/>
        <v>BEFORE</v>
      </c>
      <c r="Q166">
        <f>(Posts!$F166+Posts!$G166+Posts!$H166)/Posts!$I166</f>
        <v>0.10652531529884847</v>
      </c>
      <c r="R166" s="1">
        <f t="shared" si="5"/>
        <v>2914</v>
      </c>
    </row>
    <row r="167" spans="1:18" ht="15.75" customHeight="1">
      <c r="A167" s="36" t="s">
        <v>211</v>
      </c>
      <c r="B167" s="37" t="s">
        <v>23</v>
      </c>
      <c r="C167" s="38">
        <v>45387</v>
      </c>
      <c r="D167" s="37" t="s">
        <v>24</v>
      </c>
      <c r="E167" s="37" t="s">
        <v>33</v>
      </c>
      <c r="F167" s="39">
        <v>4383</v>
      </c>
      <c r="G167" s="39">
        <v>352</v>
      </c>
      <c r="H167" s="39">
        <v>176</v>
      </c>
      <c r="I167" s="39">
        <v>53239</v>
      </c>
      <c r="J167" s="39">
        <v>34168</v>
      </c>
      <c r="K167" s="39">
        <v>288</v>
      </c>
      <c r="L167" s="37" t="s">
        <v>29</v>
      </c>
      <c r="M167" s="36" t="s">
        <v>3</v>
      </c>
      <c r="N167" s="40">
        <f>INDEX('[1]Campaign Metadata '!B:B,MATCH(M167,'[1]Campaign Metadata '!A:A,0))</f>
        <v>45717</v>
      </c>
      <c r="O167" s="40">
        <f>INDEX('[1]Campaign Metadata '!C:C,MATCH(M167,'[1]Campaign Metadata '!A:A,0))</f>
        <v>45747</v>
      </c>
      <c r="P167" s="41" t="str">
        <f t="shared" si="4"/>
        <v>BEFORE</v>
      </c>
      <c r="Q167">
        <f>(Posts!$F167+Posts!$G167+Posts!$H167)/Posts!$I167</f>
        <v>9.2244407295403744E-2</v>
      </c>
      <c r="R167" s="1">
        <f t="shared" si="5"/>
        <v>4911</v>
      </c>
    </row>
    <row r="168" spans="1:18" ht="15.75" customHeight="1">
      <c r="A168" s="30" t="s">
        <v>212</v>
      </c>
      <c r="B168" s="31" t="s">
        <v>38</v>
      </c>
      <c r="C168" s="32">
        <v>45684</v>
      </c>
      <c r="D168" s="31" t="s">
        <v>24</v>
      </c>
      <c r="E168" s="31" t="s">
        <v>36</v>
      </c>
      <c r="F168" s="33">
        <v>4294</v>
      </c>
      <c r="G168" s="33">
        <v>423</v>
      </c>
      <c r="H168" s="33">
        <v>93</v>
      </c>
      <c r="I168" s="33">
        <v>29828</v>
      </c>
      <c r="J168" s="33">
        <v>73144</v>
      </c>
      <c r="K168" s="33">
        <v>298</v>
      </c>
      <c r="L168" s="31" t="s">
        <v>40</v>
      </c>
      <c r="M168" s="30" t="s">
        <v>3</v>
      </c>
      <c r="N168" s="34">
        <f>INDEX('[1]Campaign Metadata '!B:B,MATCH(M168,'[1]Campaign Metadata '!A:A,0))</f>
        <v>45717</v>
      </c>
      <c r="O168" s="34">
        <f>INDEX('[1]Campaign Metadata '!C:C,MATCH(M168,'[1]Campaign Metadata '!A:A,0))</f>
        <v>45747</v>
      </c>
      <c r="P168" s="35" t="str">
        <f t="shared" si="4"/>
        <v>BEFORE</v>
      </c>
      <c r="Q168">
        <f>(Posts!$F168+Posts!$G168+Posts!$H168)/Posts!$I168</f>
        <v>0.1612578785034196</v>
      </c>
      <c r="R168" s="1">
        <f t="shared" si="5"/>
        <v>4810</v>
      </c>
    </row>
    <row r="169" spans="1:18" ht="15.75" customHeight="1">
      <c r="A169" s="36" t="s">
        <v>213</v>
      </c>
      <c r="B169" s="37" t="s">
        <v>23</v>
      </c>
      <c r="C169" s="38">
        <v>45385</v>
      </c>
      <c r="D169" s="37" t="s">
        <v>24</v>
      </c>
      <c r="E169" s="37" t="s">
        <v>48</v>
      </c>
      <c r="F169" s="39">
        <v>2762</v>
      </c>
      <c r="G169" s="39">
        <v>339</v>
      </c>
      <c r="H169" s="39">
        <v>323</v>
      </c>
      <c r="I169" s="39">
        <v>33757</v>
      </c>
      <c r="J169" s="39">
        <v>68511</v>
      </c>
      <c r="K169" s="39">
        <v>121</v>
      </c>
      <c r="L169" s="37" t="s">
        <v>26</v>
      </c>
      <c r="M169" s="36" t="s">
        <v>2</v>
      </c>
      <c r="N169" s="40">
        <f>INDEX('[1]Campaign Metadata '!B:B,MATCH(M169,'[1]Campaign Metadata '!A:A,0))</f>
        <v>45667</v>
      </c>
      <c r="O169" s="40">
        <f>INDEX('[1]Campaign Metadata '!C:C,MATCH(M169,'[1]Campaign Metadata '!A:A,0))</f>
        <v>45698</v>
      </c>
      <c r="P169" s="41" t="str">
        <f t="shared" si="4"/>
        <v>BEFORE</v>
      </c>
      <c r="Q169">
        <f>(Posts!$F169+Posts!$G169+Posts!$H169)/Posts!$I169</f>
        <v>0.10143081434961637</v>
      </c>
      <c r="R169" s="1">
        <f t="shared" si="5"/>
        <v>3424</v>
      </c>
    </row>
    <row r="170" spans="1:18" ht="15.75" customHeight="1">
      <c r="A170" s="30" t="s">
        <v>214</v>
      </c>
      <c r="B170" s="31" t="s">
        <v>38</v>
      </c>
      <c r="C170" s="32">
        <v>45660</v>
      </c>
      <c r="D170" s="31" t="s">
        <v>24</v>
      </c>
      <c r="E170" s="31" t="s">
        <v>33</v>
      </c>
      <c r="F170" s="33">
        <v>3782</v>
      </c>
      <c r="G170" s="33">
        <v>484</v>
      </c>
      <c r="H170" s="33">
        <v>144</v>
      </c>
      <c r="I170" s="33">
        <v>52172</v>
      </c>
      <c r="J170" s="33">
        <v>59386</v>
      </c>
      <c r="K170" s="33">
        <v>175</v>
      </c>
      <c r="L170" s="31" t="s">
        <v>40</v>
      </c>
      <c r="M170" s="30" t="s">
        <v>3</v>
      </c>
      <c r="N170" s="34">
        <f>INDEX('[1]Campaign Metadata '!B:B,MATCH(M170,'[1]Campaign Metadata '!A:A,0))</f>
        <v>45717</v>
      </c>
      <c r="O170" s="34">
        <f>INDEX('[1]Campaign Metadata '!C:C,MATCH(M170,'[1]Campaign Metadata '!A:A,0))</f>
        <v>45747</v>
      </c>
      <c r="P170" s="35" t="str">
        <f t="shared" si="4"/>
        <v>BEFORE</v>
      </c>
      <c r="Q170">
        <f>(Posts!$F170+Posts!$G170+Posts!$H170)/Posts!$I170</f>
        <v>8.4528099363643333E-2</v>
      </c>
      <c r="R170" s="1">
        <f t="shared" si="5"/>
        <v>4410</v>
      </c>
    </row>
    <row r="171" spans="1:18" ht="15.75" customHeight="1">
      <c r="A171" s="36" t="s">
        <v>215</v>
      </c>
      <c r="B171" s="37" t="s">
        <v>31</v>
      </c>
      <c r="C171" s="38">
        <v>45619</v>
      </c>
      <c r="D171" s="37" t="s">
        <v>24</v>
      </c>
      <c r="E171" s="37" t="s">
        <v>33</v>
      </c>
      <c r="F171" s="39">
        <v>4318</v>
      </c>
      <c r="G171" s="39">
        <v>371</v>
      </c>
      <c r="H171" s="39">
        <v>329</v>
      </c>
      <c r="I171" s="39">
        <v>32347</v>
      </c>
      <c r="J171" s="39">
        <v>68956</v>
      </c>
      <c r="K171" s="39">
        <v>259</v>
      </c>
      <c r="L171" s="37" t="s">
        <v>52</v>
      </c>
      <c r="M171" s="36" t="s">
        <v>3</v>
      </c>
      <c r="N171" s="40">
        <f>INDEX('[1]Campaign Metadata '!B:B,MATCH(M171,'[1]Campaign Metadata '!A:A,0))</f>
        <v>45717</v>
      </c>
      <c r="O171" s="40">
        <f>INDEX('[1]Campaign Metadata '!C:C,MATCH(M171,'[1]Campaign Metadata '!A:A,0))</f>
        <v>45747</v>
      </c>
      <c r="P171" s="41" t="str">
        <f t="shared" si="4"/>
        <v>BEFORE</v>
      </c>
      <c r="Q171">
        <f>(Posts!$F171+Posts!$G171+Posts!$H171)/Posts!$I171</f>
        <v>0.15513030574705536</v>
      </c>
      <c r="R171" s="1">
        <f t="shared" si="5"/>
        <v>5018</v>
      </c>
    </row>
    <row r="172" spans="1:18" ht="15.75" customHeight="1">
      <c r="A172" s="30" t="s">
        <v>216</v>
      </c>
      <c r="B172" s="31" t="s">
        <v>23</v>
      </c>
      <c r="C172" s="32">
        <v>45536</v>
      </c>
      <c r="D172" s="31" t="s">
        <v>32</v>
      </c>
      <c r="E172" s="31" t="s">
        <v>36</v>
      </c>
      <c r="F172" s="33">
        <v>2335</v>
      </c>
      <c r="G172" s="33">
        <v>150</v>
      </c>
      <c r="H172" s="33">
        <v>75</v>
      </c>
      <c r="I172" s="33">
        <v>26114</v>
      </c>
      <c r="J172" s="33">
        <v>57549</v>
      </c>
      <c r="K172" s="33">
        <v>135</v>
      </c>
      <c r="L172" s="31" t="s">
        <v>49</v>
      </c>
      <c r="M172" s="30" t="s">
        <v>1</v>
      </c>
      <c r="N172" s="34">
        <f>INDEX('[1]Campaign Metadata '!B:B,MATCH(M172,'[1]Campaign Metadata '!A:A,0))</f>
        <v>45627</v>
      </c>
      <c r="O172" s="34">
        <f>INDEX('[1]Campaign Metadata '!C:C,MATCH(M172,'[1]Campaign Metadata '!A:A,0))</f>
        <v>45657</v>
      </c>
      <c r="P172" s="35" t="str">
        <f t="shared" si="4"/>
        <v>BEFORE</v>
      </c>
      <c r="Q172">
        <f>(Posts!$F172+Posts!$G172+Posts!$H172)/Posts!$I172</f>
        <v>9.8031707130274953E-2</v>
      </c>
      <c r="R172" s="1">
        <f t="shared" si="5"/>
        <v>2560</v>
      </c>
    </row>
    <row r="173" spans="1:18" ht="15.75" customHeight="1">
      <c r="A173" s="36" t="s">
        <v>217</v>
      </c>
      <c r="B173" s="37" t="s">
        <v>38</v>
      </c>
      <c r="C173" s="38">
        <v>45400</v>
      </c>
      <c r="D173" s="37" t="s">
        <v>24</v>
      </c>
      <c r="E173" s="37" t="s">
        <v>28</v>
      </c>
      <c r="F173" s="39">
        <v>4023</v>
      </c>
      <c r="G173" s="39">
        <v>293</v>
      </c>
      <c r="H173" s="39">
        <v>91</v>
      </c>
      <c r="I173" s="39">
        <v>26795</v>
      </c>
      <c r="J173" s="39">
        <v>28924</v>
      </c>
      <c r="K173" s="39">
        <v>278</v>
      </c>
      <c r="L173" s="37" t="s">
        <v>40</v>
      </c>
      <c r="M173" s="36" t="s">
        <v>3</v>
      </c>
      <c r="N173" s="40">
        <f>INDEX('[1]Campaign Metadata '!B:B,MATCH(M173,'[1]Campaign Metadata '!A:A,0))</f>
        <v>45717</v>
      </c>
      <c r="O173" s="40">
        <f>INDEX('[1]Campaign Metadata '!C:C,MATCH(M173,'[1]Campaign Metadata '!A:A,0))</f>
        <v>45747</v>
      </c>
      <c r="P173" s="41" t="str">
        <f t="shared" si="4"/>
        <v>BEFORE</v>
      </c>
      <c r="Q173">
        <f>(Posts!$F173+Posts!$G173+Posts!$H173)/Posts!$I173</f>
        <v>0.16447098339242397</v>
      </c>
      <c r="R173" s="1">
        <f t="shared" si="5"/>
        <v>4407</v>
      </c>
    </row>
    <row r="174" spans="1:18" ht="15.75" customHeight="1">
      <c r="A174" s="30" t="s">
        <v>218</v>
      </c>
      <c r="B174" s="31" t="s">
        <v>23</v>
      </c>
      <c r="C174" s="32">
        <v>45447</v>
      </c>
      <c r="D174" s="31" t="s">
        <v>24</v>
      </c>
      <c r="E174" s="31" t="s">
        <v>44</v>
      </c>
      <c r="F174" s="33">
        <v>3948</v>
      </c>
      <c r="G174" s="33">
        <v>151</v>
      </c>
      <c r="H174" s="33">
        <v>249</v>
      </c>
      <c r="I174" s="33">
        <v>43147</v>
      </c>
      <c r="J174" s="33">
        <v>63136</v>
      </c>
      <c r="K174" s="33">
        <v>230</v>
      </c>
      <c r="L174" s="31" t="s">
        <v>29</v>
      </c>
      <c r="M174" s="30" t="s">
        <v>3</v>
      </c>
      <c r="N174" s="34">
        <f>INDEX('[1]Campaign Metadata '!B:B,MATCH(M174,'[1]Campaign Metadata '!A:A,0))</f>
        <v>45717</v>
      </c>
      <c r="O174" s="34">
        <f>INDEX('[1]Campaign Metadata '!C:C,MATCH(M174,'[1]Campaign Metadata '!A:A,0))</f>
        <v>45747</v>
      </c>
      <c r="P174" s="35" t="str">
        <f t="shared" si="4"/>
        <v>BEFORE</v>
      </c>
      <c r="Q174">
        <f>(Posts!$F174+Posts!$G174+Posts!$H174)/Posts!$I174</f>
        <v>0.10077178019329269</v>
      </c>
      <c r="R174" s="1">
        <f t="shared" si="5"/>
        <v>4348</v>
      </c>
    </row>
    <row r="175" spans="1:18" ht="15.75" customHeight="1">
      <c r="A175" s="36" t="s">
        <v>219</v>
      </c>
      <c r="B175" s="37" t="s">
        <v>38</v>
      </c>
      <c r="C175" s="38">
        <v>45749</v>
      </c>
      <c r="D175" s="37" t="s">
        <v>24</v>
      </c>
      <c r="E175" s="37" t="s">
        <v>36</v>
      </c>
      <c r="F175" s="39">
        <v>4598</v>
      </c>
      <c r="G175" s="39">
        <v>455</v>
      </c>
      <c r="H175" s="39">
        <v>378</v>
      </c>
      <c r="I175" s="39">
        <v>52952</v>
      </c>
      <c r="J175" s="39">
        <v>58504</v>
      </c>
      <c r="K175" s="39">
        <v>269</v>
      </c>
      <c r="L175" s="37" t="s">
        <v>40</v>
      </c>
      <c r="M175" s="36" t="s">
        <v>3</v>
      </c>
      <c r="N175" s="40">
        <f>INDEX('[1]Campaign Metadata '!B:B,MATCH(M175,'[1]Campaign Metadata '!A:A,0))</f>
        <v>45717</v>
      </c>
      <c r="O175" s="40">
        <f>INDEX('[1]Campaign Metadata '!C:C,MATCH(M175,'[1]Campaign Metadata '!A:A,0))</f>
        <v>45747</v>
      </c>
      <c r="P175" s="41" t="str">
        <f t="shared" si="4"/>
        <v>AFTER</v>
      </c>
      <c r="Q175">
        <f>(Posts!$F175+Posts!$G175+Posts!$H175)/Posts!$I175</f>
        <v>0.10256458679558846</v>
      </c>
      <c r="R175" s="1">
        <f t="shared" si="5"/>
        <v>5431</v>
      </c>
    </row>
    <row r="176" spans="1:18" ht="15.75" customHeight="1">
      <c r="A176" s="30" t="s">
        <v>220</v>
      </c>
      <c r="B176" s="31" t="s">
        <v>31</v>
      </c>
      <c r="C176" s="32">
        <v>45748</v>
      </c>
      <c r="D176" s="31" t="s">
        <v>32</v>
      </c>
      <c r="E176" s="31" t="s">
        <v>39</v>
      </c>
      <c r="F176" s="33">
        <v>2665</v>
      </c>
      <c r="G176" s="33">
        <v>143</v>
      </c>
      <c r="H176" s="33">
        <v>315</v>
      </c>
      <c r="I176" s="33">
        <v>54808</v>
      </c>
      <c r="J176" s="33">
        <v>29818</v>
      </c>
      <c r="K176" s="33">
        <v>98</v>
      </c>
      <c r="L176" s="31" t="s">
        <v>46</v>
      </c>
      <c r="M176" s="30" t="s">
        <v>2</v>
      </c>
      <c r="N176" s="34">
        <f>INDEX('[1]Campaign Metadata '!B:B,MATCH(M176,'[1]Campaign Metadata '!A:A,0))</f>
        <v>45667</v>
      </c>
      <c r="O176" s="34">
        <f>INDEX('[1]Campaign Metadata '!C:C,MATCH(M176,'[1]Campaign Metadata '!A:A,0))</f>
        <v>45698</v>
      </c>
      <c r="P176" s="35" t="str">
        <f t="shared" si="4"/>
        <v>AFTER</v>
      </c>
      <c r="Q176">
        <f>(Posts!$F176+Posts!$G176+Posts!$H176)/Posts!$I176</f>
        <v>5.6980732739746021E-2</v>
      </c>
      <c r="R176" s="1">
        <f t="shared" si="5"/>
        <v>3123</v>
      </c>
    </row>
    <row r="177" spans="1:18" ht="15.75" customHeight="1">
      <c r="A177" s="36" t="s">
        <v>221</v>
      </c>
      <c r="B177" s="37" t="s">
        <v>23</v>
      </c>
      <c r="C177" s="38">
        <v>45475</v>
      </c>
      <c r="D177" s="37" t="s">
        <v>24</v>
      </c>
      <c r="E177" s="37" t="s">
        <v>48</v>
      </c>
      <c r="F177" s="39">
        <v>3469</v>
      </c>
      <c r="G177" s="39">
        <v>371</v>
      </c>
      <c r="H177" s="39">
        <v>76</v>
      </c>
      <c r="I177" s="39">
        <v>46493</v>
      </c>
      <c r="J177" s="39">
        <v>26906</v>
      </c>
      <c r="K177" s="39">
        <v>150</v>
      </c>
      <c r="L177" s="37" t="s">
        <v>26</v>
      </c>
      <c r="M177" s="36" t="s">
        <v>2</v>
      </c>
      <c r="N177" s="40">
        <f>INDEX('[1]Campaign Metadata '!B:B,MATCH(M177,'[1]Campaign Metadata '!A:A,0))</f>
        <v>45667</v>
      </c>
      <c r="O177" s="40">
        <f>INDEX('[1]Campaign Metadata '!C:C,MATCH(M177,'[1]Campaign Metadata '!A:A,0))</f>
        <v>45698</v>
      </c>
      <c r="P177" s="41" t="str">
        <f t="shared" si="4"/>
        <v>BEFORE</v>
      </c>
      <c r="Q177">
        <f>(Posts!$F177+Posts!$G177+Posts!$H177)/Posts!$I177</f>
        <v>8.4227733207149463E-2</v>
      </c>
      <c r="R177" s="1">
        <f t="shared" si="5"/>
        <v>3916</v>
      </c>
    </row>
    <row r="178" spans="1:18" ht="15.75" customHeight="1">
      <c r="A178" s="30" t="s">
        <v>222</v>
      </c>
      <c r="B178" s="31" t="s">
        <v>31</v>
      </c>
      <c r="C178" s="32">
        <v>45606</v>
      </c>
      <c r="D178" s="31" t="s">
        <v>24</v>
      </c>
      <c r="E178" s="31" t="s">
        <v>28</v>
      </c>
      <c r="F178" s="33">
        <v>4823</v>
      </c>
      <c r="G178" s="33">
        <v>489</v>
      </c>
      <c r="H178" s="33">
        <v>302</v>
      </c>
      <c r="I178" s="33">
        <v>32470</v>
      </c>
      <c r="J178" s="33">
        <v>31861</v>
      </c>
      <c r="K178" s="33">
        <v>178</v>
      </c>
      <c r="L178" s="31" t="s">
        <v>52</v>
      </c>
      <c r="M178" s="30" t="s">
        <v>3</v>
      </c>
      <c r="N178" s="34">
        <f>INDEX('[1]Campaign Metadata '!B:B,MATCH(M178,'[1]Campaign Metadata '!A:A,0))</f>
        <v>45717</v>
      </c>
      <c r="O178" s="34">
        <f>INDEX('[1]Campaign Metadata '!C:C,MATCH(M178,'[1]Campaign Metadata '!A:A,0))</f>
        <v>45747</v>
      </c>
      <c r="P178" s="35" t="str">
        <f t="shared" si="4"/>
        <v>BEFORE</v>
      </c>
      <c r="Q178">
        <f>(Posts!$F178+Posts!$G178+Posts!$H178)/Posts!$I178</f>
        <v>0.1728980597474592</v>
      </c>
      <c r="R178" s="1">
        <f t="shared" si="5"/>
        <v>5614</v>
      </c>
    </row>
    <row r="179" spans="1:18" ht="15.75" customHeight="1">
      <c r="A179" s="36" t="s">
        <v>223</v>
      </c>
      <c r="B179" s="37" t="s">
        <v>23</v>
      </c>
      <c r="C179" s="38">
        <v>45640</v>
      </c>
      <c r="D179" s="37" t="s">
        <v>32</v>
      </c>
      <c r="E179" s="37" t="s">
        <v>56</v>
      </c>
      <c r="F179" s="39">
        <v>3812</v>
      </c>
      <c r="G179" s="39">
        <v>321</v>
      </c>
      <c r="H179" s="39">
        <v>289</v>
      </c>
      <c r="I179" s="39">
        <v>59838</v>
      </c>
      <c r="J179" s="39">
        <v>36337</v>
      </c>
      <c r="K179" s="39">
        <v>161</v>
      </c>
      <c r="L179" s="37" t="s">
        <v>49</v>
      </c>
      <c r="M179" s="36" t="s">
        <v>1</v>
      </c>
      <c r="N179" s="40">
        <f>INDEX('[1]Campaign Metadata '!B:B,MATCH(M179,'[1]Campaign Metadata '!A:A,0))</f>
        <v>45627</v>
      </c>
      <c r="O179" s="40">
        <f>INDEX('[1]Campaign Metadata '!C:C,MATCH(M179,'[1]Campaign Metadata '!A:A,0))</f>
        <v>45657</v>
      </c>
      <c r="P179" s="41" t="str">
        <f t="shared" si="4"/>
        <v>DURING</v>
      </c>
      <c r="Q179">
        <f>(Posts!$F179+Posts!$G179+Posts!$H179)/Posts!$I179</f>
        <v>7.3899528727564417E-2</v>
      </c>
      <c r="R179" s="1">
        <f t="shared" si="5"/>
        <v>4422</v>
      </c>
    </row>
    <row r="180" spans="1:18" ht="15.75" customHeight="1">
      <c r="A180" s="30" t="s">
        <v>224</v>
      </c>
      <c r="B180" s="31" t="s">
        <v>31</v>
      </c>
      <c r="C180" s="32">
        <v>45615</v>
      </c>
      <c r="D180" s="31" t="s">
        <v>24</v>
      </c>
      <c r="E180" s="31" t="s">
        <v>28</v>
      </c>
      <c r="F180" s="33">
        <v>2387</v>
      </c>
      <c r="G180" s="33">
        <v>353</v>
      </c>
      <c r="H180" s="33">
        <v>78</v>
      </c>
      <c r="I180" s="33">
        <v>39745</v>
      </c>
      <c r="J180" s="33">
        <v>69226</v>
      </c>
      <c r="K180" s="33">
        <v>208</v>
      </c>
      <c r="L180" s="31" t="s">
        <v>52</v>
      </c>
      <c r="M180" s="30" t="s">
        <v>3</v>
      </c>
      <c r="N180" s="34">
        <f>INDEX('[1]Campaign Metadata '!B:B,MATCH(M180,'[1]Campaign Metadata '!A:A,0))</f>
        <v>45717</v>
      </c>
      <c r="O180" s="34">
        <f>INDEX('[1]Campaign Metadata '!C:C,MATCH(M180,'[1]Campaign Metadata '!A:A,0))</f>
        <v>45747</v>
      </c>
      <c r="P180" s="35" t="str">
        <f t="shared" si="4"/>
        <v>BEFORE</v>
      </c>
      <c r="Q180">
        <f>(Posts!$F180+Posts!$G180+Posts!$H180)/Posts!$I180</f>
        <v>7.090200025160398E-2</v>
      </c>
      <c r="R180" s="1">
        <f t="shared" si="5"/>
        <v>2818</v>
      </c>
    </row>
    <row r="181" spans="1:18" ht="15.75" customHeight="1">
      <c r="A181" s="36" t="s">
        <v>225</v>
      </c>
      <c r="B181" s="37" t="s">
        <v>31</v>
      </c>
      <c r="C181" s="38">
        <v>45777</v>
      </c>
      <c r="D181" s="37" t="s">
        <v>32</v>
      </c>
      <c r="E181" s="37" t="s">
        <v>36</v>
      </c>
      <c r="F181" s="39">
        <v>3929</v>
      </c>
      <c r="G181" s="39">
        <v>275</v>
      </c>
      <c r="H181" s="39">
        <v>330</v>
      </c>
      <c r="I181" s="39">
        <v>58329</v>
      </c>
      <c r="J181" s="39">
        <v>33196</v>
      </c>
      <c r="K181" s="39">
        <v>85</v>
      </c>
      <c r="L181" s="37" t="s">
        <v>34</v>
      </c>
      <c r="M181" s="36" t="s">
        <v>2</v>
      </c>
      <c r="N181" s="40">
        <f>INDEX('[1]Campaign Metadata '!B:B,MATCH(M181,'[1]Campaign Metadata '!A:A,0))</f>
        <v>45667</v>
      </c>
      <c r="O181" s="40">
        <f>INDEX('[1]Campaign Metadata '!C:C,MATCH(M181,'[1]Campaign Metadata '!A:A,0))</f>
        <v>45698</v>
      </c>
      <c r="P181" s="41" t="str">
        <f t="shared" si="4"/>
        <v>AFTER</v>
      </c>
      <c r="Q181">
        <f>(Posts!$F181+Posts!$G181+Posts!$H181)/Posts!$I181</f>
        <v>7.7731488624869283E-2</v>
      </c>
      <c r="R181" s="1">
        <f t="shared" si="5"/>
        <v>4534</v>
      </c>
    </row>
    <row r="182" spans="1:18" ht="15.75" customHeight="1">
      <c r="A182" s="30" t="s">
        <v>226</v>
      </c>
      <c r="B182" s="31" t="s">
        <v>31</v>
      </c>
      <c r="C182" s="32">
        <v>45370</v>
      </c>
      <c r="D182" s="31" t="s">
        <v>24</v>
      </c>
      <c r="E182" s="31" t="s">
        <v>56</v>
      </c>
      <c r="F182" s="33">
        <v>2191</v>
      </c>
      <c r="G182" s="33">
        <v>288</v>
      </c>
      <c r="H182" s="33">
        <v>83</v>
      </c>
      <c r="I182" s="33">
        <v>59606</v>
      </c>
      <c r="J182" s="33">
        <v>24765</v>
      </c>
      <c r="K182" s="33">
        <v>281</v>
      </c>
      <c r="L182" s="31" t="s">
        <v>52</v>
      </c>
      <c r="M182" s="30" t="s">
        <v>3</v>
      </c>
      <c r="N182" s="34">
        <f>INDEX('[1]Campaign Metadata '!B:B,MATCH(M182,'[1]Campaign Metadata '!A:A,0))</f>
        <v>45717</v>
      </c>
      <c r="O182" s="34">
        <f>INDEX('[1]Campaign Metadata '!C:C,MATCH(M182,'[1]Campaign Metadata '!A:A,0))</f>
        <v>45747</v>
      </c>
      <c r="P182" s="35" t="str">
        <f t="shared" si="4"/>
        <v>BEFORE</v>
      </c>
      <c r="Q182">
        <f>(Posts!$F182+Posts!$G182+Posts!$H182)/Posts!$I182</f>
        <v>4.2982250109049422E-2</v>
      </c>
      <c r="R182" s="1">
        <f t="shared" si="5"/>
        <v>2562</v>
      </c>
    </row>
    <row r="183" spans="1:18" ht="15.75" customHeight="1">
      <c r="A183" s="36" t="s">
        <v>227</v>
      </c>
      <c r="B183" s="37" t="s">
        <v>23</v>
      </c>
      <c r="C183" s="38">
        <v>45370</v>
      </c>
      <c r="D183" s="37" t="s">
        <v>24</v>
      </c>
      <c r="E183" s="37" t="s">
        <v>56</v>
      </c>
      <c r="F183" s="39">
        <v>2878</v>
      </c>
      <c r="G183" s="39">
        <v>278</v>
      </c>
      <c r="H183" s="39">
        <v>255</v>
      </c>
      <c r="I183" s="39">
        <v>47235</v>
      </c>
      <c r="J183" s="39">
        <v>57922</v>
      </c>
      <c r="K183" s="39">
        <v>112</v>
      </c>
      <c r="L183" s="37" t="s">
        <v>26</v>
      </c>
      <c r="M183" s="36" t="s">
        <v>2</v>
      </c>
      <c r="N183" s="40">
        <f>INDEX('[1]Campaign Metadata '!B:B,MATCH(M183,'[1]Campaign Metadata '!A:A,0))</f>
        <v>45667</v>
      </c>
      <c r="O183" s="40">
        <f>INDEX('[1]Campaign Metadata '!C:C,MATCH(M183,'[1]Campaign Metadata '!A:A,0))</f>
        <v>45698</v>
      </c>
      <c r="P183" s="41" t="str">
        <f t="shared" si="4"/>
        <v>BEFORE</v>
      </c>
      <c r="Q183">
        <f>(Posts!$F183+Posts!$G183+Posts!$H183)/Posts!$I183</f>
        <v>7.2213401079707848E-2</v>
      </c>
      <c r="R183" s="1">
        <f t="shared" si="5"/>
        <v>3411</v>
      </c>
    </row>
    <row r="184" spans="1:18" ht="15.75" customHeight="1">
      <c r="A184" s="30" t="s">
        <v>228</v>
      </c>
      <c r="B184" s="31" t="s">
        <v>31</v>
      </c>
      <c r="C184" s="32">
        <v>45496</v>
      </c>
      <c r="D184" s="31" t="s">
        <v>24</v>
      </c>
      <c r="E184" s="31" t="s">
        <v>48</v>
      </c>
      <c r="F184" s="33">
        <v>3204</v>
      </c>
      <c r="G184" s="33">
        <v>398</v>
      </c>
      <c r="H184" s="33">
        <v>85</v>
      </c>
      <c r="I184" s="33">
        <v>22020</v>
      </c>
      <c r="J184" s="33">
        <v>58353</v>
      </c>
      <c r="K184" s="33">
        <v>286</v>
      </c>
      <c r="L184" s="31" t="s">
        <v>52</v>
      </c>
      <c r="M184" s="30" t="s">
        <v>3</v>
      </c>
      <c r="N184" s="34">
        <f>INDEX('[1]Campaign Metadata '!B:B,MATCH(M184,'[1]Campaign Metadata '!A:A,0))</f>
        <v>45717</v>
      </c>
      <c r="O184" s="34">
        <f>INDEX('[1]Campaign Metadata '!C:C,MATCH(M184,'[1]Campaign Metadata '!A:A,0))</f>
        <v>45747</v>
      </c>
      <c r="P184" s="35" t="str">
        <f t="shared" si="4"/>
        <v>BEFORE</v>
      </c>
      <c r="Q184">
        <f>(Posts!$F184+Posts!$G184+Posts!$H184)/Posts!$I184</f>
        <v>0.16743869209809265</v>
      </c>
      <c r="R184" s="1">
        <f t="shared" si="5"/>
        <v>3687</v>
      </c>
    </row>
    <row r="185" spans="1:18" ht="15.75" customHeight="1">
      <c r="A185" s="36" t="s">
        <v>229</v>
      </c>
      <c r="B185" s="37" t="s">
        <v>31</v>
      </c>
      <c r="C185" s="38">
        <v>45486</v>
      </c>
      <c r="D185" s="37" t="s">
        <v>32</v>
      </c>
      <c r="E185" s="37" t="s">
        <v>44</v>
      </c>
      <c r="F185" s="39">
        <v>2408</v>
      </c>
      <c r="G185" s="39">
        <v>323</v>
      </c>
      <c r="H185" s="39">
        <v>251</v>
      </c>
      <c r="I185" s="39">
        <v>47599</v>
      </c>
      <c r="J185" s="39">
        <v>35543</v>
      </c>
      <c r="K185" s="39">
        <v>287</v>
      </c>
      <c r="L185" s="37" t="s">
        <v>34</v>
      </c>
      <c r="M185" s="36" t="s">
        <v>2</v>
      </c>
      <c r="N185" s="40">
        <f>INDEX('[1]Campaign Metadata '!B:B,MATCH(M185,'[1]Campaign Metadata '!A:A,0))</f>
        <v>45667</v>
      </c>
      <c r="O185" s="40">
        <f>INDEX('[1]Campaign Metadata '!C:C,MATCH(M185,'[1]Campaign Metadata '!A:A,0))</f>
        <v>45698</v>
      </c>
      <c r="P185" s="41" t="str">
        <f t="shared" si="4"/>
        <v>BEFORE</v>
      </c>
      <c r="Q185">
        <f>(Posts!$F185+Posts!$G185+Posts!$H185)/Posts!$I185</f>
        <v>6.2648374965860634E-2</v>
      </c>
      <c r="R185" s="1">
        <f t="shared" si="5"/>
        <v>2982</v>
      </c>
    </row>
    <row r="186" spans="1:18" ht="15.75" customHeight="1">
      <c r="A186" s="30" t="s">
        <v>230</v>
      </c>
      <c r="B186" s="31" t="s">
        <v>38</v>
      </c>
      <c r="C186" s="32">
        <v>45769</v>
      </c>
      <c r="D186" s="31" t="s">
        <v>63</v>
      </c>
      <c r="E186" s="31" t="s">
        <v>33</v>
      </c>
      <c r="F186" s="33">
        <v>2733</v>
      </c>
      <c r="G186" s="33">
        <v>297</v>
      </c>
      <c r="H186" s="33">
        <v>235</v>
      </c>
      <c r="I186" s="33">
        <v>37980</v>
      </c>
      <c r="J186" s="33">
        <v>33058</v>
      </c>
      <c r="K186" s="33">
        <v>219</v>
      </c>
      <c r="L186" s="31" t="s">
        <v>64</v>
      </c>
      <c r="M186" s="30" t="s">
        <v>0</v>
      </c>
      <c r="N186" s="34">
        <f>INDEX('[1]Campaign Metadata '!B:B,MATCH(M186,'[1]Campaign Metadata '!A:A,0))</f>
        <v>45458</v>
      </c>
      <c r="O186" s="34">
        <f>INDEX('[1]Campaign Metadata '!C:C,MATCH(M186,'[1]Campaign Metadata '!A:A,0))</f>
        <v>45488</v>
      </c>
      <c r="P186" s="35" t="str">
        <f t="shared" si="4"/>
        <v>AFTER</v>
      </c>
      <c r="Q186">
        <f>(Posts!$F186+Posts!$G186+Posts!$H186)/Posts!$I186</f>
        <v>8.5966298051606105E-2</v>
      </c>
      <c r="R186" s="1">
        <f t="shared" si="5"/>
        <v>3265</v>
      </c>
    </row>
    <row r="187" spans="1:18" ht="15.75" customHeight="1">
      <c r="A187" s="36" t="s">
        <v>231</v>
      </c>
      <c r="B187" s="37" t="s">
        <v>31</v>
      </c>
      <c r="C187" s="38">
        <v>45459</v>
      </c>
      <c r="D187" s="37" t="s">
        <v>32</v>
      </c>
      <c r="E187" s="37" t="s">
        <v>28</v>
      </c>
      <c r="F187" s="39">
        <v>4618</v>
      </c>
      <c r="G187" s="39">
        <v>312</v>
      </c>
      <c r="H187" s="39">
        <v>254</v>
      </c>
      <c r="I187" s="39">
        <v>22571</v>
      </c>
      <c r="J187" s="39">
        <v>29453</v>
      </c>
      <c r="K187" s="39">
        <v>197</v>
      </c>
      <c r="L187" s="37" t="s">
        <v>34</v>
      </c>
      <c r="M187" s="36" t="s">
        <v>2</v>
      </c>
      <c r="N187" s="40">
        <f>INDEX('[1]Campaign Metadata '!B:B,MATCH(M187,'[1]Campaign Metadata '!A:A,0))</f>
        <v>45667</v>
      </c>
      <c r="O187" s="40">
        <f>INDEX('[1]Campaign Metadata '!C:C,MATCH(M187,'[1]Campaign Metadata '!A:A,0))</f>
        <v>45698</v>
      </c>
      <c r="P187" s="41" t="str">
        <f t="shared" si="4"/>
        <v>BEFORE</v>
      </c>
      <c r="Q187">
        <f>(Posts!$F187+Posts!$G187+Posts!$H187)/Posts!$I187</f>
        <v>0.22967524699836073</v>
      </c>
      <c r="R187" s="1">
        <f t="shared" si="5"/>
        <v>5184</v>
      </c>
    </row>
    <row r="188" spans="1:18" ht="15.75" customHeight="1">
      <c r="A188" s="30" t="s">
        <v>232</v>
      </c>
      <c r="B188" s="31" t="s">
        <v>38</v>
      </c>
      <c r="C188" s="32">
        <v>45795</v>
      </c>
      <c r="D188" s="31" t="s">
        <v>63</v>
      </c>
      <c r="E188" s="31" t="s">
        <v>36</v>
      </c>
      <c r="F188" s="33">
        <v>4210</v>
      </c>
      <c r="G188" s="33">
        <v>319</v>
      </c>
      <c r="H188" s="33">
        <v>350</v>
      </c>
      <c r="I188" s="33">
        <v>37762</v>
      </c>
      <c r="J188" s="33">
        <v>55162</v>
      </c>
      <c r="K188" s="33">
        <v>204</v>
      </c>
      <c r="L188" s="31" t="s">
        <v>64</v>
      </c>
      <c r="M188" s="30" t="s">
        <v>0</v>
      </c>
      <c r="N188" s="34">
        <f>INDEX('[1]Campaign Metadata '!B:B,MATCH(M188,'[1]Campaign Metadata '!A:A,0))</f>
        <v>45458</v>
      </c>
      <c r="O188" s="34">
        <f>INDEX('[1]Campaign Metadata '!C:C,MATCH(M188,'[1]Campaign Metadata '!A:A,0))</f>
        <v>45488</v>
      </c>
      <c r="P188" s="35" t="str">
        <f t="shared" si="4"/>
        <v>AFTER</v>
      </c>
      <c r="Q188">
        <f>(Posts!$F188+Posts!$G188+Posts!$H188)/Posts!$I188</f>
        <v>0.12920396165457337</v>
      </c>
      <c r="R188" s="1">
        <f t="shared" si="5"/>
        <v>4879</v>
      </c>
    </row>
    <row r="189" spans="1:18" ht="15.75" customHeight="1">
      <c r="A189" s="36" t="s">
        <v>233</v>
      </c>
      <c r="B189" s="37" t="s">
        <v>23</v>
      </c>
      <c r="C189" s="38">
        <v>45814</v>
      </c>
      <c r="D189" s="37" t="s">
        <v>24</v>
      </c>
      <c r="E189" s="37" t="s">
        <v>36</v>
      </c>
      <c r="F189" s="39">
        <v>3987</v>
      </c>
      <c r="G189" s="39">
        <v>171</v>
      </c>
      <c r="H189" s="39">
        <v>274</v>
      </c>
      <c r="I189" s="39">
        <v>45122</v>
      </c>
      <c r="J189" s="39">
        <v>65431</v>
      </c>
      <c r="K189" s="39">
        <v>168</v>
      </c>
      <c r="L189" s="37" t="s">
        <v>29</v>
      </c>
      <c r="M189" s="36" t="s">
        <v>3</v>
      </c>
      <c r="N189" s="40">
        <f>INDEX('[1]Campaign Metadata '!B:B,MATCH(M189,'[1]Campaign Metadata '!A:A,0))</f>
        <v>45717</v>
      </c>
      <c r="O189" s="40">
        <f>INDEX('[1]Campaign Metadata '!C:C,MATCH(M189,'[1]Campaign Metadata '!A:A,0))</f>
        <v>45747</v>
      </c>
      <c r="P189" s="41" t="str">
        <f t="shared" si="4"/>
        <v>AFTER</v>
      </c>
      <c r="Q189">
        <f>(Posts!$F189+Posts!$G189+Posts!$H189)/Posts!$I189</f>
        <v>9.8222596516111871E-2</v>
      </c>
      <c r="R189" s="1">
        <f t="shared" si="5"/>
        <v>4432</v>
      </c>
    </row>
    <row r="190" spans="1:18" ht="15.75" customHeight="1">
      <c r="A190" s="30" t="s">
        <v>234</v>
      </c>
      <c r="B190" s="31" t="s">
        <v>38</v>
      </c>
      <c r="C190" s="32">
        <v>45708</v>
      </c>
      <c r="D190" s="31" t="s">
        <v>63</v>
      </c>
      <c r="E190" s="31" t="s">
        <v>44</v>
      </c>
      <c r="F190" s="33">
        <v>4957</v>
      </c>
      <c r="G190" s="33">
        <v>262</v>
      </c>
      <c r="H190" s="33">
        <v>365</v>
      </c>
      <c r="I190" s="33">
        <v>49199</v>
      </c>
      <c r="J190" s="33">
        <v>40314</v>
      </c>
      <c r="K190" s="33">
        <v>216</v>
      </c>
      <c r="L190" s="31" t="s">
        <v>64</v>
      </c>
      <c r="M190" s="30" t="s">
        <v>0</v>
      </c>
      <c r="N190" s="34">
        <f>INDEX('[1]Campaign Metadata '!B:B,MATCH(M190,'[1]Campaign Metadata '!A:A,0))</f>
        <v>45458</v>
      </c>
      <c r="O190" s="34">
        <f>INDEX('[1]Campaign Metadata '!C:C,MATCH(M190,'[1]Campaign Metadata '!A:A,0))</f>
        <v>45488</v>
      </c>
      <c r="P190" s="35" t="str">
        <f t="shared" si="4"/>
        <v>AFTER</v>
      </c>
      <c r="Q190">
        <f>(Posts!$F190+Posts!$G190+Posts!$H190)/Posts!$I190</f>
        <v>0.11349824183418362</v>
      </c>
      <c r="R190" s="1">
        <f t="shared" si="5"/>
        <v>5584</v>
      </c>
    </row>
    <row r="191" spans="1:18" ht="15.75" customHeight="1">
      <c r="A191" s="36" t="s">
        <v>235</v>
      </c>
      <c r="B191" s="37" t="s">
        <v>23</v>
      </c>
      <c r="C191" s="38">
        <v>45673</v>
      </c>
      <c r="D191" s="37" t="s">
        <v>24</v>
      </c>
      <c r="E191" s="37" t="s">
        <v>39</v>
      </c>
      <c r="F191" s="39">
        <v>2605</v>
      </c>
      <c r="G191" s="39">
        <v>282</v>
      </c>
      <c r="H191" s="39">
        <v>148</v>
      </c>
      <c r="I191" s="39">
        <v>32201</v>
      </c>
      <c r="J191" s="39">
        <v>49583</v>
      </c>
      <c r="K191" s="39">
        <v>241</v>
      </c>
      <c r="L191" s="37" t="s">
        <v>26</v>
      </c>
      <c r="M191" s="36" t="s">
        <v>2</v>
      </c>
      <c r="N191" s="40">
        <f>INDEX('[1]Campaign Metadata '!B:B,MATCH(M191,'[1]Campaign Metadata '!A:A,0))</f>
        <v>45667</v>
      </c>
      <c r="O191" s="40">
        <f>INDEX('[1]Campaign Metadata '!C:C,MATCH(M191,'[1]Campaign Metadata '!A:A,0))</f>
        <v>45698</v>
      </c>
      <c r="P191" s="41" t="str">
        <f t="shared" si="4"/>
        <v>DURING</v>
      </c>
      <c r="Q191">
        <f>(Posts!$F191+Posts!$G191+Posts!$H191)/Posts!$I191</f>
        <v>9.4251731312692155E-2</v>
      </c>
      <c r="R191" s="1">
        <f t="shared" si="5"/>
        <v>3035</v>
      </c>
    </row>
    <row r="192" spans="1:18" ht="15.75" customHeight="1">
      <c r="A192" s="30" t="s">
        <v>236</v>
      </c>
      <c r="B192" s="31" t="s">
        <v>38</v>
      </c>
      <c r="C192" s="32">
        <v>45346</v>
      </c>
      <c r="D192" s="31" t="s">
        <v>63</v>
      </c>
      <c r="E192" s="31" t="s">
        <v>25</v>
      </c>
      <c r="F192" s="33">
        <v>4221</v>
      </c>
      <c r="G192" s="33">
        <v>307</v>
      </c>
      <c r="H192" s="33">
        <v>58</v>
      </c>
      <c r="I192" s="33">
        <v>45080</v>
      </c>
      <c r="J192" s="33">
        <v>37214</v>
      </c>
      <c r="K192" s="33">
        <v>240</v>
      </c>
      <c r="L192" s="31" t="s">
        <v>64</v>
      </c>
      <c r="M192" s="30" t="s">
        <v>0</v>
      </c>
      <c r="N192" s="34">
        <f>INDEX('[1]Campaign Metadata '!B:B,MATCH(M192,'[1]Campaign Metadata '!A:A,0))</f>
        <v>45458</v>
      </c>
      <c r="O192" s="34">
        <f>INDEX('[1]Campaign Metadata '!C:C,MATCH(M192,'[1]Campaign Metadata '!A:A,0))</f>
        <v>45488</v>
      </c>
      <c r="P192" s="35" t="str">
        <f t="shared" si="4"/>
        <v>BEFORE</v>
      </c>
      <c r="Q192">
        <f>(Posts!$F192+Posts!$G192+Posts!$H192)/Posts!$I192</f>
        <v>0.10173025732031943</v>
      </c>
      <c r="R192" s="1">
        <f t="shared" si="5"/>
        <v>4586</v>
      </c>
    </row>
    <row r="193" spans="1:18" ht="15.75" customHeight="1">
      <c r="A193" s="36" t="s">
        <v>237</v>
      </c>
      <c r="B193" s="37" t="s">
        <v>31</v>
      </c>
      <c r="C193" s="38">
        <v>45551</v>
      </c>
      <c r="D193" s="37" t="s">
        <v>32</v>
      </c>
      <c r="E193" s="37" t="s">
        <v>42</v>
      </c>
      <c r="F193" s="39">
        <v>4422</v>
      </c>
      <c r="G193" s="39">
        <v>434</v>
      </c>
      <c r="H193" s="39">
        <v>156</v>
      </c>
      <c r="I193" s="39">
        <v>56165</v>
      </c>
      <c r="J193" s="39">
        <v>52431</v>
      </c>
      <c r="K193" s="39">
        <v>173</v>
      </c>
      <c r="L193" s="37" t="s">
        <v>46</v>
      </c>
      <c r="M193" s="36" t="s">
        <v>2</v>
      </c>
      <c r="N193" s="40">
        <f>INDEX('[1]Campaign Metadata '!B:B,MATCH(M193,'[1]Campaign Metadata '!A:A,0))</f>
        <v>45667</v>
      </c>
      <c r="O193" s="40">
        <f>INDEX('[1]Campaign Metadata '!C:C,MATCH(M193,'[1]Campaign Metadata '!A:A,0))</f>
        <v>45698</v>
      </c>
      <c r="P193" s="41" t="str">
        <f t="shared" si="4"/>
        <v>BEFORE</v>
      </c>
      <c r="Q193">
        <f>(Posts!$F193+Posts!$G193+Posts!$H193)/Posts!$I193</f>
        <v>8.9237069349238848E-2</v>
      </c>
      <c r="R193" s="1">
        <f t="shared" si="5"/>
        <v>5012</v>
      </c>
    </row>
    <row r="194" spans="1:18" ht="15.75" customHeight="1">
      <c r="A194" s="30" t="s">
        <v>238</v>
      </c>
      <c r="B194" s="31" t="s">
        <v>38</v>
      </c>
      <c r="C194" s="32">
        <v>45447</v>
      </c>
      <c r="D194" s="31" t="s">
        <v>63</v>
      </c>
      <c r="E194" s="31" t="s">
        <v>36</v>
      </c>
      <c r="F194" s="33">
        <v>1211</v>
      </c>
      <c r="G194" s="33">
        <v>431</v>
      </c>
      <c r="H194" s="33">
        <v>83</v>
      </c>
      <c r="I194" s="33">
        <v>26532</v>
      </c>
      <c r="J194" s="33">
        <v>47305</v>
      </c>
      <c r="K194" s="33">
        <v>232</v>
      </c>
      <c r="L194" s="31" t="s">
        <v>64</v>
      </c>
      <c r="M194" s="30" t="s">
        <v>0</v>
      </c>
      <c r="N194" s="34">
        <f>INDEX('[1]Campaign Metadata '!B:B,MATCH(M194,'[1]Campaign Metadata '!A:A,0))</f>
        <v>45458</v>
      </c>
      <c r="O194" s="34">
        <f>INDEX('[1]Campaign Metadata '!C:C,MATCH(M194,'[1]Campaign Metadata '!A:A,0))</f>
        <v>45488</v>
      </c>
      <c r="P194" s="35" t="str">
        <f t="shared" si="4"/>
        <v>BEFORE</v>
      </c>
      <c r="Q194">
        <f>(Posts!$F194+Posts!$G194+Posts!$H194)/Posts!$I194</f>
        <v>6.5015829941203071E-2</v>
      </c>
      <c r="R194" s="1">
        <f t="shared" si="5"/>
        <v>1725</v>
      </c>
    </row>
    <row r="195" spans="1:18" ht="15.75" customHeight="1">
      <c r="A195" s="36" t="s">
        <v>239</v>
      </c>
      <c r="B195" s="37" t="s">
        <v>31</v>
      </c>
      <c r="C195" s="38">
        <v>45422</v>
      </c>
      <c r="D195" s="37" t="s">
        <v>32</v>
      </c>
      <c r="E195" s="37" t="s">
        <v>28</v>
      </c>
      <c r="F195" s="39">
        <v>2784</v>
      </c>
      <c r="G195" s="39">
        <v>111</v>
      </c>
      <c r="H195" s="39">
        <v>399</v>
      </c>
      <c r="I195" s="39">
        <v>58366</v>
      </c>
      <c r="J195" s="39">
        <v>69512</v>
      </c>
      <c r="K195" s="39">
        <v>269</v>
      </c>
      <c r="L195" s="37" t="s">
        <v>34</v>
      </c>
      <c r="M195" s="36" t="s">
        <v>2</v>
      </c>
      <c r="N195" s="40">
        <f>INDEX('[1]Campaign Metadata '!B:B,MATCH(M195,'[1]Campaign Metadata '!A:A,0))</f>
        <v>45667</v>
      </c>
      <c r="O195" s="40">
        <f>INDEX('[1]Campaign Metadata '!C:C,MATCH(M195,'[1]Campaign Metadata '!A:A,0))</f>
        <v>45698</v>
      </c>
      <c r="P195" s="41" t="str">
        <f t="shared" ref="P195:P258" si="6">IF(AND(C195&lt;=O195,C195&gt;=N195),"DURING",IF(C195&lt;O195,"BEFORE", "AFTER"))</f>
        <v>BEFORE</v>
      </c>
      <c r="Q195">
        <f>(Posts!$F195+Posts!$G195+Posts!$H195)/Posts!$I195</f>
        <v>5.6436966727204191E-2</v>
      </c>
      <c r="R195" s="1">
        <f t="shared" ref="R195:R258" si="7">F195+G195+H195</f>
        <v>3294</v>
      </c>
    </row>
    <row r="196" spans="1:18" ht="15.75" customHeight="1">
      <c r="A196" s="30" t="s">
        <v>240</v>
      </c>
      <c r="B196" s="31" t="s">
        <v>38</v>
      </c>
      <c r="C196" s="32">
        <v>45305</v>
      </c>
      <c r="D196" s="31" t="s">
        <v>24</v>
      </c>
      <c r="E196" s="31" t="s">
        <v>33</v>
      </c>
      <c r="F196" s="33">
        <v>3634</v>
      </c>
      <c r="G196" s="33">
        <v>280</v>
      </c>
      <c r="H196" s="33">
        <v>399</v>
      </c>
      <c r="I196" s="33">
        <v>40256</v>
      </c>
      <c r="J196" s="33">
        <v>52605</v>
      </c>
      <c r="K196" s="33">
        <v>213</v>
      </c>
      <c r="L196" s="31" t="s">
        <v>40</v>
      </c>
      <c r="M196" s="30" t="s">
        <v>3</v>
      </c>
      <c r="N196" s="34">
        <f>INDEX('[1]Campaign Metadata '!B:B,MATCH(M196,'[1]Campaign Metadata '!A:A,0))</f>
        <v>45717</v>
      </c>
      <c r="O196" s="34">
        <f>INDEX('[1]Campaign Metadata '!C:C,MATCH(M196,'[1]Campaign Metadata '!A:A,0))</f>
        <v>45747</v>
      </c>
      <c r="P196" s="35" t="str">
        <f t="shared" si="6"/>
        <v>BEFORE</v>
      </c>
      <c r="Q196">
        <f>(Posts!$F196+Posts!$G196+Posts!$H196)/Posts!$I196</f>
        <v>0.10713930842607314</v>
      </c>
      <c r="R196" s="1">
        <f t="shared" si="7"/>
        <v>4313</v>
      </c>
    </row>
    <row r="197" spans="1:18" ht="15.75" customHeight="1">
      <c r="A197" s="36" t="s">
        <v>241</v>
      </c>
      <c r="B197" s="37" t="s">
        <v>23</v>
      </c>
      <c r="C197" s="38">
        <v>45669</v>
      </c>
      <c r="D197" s="37" t="s">
        <v>24</v>
      </c>
      <c r="E197" s="37" t="s">
        <v>56</v>
      </c>
      <c r="F197" s="39">
        <v>1771</v>
      </c>
      <c r="G197" s="39">
        <v>487</v>
      </c>
      <c r="H197" s="39">
        <v>272</v>
      </c>
      <c r="I197" s="39">
        <v>48810</v>
      </c>
      <c r="J197" s="39">
        <v>48084</v>
      </c>
      <c r="K197" s="39">
        <v>272</v>
      </c>
      <c r="L197" s="37" t="s">
        <v>26</v>
      </c>
      <c r="M197" s="36" t="s">
        <v>2</v>
      </c>
      <c r="N197" s="40">
        <f>INDEX('[1]Campaign Metadata '!B:B,MATCH(M197,'[1]Campaign Metadata '!A:A,0))</f>
        <v>45667</v>
      </c>
      <c r="O197" s="40">
        <f>INDEX('[1]Campaign Metadata '!C:C,MATCH(M197,'[1]Campaign Metadata '!A:A,0))</f>
        <v>45698</v>
      </c>
      <c r="P197" s="41" t="str">
        <f t="shared" si="6"/>
        <v>DURING</v>
      </c>
      <c r="Q197">
        <f>(Posts!$F197+Posts!$G197+Posts!$H197)/Posts!$I197</f>
        <v>5.1833640647408315E-2</v>
      </c>
      <c r="R197" s="1">
        <f t="shared" si="7"/>
        <v>2530</v>
      </c>
    </row>
    <row r="198" spans="1:18" ht="15.75" customHeight="1">
      <c r="A198" s="30" t="s">
        <v>242</v>
      </c>
      <c r="B198" s="31" t="s">
        <v>38</v>
      </c>
      <c r="C198" s="32">
        <v>45634</v>
      </c>
      <c r="D198" s="31" t="s">
        <v>24</v>
      </c>
      <c r="E198" s="31" t="s">
        <v>48</v>
      </c>
      <c r="F198" s="33">
        <v>1424</v>
      </c>
      <c r="G198" s="33">
        <v>396</v>
      </c>
      <c r="H198" s="33">
        <v>312</v>
      </c>
      <c r="I198" s="33">
        <v>59517</v>
      </c>
      <c r="J198" s="33">
        <v>46102</v>
      </c>
      <c r="K198" s="33">
        <v>239</v>
      </c>
      <c r="L198" s="31" t="s">
        <v>40</v>
      </c>
      <c r="M198" s="30" t="s">
        <v>3</v>
      </c>
      <c r="N198" s="34">
        <f>INDEX('[1]Campaign Metadata '!B:B,MATCH(M198,'[1]Campaign Metadata '!A:A,0))</f>
        <v>45717</v>
      </c>
      <c r="O198" s="34">
        <f>INDEX('[1]Campaign Metadata '!C:C,MATCH(M198,'[1]Campaign Metadata '!A:A,0))</f>
        <v>45747</v>
      </c>
      <c r="P198" s="35" t="str">
        <f t="shared" si="6"/>
        <v>BEFORE</v>
      </c>
      <c r="Q198">
        <f>(Posts!$F198+Posts!$G198+Posts!$H198)/Posts!$I198</f>
        <v>3.5821698002251455E-2</v>
      </c>
      <c r="R198" s="1">
        <f t="shared" si="7"/>
        <v>2132</v>
      </c>
    </row>
    <row r="199" spans="1:18" ht="15.75" customHeight="1">
      <c r="A199" s="36" t="s">
        <v>243</v>
      </c>
      <c r="B199" s="37" t="s">
        <v>31</v>
      </c>
      <c r="C199" s="38">
        <v>45689</v>
      </c>
      <c r="D199" s="37" t="s">
        <v>32</v>
      </c>
      <c r="E199" s="37" t="s">
        <v>48</v>
      </c>
      <c r="F199" s="39">
        <v>1079</v>
      </c>
      <c r="G199" s="39">
        <v>265</v>
      </c>
      <c r="H199" s="39">
        <v>190</v>
      </c>
      <c r="I199" s="39">
        <v>43786</v>
      </c>
      <c r="J199" s="39">
        <v>72428</v>
      </c>
      <c r="K199" s="39">
        <v>222</v>
      </c>
      <c r="L199" s="37" t="s">
        <v>26</v>
      </c>
      <c r="M199" s="36" t="s">
        <v>2</v>
      </c>
      <c r="N199" s="40">
        <f>INDEX('[1]Campaign Metadata '!B:B,MATCH(M199,'[1]Campaign Metadata '!A:A,0))</f>
        <v>45667</v>
      </c>
      <c r="O199" s="40">
        <f>INDEX('[1]Campaign Metadata '!C:C,MATCH(M199,'[1]Campaign Metadata '!A:A,0))</f>
        <v>45698</v>
      </c>
      <c r="P199" s="41" t="str">
        <f t="shared" si="6"/>
        <v>DURING</v>
      </c>
      <c r="Q199">
        <f>(Posts!$F199+Posts!$G199+Posts!$H199)/Posts!$I199</f>
        <v>3.5034029141734799E-2</v>
      </c>
      <c r="R199" s="1">
        <f t="shared" si="7"/>
        <v>1534</v>
      </c>
    </row>
    <row r="200" spans="1:18" ht="15.75" customHeight="1">
      <c r="A200" s="30" t="s">
        <v>244</v>
      </c>
      <c r="B200" s="31" t="s">
        <v>31</v>
      </c>
      <c r="C200" s="32">
        <v>45484</v>
      </c>
      <c r="D200" s="31" t="s">
        <v>32</v>
      </c>
      <c r="E200" s="31" t="s">
        <v>44</v>
      </c>
      <c r="F200" s="33">
        <v>4247</v>
      </c>
      <c r="G200" s="33">
        <v>179</v>
      </c>
      <c r="H200" s="33">
        <v>175</v>
      </c>
      <c r="I200" s="33">
        <v>32991</v>
      </c>
      <c r="J200" s="33">
        <v>70120</v>
      </c>
      <c r="K200" s="33">
        <v>276</v>
      </c>
      <c r="L200" s="31" t="s">
        <v>26</v>
      </c>
      <c r="M200" s="30" t="s">
        <v>2</v>
      </c>
      <c r="N200" s="34">
        <f>INDEX('[1]Campaign Metadata '!B:B,MATCH(M200,'[1]Campaign Metadata '!A:A,0))</f>
        <v>45667</v>
      </c>
      <c r="O200" s="34">
        <f>INDEX('[1]Campaign Metadata '!C:C,MATCH(M200,'[1]Campaign Metadata '!A:A,0))</f>
        <v>45698</v>
      </c>
      <c r="P200" s="35" t="str">
        <f t="shared" si="6"/>
        <v>BEFORE</v>
      </c>
      <c r="Q200">
        <f>(Posts!$F200+Posts!$G200+Posts!$H200)/Posts!$I200</f>
        <v>0.13946227759085811</v>
      </c>
      <c r="R200" s="1">
        <f t="shared" si="7"/>
        <v>4601</v>
      </c>
    </row>
    <row r="201" spans="1:18" ht="15.75" customHeight="1">
      <c r="A201" s="36" t="s">
        <v>245</v>
      </c>
      <c r="B201" s="37" t="s">
        <v>31</v>
      </c>
      <c r="C201" s="38">
        <v>45369</v>
      </c>
      <c r="D201" s="37" t="s">
        <v>24</v>
      </c>
      <c r="E201" s="37" t="s">
        <v>33</v>
      </c>
      <c r="F201" s="39">
        <v>2033</v>
      </c>
      <c r="G201" s="39">
        <v>420</v>
      </c>
      <c r="H201" s="39">
        <v>94</v>
      </c>
      <c r="I201" s="39">
        <v>56290</v>
      </c>
      <c r="J201" s="39">
        <v>57391</v>
      </c>
      <c r="K201" s="39">
        <v>196</v>
      </c>
      <c r="L201" s="37" t="s">
        <v>49</v>
      </c>
      <c r="M201" s="36" t="s">
        <v>2</v>
      </c>
      <c r="N201" s="40">
        <f>INDEX('[1]Campaign Metadata '!B:B,MATCH(M201,'[1]Campaign Metadata '!A:A,0))</f>
        <v>45667</v>
      </c>
      <c r="O201" s="40">
        <f>INDEX('[1]Campaign Metadata '!C:C,MATCH(M201,'[1]Campaign Metadata '!A:A,0))</f>
        <v>45698</v>
      </c>
      <c r="P201" s="41" t="str">
        <f t="shared" si="6"/>
        <v>BEFORE</v>
      </c>
      <c r="Q201">
        <f>(Posts!$F201+Posts!$G201+Posts!$H201)/Posts!$I201</f>
        <v>4.5247823769763724E-2</v>
      </c>
      <c r="R201" s="1">
        <f t="shared" si="7"/>
        <v>2547</v>
      </c>
    </row>
    <row r="202" spans="1:18" ht="15.75" customHeight="1">
      <c r="A202" s="30" t="s">
        <v>246</v>
      </c>
      <c r="B202" s="31" t="s">
        <v>31</v>
      </c>
      <c r="C202" s="32">
        <v>45547</v>
      </c>
      <c r="D202" s="31" t="s">
        <v>32</v>
      </c>
      <c r="E202" s="31" t="s">
        <v>36</v>
      </c>
      <c r="F202" s="33">
        <v>1839</v>
      </c>
      <c r="G202" s="33">
        <v>223</v>
      </c>
      <c r="H202" s="33">
        <v>171</v>
      </c>
      <c r="I202" s="33">
        <v>35459</v>
      </c>
      <c r="J202" s="33">
        <v>69988</v>
      </c>
      <c r="K202" s="33">
        <v>114</v>
      </c>
      <c r="L202" s="31" t="s">
        <v>34</v>
      </c>
      <c r="M202" s="30" t="s">
        <v>2</v>
      </c>
      <c r="N202" s="34">
        <f>INDEX('[1]Campaign Metadata '!B:B,MATCH(M202,'[1]Campaign Metadata '!A:A,0))</f>
        <v>45667</v>
      </c>
      <c r="O202" s="34">
        <f>INDEX('[1]Campaign Metadata '!C:C,MATCH(M202,'[1]Campaign Metadata '!A:A,0))</f>
        <v>45698</v>
      </c>
      <c r="P202" s="35" t="str">
        <f t="shared" si="6"/>
        <v>BEFORE</v>
      </c>
      <c r="Q202">
        <f>(Posts!$F202+Posts!$G202+Posts!$H202)/Posts!$I202</f>
        <v>6.2974139146620034E-2</v>
      </c>
      <c r="R202" s="1">
        <f t="shared" si="7"/>
        <v>2233</v>
      </c>
    </row>
    <row r="203" spans="1:18" ht="15.75" customHeight="1">
      <c r="A203" s="36" t="s">
        <v>247</v>
      </c>
      <c r="B203" s="37" t="s">
        <v>31</v>
      </c>
      <c r="C203" s="38">
        <v>45302</v>
      </c>
      <c r="D203" s="37" t="s">
        <v>32</v>
      </c>
      <c r="E203" s="37" t="s">
        <v>36</v>
      </c>
      <c r="F203" s="39">
        <v>2340</v>
      </c>
      <c r="G203" s="39">
        <v>141</v>
      </c>
      <c r="H203" s="39">
        <v>206</v>
      </c>
      <c r="I203" s="39">
        <v>24916</v>
      </c>
      <c r="J203" s="39">
        <v>30582</v>
      </c>
      <c r="K203" s="39">
        <v>157</v>
      </c>
      <c r="L203" s="37" t="s">
        <v>26</v>
      </c>
      <c r="M203" s="36" t="s">
        <v>2</v>
      </c>
      <c r="N203" s="40">
        <f>INDEX('[1]Campaign Metadata '!B:B,MATCH(M203,'[1]Campaign Metadata '!A:A,0))</f>
        <v>45667</v>
      </c>
      <c r="O203" s="40">
        <f>INDEX('[1]Campaign Metadata '!C:C,MATCH(M203,'[1]Campaign Metadata '!A:A,0))</f>
        <v>45698</v>
      </c>
      <c r="P203" s="41" t="str">
        <f t="shared" si="6"/>
        <v>BEFORE</v>
      </c>
      <c r="Q203">
        <f>(Posts!$F203+Posts!$G203+Posts!$H203)/Posts!$I203</f>
        <v>0.10784235029699792</v>
      </c>
      <c r="R203" s="1">
        <f t="shared" si="7"/>
        <v>2687</v>
      </c>
    </row>
    <row r="204" spans="1:18" ht="15.75" customHeight="1">
      <c r="A204" s="30" t="s">
        <v>248</v>
      </c>
      <c r="B204" s="31" t="s">
        <v>23</v>
      </c>
      <c r="C204" s="32">
        <v>45571</v>
      </c>
      <c r="D204" s="31" t="s">
        <v>24</v>
      </c>
      <c r="E204" s="31" t="s">
        <v>48</v>
      </c>
      <c r="F204" s="33">
        <v>2080</v>
      </c>
      <c r="G204" s="33">
        <v>389</v>
      </c>
      <c r="H204" s="33">
        <v>92</v>
      </c>
      <c r="I204" s="33">
        <v>30971</v>
      </c>
      <c r="J204" s="33">
        <v>25347</v>
      </c>
      <c r="K204" s="33">
        <v>111</v>
      </c>
      <c r="L204" s="31" t="s">
        <v>29</v>
      </c>
      <c r="M204" s="30" t="s">
        <v>3</v>
      </c>
      <c r="N204" s="34">
        <f>INDEX('[1]Campaign Metadata '!B:B,MATCH(M204,'[1]Campaign Metadata '!A:A,0))</f>
        <v>45717</v>
      </c>
      <c r="O204" s="34">
        <f>INDEX('[1]Campaign Metadata '!C:C,MATCH(M204,'[1]Campaign Metadata '!A:A,0))</f>
        <v>45747</v>
      </c>
      <c r="P204" s="35" t="str">
        <f t="shared" si="6"/>
        <v>BEFORE</v>
      </c>
      <c r="Q204">
        <f>(Posts!$F204+Posts!$G204+Posts!$H204)/Posts!$I204</f>
        <v>8.2690258629040073E-2</v>
      </c>
      <c r="R204" s="1">
        <f t="shared" si="7"/>
        <v>2561</v>
      </c>
    </row>
    <row r="205" spans="1:18" ht="15.75" customHeight="1">
      <c r="A205" s="36" t="s">
        <v>249</v>
      </c>
      <c r="B205" s="37" t="s">
        <v>31</v>
      </c>
      <c r="C205" s="38">
        <v>45656</v>
      </c>
      <c r="D205" s="37" t="s">
        <v>24</v>
      </c>
      <c r="E205" s="37" t="s">
        <v>44</v>
      </c>
      <c r="F205" s="39">
        <v>4214</v>
      </c>
      <c r="G205" s="39">
        <v>286</v>
      </c>
      <c r="H205" s="39">
        <v>127</v>
      </c>
      <c r="I205" s="39">
        <v>47293</v>
      </c>
      <c r="J205" s="39">
        <v>27184</v>
      </c>
      <c r="K205" s="39">
        <v>232</v>
      </c>
      <c r="L205" s="37" t="s">
        <v>49</v>
      </c>
      <c r="M205" s="36" t="s">
        <v>2</v>
      </c>
      <c r="N205" s="40">
        <f>INDEX('[1]Campaign Metadata '!B:B,MATCH(M205,'[1]Campaign Metadata '!A:A,0))</f>
        <v>45667</v>
      </c>
      <c r="O205" s="40">
        <f>INDEX('[1]Campaign Metadata '!C:C,MATCH(M205,'[1]Campaign Metadata '!A:A,0))</f>
        <v>45698</v>
      </c>
      <c r="P205" s="41" t="str">
        <f t="shared" si="6"/>
        <v>BEFORE</v>
      </c>
      <c r="Q205">
        <f>(Posts!$F205+Posts!$G205+Posts!$H205)/Posts!$I205</f>
        <v>9.7836889180216949E-2</v>
      </c>
      <c r="R205" s="1">
        <f t="shared" si="7"/>
        <v>4627</v>
      </c>
    </row>
    <row r="206" spans="1:18" ht="15.75" customHeight="1">
      <c r="A206" s="30" t="s">
        <v>250</v>
      </c>
      <c r="B206" s="31" t="s">
        <v>31</v>
      </c>
      <c r="C206" s="32">
        <v>45763</v>
      </c>
      <c r="D206" s="31" t="s">
        <v>24</v>
      </c>
      <c r="E206" s="31" t="s">
        <v>36</v>
      </c>
      <c r="F206" s="33">
        <v>3792</v>
      </c>
      <c r="G206" s="33">
        <v>315</v>
      </c>
      <c r="H206" s="33">
        <v>120</v>
      </c>
      <c r="I206" s="33">
        <v>54592</v>
      </c>
      <c r="J206" s="33">
        <v>67886</v>
      </c>
      <c r="K206" s="33">
        <v>117</v>
      </c>
      <c r="L206" s="31" t="s">
        <v>52</v>
      </c>
      <c r="M206" s="30" t="s">
        <v>3</v>
      </c>
      <c r="N206" s="34">
        <f>INDEX('[1]Campaign Metadata '!B:B,MATCH(M206,'[1]Campaign Metadata '!A:A,0))</f>
        <v>45717</v>
      </c>
      <c r="O206" s="34">
        <f>INDEX('[1]Campaign Metadata '!C:C,MATCH(M206,'[1]Campaign Metadata '!A:A,0))</f>
        <v>45747</v>
      </c>
      <c r="P206" s="35" t="str">
        <f t="shared" si="6"/>
        <v>AFTER</v>
      </c>
      <c r="Q206">
        <f>(Posts!$F206+Posts!$G206+Posts!$H206)/Posts!$I206</f>
        <v>7.7428927315357568E-2</v>
      </c>
      <c r="R206" s="1">
        <f t="shared" si="7"/>
        <v>4227</v>
      </c>
    </row>
    <row r="207" spans="1:18" ht="15.75" customHeight="1">
      <c r="A207" s="36" t="s">
        <v>251</v>
      </c>
      <c r="B207" s="37" t="s">
        <v>31</v>
      </c>
      <c r="C207" s="38">
        <v>45525</v>
      </c>
      <c r="D207" s="37" t="s">
        <v>32</v>
      </c>
      <c r="E207" s="37" t="s">
        <v>28</v>
      </c>
      <c r="F207" s="39">
        <v>3989</v>
      </c>
      <c r="G207" s="39">
        <v>476</v>
      </c>
      <c r="H207" s="39">
        <v>128</v>
      </c>
      <c r="I207" s="39">
        <v>57569</v>
      </c>
      <c r="J207" s="39">
        <v>40193</v>
      </c>
      <c r="K207" s="39">
        <v>222</v>
      </c>
      <c r="L207" s="37" t="s">
        <v>46</v>
      </c>
      <c r="M207" s="36" t="s">
        <v>2</v>
      </c>
      <c r="N207" s="40">
        <f>INDEX('[1]Campaign Metadata '!B:B,MATCH(M207,'[1]Campaign Metadata '!A:A,0))</f>
        <v>45667</v>
      </c>
      <c r="O207" s="40">
        <f>INDEX('[1]Campaign Metadata '!C:C,MATCH(M207,'[1]Campaign Metadata '!A:A,0))</f>
        <v>45698</v>
      </c>
      <c r="P207" s="41" t="str">
        <f t="shared" si="6"/>
        <v>BEFORE</v>
      </c>
      <c r="Q207">
        <f>(Posts!$F207+Posts!$G207+Posts!$H207)/Posts!$I207</f>
        <v>7.9782521843353188E-2</v>
      </c>
      <c r="R207" s="1">
        <f t="shared" si="7"/>
        <v>4593</v>
      </c>
    </row>
    <row r="208" spans="1:18" ht="15.75" customHeight="1">
      <c r="A208" s="30" t="s">
        <v>252</v>
      </c>
      <c r="B208" s="31" t="s">
        <v>31</v>
      </c>
      <c r="C208" s="32">
        <v>45387</v>
      </c>
      <c r="D208" s="31" t="s">
        <v>32</v>
      </c>
      <c r="E208" s="31" t="s">
        <v>36</v>
      </c>
      <c r="F208" s="33">
        <v>2857</v>
      </c>
      <c r="G208" s="33">
        <v>443</v>
      </c>
      <c r="H208" s="33">
        <v>359</v>
      </c>
      <c r="I208" s="33">
        <v>51519</v>
      </c>
      <c r="J208" s="33">
        <v>28256</v>
      </c>
      <c r="K208" s="33">
        <v>155</v>
      </c>
      <c r="L208" s="31" t="s">
        <v>26</v>
      </c>
      <c r="M208" s="30" t="s">
        <v>2</v>
      </c>
      <c r="N208" s="34">
        <f>INDEX('[1]Campaign Metadata '!B:B,MATCH(M208,'[1]Campaign Metadata '!A:A,0))</f>
        <v>45667</v>
      </c>
      <c r="O208" s="34">
        <f>INDEX('[1]Campaign Metadata '!C:C,MATCH(M208,'[1]Campaign Metadata '!A:A,0))</f>
        <v>45698</v>
      </c>
      <c r="P208" s="35" t="str">
        <f t="shared" si="6"/>
        <v>BEFORE</v>
      </c>
      <c r="Q208">
        <f>(Posts!$F208+Posts!$G208+Posts!$H208)/Posts!$I208</f>
        <v>7.1022341272152026E-2</v>
      </c>
      <c r="R208" s="1">
        <f t="shared" si="7"/>
        <v>3659</v>
      </c>
    </row>
    <row r="209" spans="1:18" ht="15.75" customHeight="1">
      <c r="A209" s="36" t="s">
        <v>253</v>
      </c>
      <c r="B209" s="37" t="s">
        <v>31</v>
      </c>
      <c r="C209" s="38">
        <v>45754</v>
      </c>
      <c r="D209" s="37" t="s">
        <v>24</v>
      </c>
      <c r="E209" s="37" t="s">
        <v>56</v>
      </c>
      <c r="F209" s="39">
        <v>1403</v>
      </c>
      <c r="G209" s="39">
        <v>385</v>
      </c>
      <c r="H209" s="39">
        <v>344</v>
      </c>
      <c r="I209" s="39">
        <v>54223</v>
      </c>
      <c r="J209" s="39">
        <v>72595</v>
      </c>
      <c r="K209" s="39">
        <v>239</v>
      </c>
      <c r="L209" s="37" t="s">
        <v>52</v>
      </c>
      <c r="M209" s="36" t="s">
        <v>3</v>
      </c>
      <c r="N209" s="40">
        <f>INDEX('[1]Campaign Metadata '!B:B,MATCH(M209,'[1]Campaign Metadata '!A:A,0))</f>
        <v>45717</v>
      </c>
      <c r="O209" s="40">
        <f>INDEX('[1]Campaign Metadata '!C:C,MATCH(M209,'[1]Campaign Metadata '!A:A,0))</f>
        <v>45747</v>
      </c>
      <c r="P209" s="41" t="str">
        <f t="shared" si="6"/>
        <v>AFTER</v>
      </c>
      <c r="Q209">
        <f>(Posts!$F209+Posts!$G209+Posts!$H209)/Posts!$I209</f>
        <v>3.9319108127547353E-2</v>
      </c>
      <c r="R209" s="1">
        <f t="shared" si="7"/>
        <v>2132</v>
      </c>
    </row>
    <row r="210" spans="1:18" ht="15.75" customHeight="1">
      <c r="A210" s="30" t="s">
        <v>254</v>
      </c>
      <c r="B210" s="31" t="s">
        <v>31</v>
      </c>
      <c r="C210" s="32">
        <v>45492</v>
      </c>
      <c r="D210" s="31" t="s">
        <v>32</v>
      </c>
      <c r="E210" s="31" t="s">
        <v>42</v>
      </c>
      <c r="F210" s="33">
        <v>3071</v>
      </c>
      <c r="G210" s="33">
        <v>126</v>
      </c>
      <c r="H210" s="33">
        <v>200</v>
      </c>
      <c r="I210" s="33">
        <v>44013</v>
      </c>
      <c r="J210" s="33">
        <v>44679</v>
      </c>
      <c r="K210" s="33">
        <v>118</v>
      </c>
      <c r="L210" s="31" t="s">
        <v>46</v>
      </c>
      <c r="M210" s="30" t="s">
        <v>2</v>
      </c>
      <c r="N210" s="34">
        <f>INDEX('[1]Campaign Metadata '!B:B,MATCH(M210,'[1]Campaign Metadata '!A:A,0))</f>
        <v>45667</v>
      </c>
      <c r="O210" s="34">
        <f>INDEX('[1]Campaign Metadata '!C:C,MATCH(M210,'[1]Campaign Metadata '!A:A,0))</f>
        <v>45698</v>
      </c>
      <c r="P210" s="35" t="str">
        <f t="shared" si="6"/>
        <v>BEFORE</v>
      </c>
      <c r="Q210">
        <f>(Posts!$F210+Posts!$G210+Posts!$H210)/Posts!$I210</f>
        <v>7.7181741758116915E-2</v>
      </c>
      <c r="R210" s="1">
        <f t="shared" si="7"/>
        <v>3397</v>
      </c>
    </row>
    <row r="211" spans="1:18" ht="15.75" customHeight="1">
      <c r="A211" s="36" t="s">
        <v>255</v>
      </c>
      <c r="B211" s="37" t="s">
        <v>31</v>
      </c>
      <c r="C211" s="38">
        <v>45780</v>
      </c>
      <c r="D211" s="37" t="s">
        <v>32</v>
      </c>
      <c r="E211" s="37" t="s">
        <v>48</v>
      </c>
      <c r="F211" s="39">
        <v>1010</v>
      </c>
      <c r="G211" s="39">
        <v>361</v>
      </c>
      <c r="H211" s="39">
        <v>240</v>
      </c>
      <c r="I211" s="39">
        <v>47229</v>
      </c>
      <c r="J211" s="39">
        <v>72573</v>
      </c>
      <c r="K211" s="39">
        <v>275</v>
      </c>
      <c r="L211" s="37" t="s">
        <v>26</v>
      </c>
      <c r="M211" s="36" t="s">
        <v>2</v>
      </c>
      <c r="N211" s="40">
        <f>INDEX('[1]Campaign Metadata '!B:B,MATCH(M211,'[1]Campaign Metadata '!A:A,0))</f>
        <v>45667</v>
      </c>
      <c r="O211" s="40">
        <f>INDEX('[1]Campaign Metadata '!C:C,MATCH(M211,'[1]Campaign Metadata '!A:A,0))</f>
        <v>45698</v>
      </c>
      <c r="P211" s="41" t="str">
        <f t="shared" si="6"/>
        <v>AFTER</v>
      </c>
      <c r="Q211">
        <f>(Posts!$F211+Posts!$G211+Posts!$H211)/Posts!$I211</f>
        <v>3.4110398272247981E-2</v>
      </c>
      <c r="R211" s="1">
        <f t="shared" si="7"/>
        <v>1611</v>
      </c>
    </row>
    <row r="212" spans="1:18" ht="15.75" customHeight="1">
      <c r="A212" s="30" t="s">
        <v>256</v>
      </c>
      <c r="B212" s="31" t="s">
        <v>31</v>
      </c>
      <c r="C212" s="32">
        <v>45396</v>
      </c>
      <c r="D212" s="31" t="s">
        <v>32</v>
      </c>
      <c r="E212" s="31" t="s">
        <v>25</v>
      </c>
      <c r="F212" s="33">
        <v>1295</v>
      </c>
      <c r="G212" s="33">
        <v>153</v>
      </c>
      <c r="H212" s="33">
        <v>81</v>
      </c>
      <c r="I212" s="33">
        <v>48350</v>
      </c>
      <c r="J212" s="33">
        <v>61033</v>
      </c>
      <c r="K212" s="33">
        <v>232</v>
      </c>
      <c r="L212" s="31" t="s">
        <v>46</v>
      </c>
      <c r="M212" s="30" t="s">
        <v>2</v>
      </c>
      <c r="N212" s="34">
        <f>INDEX('[1]Campaign Metadata '!B:B,MATCH(M212,'[1]Campaign Metadata '!A:A,0))</f>
        <v>45667</v>
      </c>
      <c r="O212" s="34">
        <f>INDEX('[1]Campaign Metadata '!C:C,MATCH(M212,'[1]Campaign Metadata '!A:A,0))</f>
        <v>45698</v>
      </c>
      <c r="P212" s="35" t="str">
        <f t="shared" si="6"/>
        <v>BEFORE</v>
      </c>
      <c r="Q212">
        <f>(Posts!$F212+Posts!$G212+Posts!$H212)/Posts!$I212</f>
        <v>3.1623578076525334E-2</v>
      </c>
      <c r="R212" s="1">
        <f t="shared" si="7"/>
        <v>1529</v>
      </c>
    </row>
    <row r="213" spans="1:18" ht="15.75" customHeight="1">
      <c r="A213" s="36" t="s">
        <v>257</v>
      </c>
      <c r="B213" s="37" t="s">
        <v>31</v>
      </c>
      <c r="C213" s="38">
        <v>45827</v>
      </c>
      <c r="D213" s="37" t="s">
        <v>32</v>
      </c>
      <c r="E213" s="37" t="s">
        <v>42</v>
      </c>
      <c r="F213" s="39">
        <v>1433</v>
      </c>
      <c r="G213" s="39">
        <v>452</v>
      </c>
      <c r="H213" s="39">
        <v>305</v>
      </c>
      <c r="I213" s="39">
        <v>54541</v>
      </c>
      <c r="J213" s="39">
        <v>63700</v>
      </c>
      <c r="K213" s="39">
        <v>296</v>
      </c>
      <c r="L213" s="37" t="s">
        <v>46</v>
      </c>
      <c r="M213" s="36" t="s">
        <v>2</v>
      </c>
      <c r="N213" s="40">
        <f>INDEX('[1]Campaign Metadata '!B:B,MATCH(M213,'[1]Campaign Metadata '!A:A,0))</f>
        <v>45667</v>
      </c>
      <c r="O213" s="40">
        <f>INDEX('[1]Campaign Metadata '!C:C,MATCH(M213,'[1]Campaign Metadata '!A:A,0))</f>
        <v>45698</v>
      </c>
      <c r="P213" s="41" t="str">
        <f t="shared" si="6"/>
        <v>AFTER</v>
      </c>
      <c r="Q213">
        <f>(Posts!$F213+Posts!$G213+Posts!$H213)/Posts!$I213</f>
        <v>4.0153279184466734E-2</v>
      </c>
      <c r="R213" s="1">
        <f t="shared" si="7"/>
        <v>2190</v>
      </c>
    </row>
    <row r="214" spans="1:18" ht="15.75" customHeight="1">
      <c r="A214" s="30" t="s">
        <v>258</v>
      </c>
      <c r="B214" s="31" t="s">
        <v>23</v>
      </c>
      <c r="C214" s="32">
        <v>45832</v>
      </c>
      <c r="D214" s="31" t="s">
        <v>32</v>
      </c>
      <c r="E214" s="31" t="s">
        <v>44</v>
      </c>
      <c r="F214" s="33">
        <v>4902</v>
      </c>
      <c r="G214" s="33">
        <v>422</v>
      </c>
      <c r="H214" s="33">
        <v>376</v>
      </c>
      <c r="I214" s="33">
        <v>31674</v>
      </c>
      <c r="J214" s="33">
        <v>53225</v>
      </c>
      <c r="K214" s="33">
        <v>147</v>
      </c>
      <c r="L214" s="31" t="s">
        <v>49</v>
      </c>
      <c r="M214" s="30" t="s">
        <v>1</v>
      </c>
      <c r="N214" s="34">
        <f>INDEX('[1]Campaign Metadata '!B:B,MATCH(M214,'[1]Campaign Metadata '!A:A,0))</f>
        <v>45627</v>
      </c>
      <c r="O214" s="34">
        <f>INDEX('[1]Campaign Metadata '!C:C,MATCH(M214,'[1]Campaign Metadata '!A:A,0))</f>
        <v>45657</v>
      </c>
      <c r="P214" s="35" t="str">
        <f t="shared" si="6"/>
        <v>AFTER</v>
      </c>
      <c r="Q214">
        <f>(Posts!$F214+Posts!$G214+Posts!$H214)/Posts!$I214</f>
        <v>0.17995832544042431</v>
      </c>
      <c r="R214" s="1">
        <f t="shared" si="7"/>
        <v>5700</v>
      </c>
    </row>
    <row r="215" spans="1:18" ht="15.75" customHeight="1">
      <c r="A215" s="36" t="s">
        <v>259</v>
      </c>
      <c r="B215" s="37" t="s">
        <v>31</v>
      </c>
      <c r="C215" s="38">
        <v>45574</v>
      </c>
      <c r="D215" s="37" t="s">
        <v>24</v>
      </c>
      <c r="E215" s="37" t="s">
        <v>36</v>
      </c>
      <c r="F215" s="39">
        <v>2659</v>
      </c>
      <c r="G215" s="39">
        <v>167</v>
      </c>
      <c r="H215" s="39">
        <v>73</v>
      </c>
      <c r="I215" s="39">
        <v>23090</v>
      </c>
      <c r="J215" s="39">
        <v>25872</v>
      </c>
      <c r="K215" s="39">
        <v>293</v>
      </c>
      <c r="L215" s="37" t="s">
        <v>52</v>
      </c>
      <c r="M215" s="36" t="s">
        <v>3</v>
      </c>
      <c r="N215" s="40">
        <f>INDEX('[1]Campaign Metadata '!B:B,MATCH(M215,'[1]Campaign Metadata '!A:A,0))</f>
        <v>45717</v>
      </c>
      <c r="O215" s="40">
        <f>INDEX('[1]Campaign Metadata '!C:C,MATCH(M215,'[1]Campaign Metadata '!A:A,0))</f>
        <v>45747</v>
      </c>
      <c r="P215" s="41" t="str">
        <f t="shared" si="6"/>
        <v>BEFORE</v>
      </c>
      <c r="Q215">
        <f>(Posts!$F215+Posts!$G215+Posts!$H215)/Posts!$I215</f>
        <v>0.12555218709398008</v>
      </c>
      <c r="R215" s="1">
        <f t="shared" si="7"/>
        <v>2899</v>
      </c>
    </row>
    <row r="216" spans="1:18" ht="15.75" customHeight="1">
      <c r="A216" s="30" t="s">
        <v>260</v>
      </c>
      <c r="B216" s="31" t="s">
        <v>38</v>
      </c>
      <c r="C216" s="32">
        <v>45672</v>
      </c>
      <c r="D216" s="31" t="s">
        <v>24</v>
      </c>
      <c r="E216" s="31" t="s">
        <v>58</v>
      </c>
      <c r="F216" s="33">
        <v>2599</v>
      </c>
      <c r="G216" s="33">
        <v>324</v>
      </c>
      <c r="H216" s="33">
        <v>182</v>
      </c>
      <c r="I216" s="33">
        <v>37525</v>
      </c>
      <c r="J216" s="33">
        <v>37216</v>
      </c>
      <c r="K216" s="33">
        <v>186</v>
      </c>
      <c r="L216" s="31" t="s">
        <v>40</v>
      </c>
      <c r="M216" s="30" t="s">
        <v>3</v>
      </c>
      <c r="N216" s="34">
        <f>INDEX('[1]Campaign Metadata '!B:B,MATCH(M216,'[1]Campaign Metadata '!A:A,0))</f>
        <v>45717</v>
      </c>
      <c r="O216" s="34">
        <f>INDEX('[1]Campaign Metadata '!C:C,MATCH(M216,'[1]Campaign Metadata '!A:A,0))</f>
        <v>45747</v>
      </c>
      <c r="P216" s="35" t="str">
        <f t="shared" si="6"/>
        <v>BEFORE</v>
      </c>
      <c r="Q216">
        <f>(Posts!$F216+Posts!$G216+Posts!$H216)/Posts!$I216</f>
        <v>8.2744836775483013E-2</v>
      </c>
      <c r="R216" s="1">
        <f t="shared" si="7"/>
        <v>3105</v>
      </c>
    </row>
    <row r="217" spans="1:18" ht="15.75" customHeight="1">
      <c r="A217" s="36" t="s">
        <v>261</v>
      </c>
      <c r="B217" s="37" t="s">
        <v>31</v>
      </c>
      <c r="C217" s="38">
        <v>45669</v>
      </c>
      <c r="D217" s="37" t="s">
        <v>24</v>
      </c>
      <c r="E217" s="37" t="s">
        <v>39</v>
      </c>
      <c r="F217" s="39">
        <v>1765</v>
      </c>
      <c r="G217" s="39">
        <v>285</v>
      </c>
      <c r="H217" s="39">
        <v>100</v>
      </c>
      <c r="I217" s="39">
        <v>41313</v>
      </c>
      <c r="J217" s="39">
        <v>56575</v>
      </c>
      <c r="K217" s="39">
        <v>174</v>
      </c>
      <c r="L217" s="37" t="s">
        <v>52</v>
      </c>
      <c r="M217" s="36" t="s">
        <v>3</v>
      </c>
      <c r="N217" s="40">
        <f>INDEX('[1]Campaign Metadata '!B:B,MATCH(M217,'[1]Campaign Metadata '!A:A,0))</f>
        <v>45717</v>
      </c>
      <c r="O217" s="40">
        <f>INDEX('[1]Campaign Metadata '!C:C,MATCH(M217,'[1]Campaign Metadata '!A:A,0))</f>
        <v>45747</v>
      </c>
      <c r="P217" s="41" t="str">
        <f t="shared" si="6"/>
        <v>BEFORE</v>
      </c>
      <c r="Q217">
        <f>(Posts!$F217+Posts!$G217+Posts!$H217)/Posts!$I217</f>
        <v>5.2041730205988429E-2</v>
      </c>
      <c r="R217" s="1">
        <f t="shared" si="7"/>
        <v>2150</v>
      </c>
    </row>
    <row r="218" spans="1:18" ht="15.75" customHeight="1">
      <c r="A218" s="30" t="s">
        <v>262</v>
      </c>
      <c r="B218" s="31" t="s">
        <v>23</v>
      </c>
      <c r="C218" s="32">
        <v>45808</v>
      </c>
      <c r="D218" s="31" t="s">
        <v>24</v>
      </c>
      <c r="E218" s="31" t="s">
        <v>42</v>
      </c>
      <c r="F218" s="33">
        <v>2169</v>
      </c>
      <c r="G218" s="33">
        <v>240</v>
      </c>
      <c r="H218" s="33">
        <v>57</v>
      </c>
      <c r="I218" s="33">
        <v>26109</v>
      </c>
      <c r="J218" s="33">
        <v>46667</v>
      </c>
      <c r="K218" s="33">
        <v>133</v>
      </c>
      <c r="L218" s="31" t="s">
        <v>26</v>
      </c>
      <c r="M218" s="30" t="s">
        <v>2</v>
      </c>
      <c r="N218" s="34">
        <f>INDEX('[1]Campaign Metadata '!B:B,MATCH(M218,'[1]Campaign Metadata '!A:A,0))</f>
        <v>45667</v>
      </c>
      <c r="O218" s="34">
        <f>INDEX('[1]Campaign Metadata '!C:C,MATCH(M218,'[1]Campaign Metadata '!A:A,0))</f>
        <v>45698</v>
      </c>
      <c r="P218" s="35" t="str">
        <f t="shared" si="6"/>
        <v>AFTER</v>
      </c>
      <c r="Q218">
        <f>(Posts!$F218+Posts!$G218+Posts!$H218)/Posts!$I218</f>
        <v>9.4450189589796618E-2</v>
      </c>
      <c r="R218" s="1">
        <f t="shared" si="7"/>
        <v>2466</v>
      </c>
    </row>
    <row r="219" spans="1:18" ht="15.75" customHeight="1">
      <c r="A219" s="36" t="s">
        <v>263</v>
      </c>
      <c r="B219" s="37" t="s">
        <v>31</v>
      </c>
      <c r="C219" s="38">
        <v>45579</v>
      </c>
      <c r="D219" s="37" t="s">
        <v>32</v>
      </c>
      <c r="E219" s="37" t="s">
        <v>28</v>
      </c>
      <c r="F219" s="39">
        <v>4303</v>
      </c>
      <c r="G219" s="39">
        <v>306</v>
      </c>
      <c r="H219" s="39">
        <v>302</v>
      </c>
      <c r="I219" s="39">
        <v>39575</v>
      </c>
      <c r="J219" s="39">
        <v>33762</v>
      </c>
      <c r="K219" s="39">
        <v>265</v>
      </c>
      <c r="L219" s="37" t="s">
        <v>46</v>
      </c>
      <c r="M219" s="36" t="s">
        <v>2</v>
      </c>
      <c r="N219" s="40">
        <f>INDEX('[1]Campaign Metadata '!B:B,MATCH(M219,'[1]Campaign Metadata '!A:A,0))</f>
        <v>45667</v>
      </c>
      <c r="O219" s="40">
        <f>INDEX('[1]Campaign Metadata '!C:C,MATCH(M219,'[1]Campaign Metadata '!A:A,0))</f>
        <v>45698</v>
      </c>
      <c r="P219" s="41" t="str">
        <f t="shared" si="6"/>
        <v>BEFORE</v>
      </c>
      <c r="Q219">
        <f>(Posts!$F219+Posts!$G219+Posts!$H219)/Posts!$I219</f>
        <v>0.12409349336702463</v>
      </c>
      <c r="R219" s="1">
        <f t="shared" si="7"/>
        <v>4911</v>
      </c>
    </row>
    <row r="220" spans="1:18" ht="15.75" customHeight="1">
      <c r="A220" s="30" t="s">
        <v>264</v>
      </c>
      <c r="B220" s="31" t="s">
        <v>31</v>
      </c>
      <c r="C220" s="32">
        <v>45332</v>
      </c>
      <c r="D220" s="31" t="s">
        <v>24</v>
      </c>
      <c r="E220" s="31" t="s">
        <v>56</v>
      </c>
      <c r="F220" s="33">
        <v>1519</v>
      </c>
      <c r="G220" s="33">
        <v>456</v>
      </c>
      <c r="H220" s="33">
        <v>379</v>
      </c>
      <c r="I220" s="33">
        <v>51611</v>
      </c>
      <c r="J220" s="33">
        <v>45880</v>
      </c>
      <c r="K220" s="33">
        <v>176</v>
      </c>
      <c r="L220" s="31" t="s">
        <v>52</v>
      </c>
      <c r="M220" s="30" t="s">
        <v>3</v>
      </c>
      <c r="N220" s="34">
        <f>INDEX('[1]Campaign Metadata '!B:B,MATCH(M220,'[1]Campaign Metadata '!A:A,0))</f>
        <v>45717</v>
      </c>
      <c r="O220" s="34">
        <f>INDEX('[1]Campaign Metadata '!C:C,MATCH(M220,'[1]Campaign Metadata '!A:A,0))</f>
        <v>45747</v>
      </c>
      <c r="P220" s="35" t="str">
        <f t="shared" si="6"/>
        <v>BEFORE</v>
      </c>
      <c r="Q220">
        <f>(Posts!$F220+Posts!$G220+Posts!$H220)/Posts!$I220</f>
        <v>4.5610431884675749E-2</v>
      </c>
      <c r="R220" s="1">
        <f t="shared" si="7"/>
        <v>2354</v>
      </c>
    </row>
    <row r="221" spans="1:18" ht="15.75" customHeight="1">
      <c r="A221" s="36" t="s">
        <v>265</v>
      </c>
      <c r="B221" s="37" t="s">
        <v>38</v>
      </c>
      <c r="C221" s="38">
        <v>45636</v>
      </c>
      <c r="D221" s="37" t="s">
        <v>24</v>
      </c>
      <c r="E221" s="37" t="s">
        <v>42</v>
      </c>
      <c r="F221" s="39">
        <v>2569</v>
      </c>
      <c r="G221" s="39">
        <v>140</v>
      </c>
      <c r="H221" s="39">
        <v>375</v>
      </c>
      <c r="I221" s="39">
        <v>38372</v>
      </c>
      <c r="J221" s="39">
        <v>22102</v>
      </c>
      <c r="K221" s="39">
        <v>255</v>
      </c>
      <c r="L221" s="37" t="s">
        <v>40</v>
      </c>
      <c r="M221" s="36" t="s">
        <v>3</v>
      </c>
      <c r="N221" s="40">
        <f>INDEX('[1]Campaign Metadata '!B:B,MATCH(M221,'[1]Campaign Metadata '!A:A,0))</f>
        <v>45717</v>
      </c>
      <c r="O221" s="40">
        <f>INDEX('[1]Campaign Metadata '!C:C,MATCH(M221,'[1]Campaign Metadata '!A:A,0))</f>
        <v>45747</v>
      </c>
      <c r="P221" s="41" t="str">
        <f t="shared" si="6"/>
        <v>BEFORE</v>
      </c>
      <c r="Q221">
        <f>(Posts!$F221+Posts!$G221+Posts!$H221)/Posts!$I221</f>
        <v>8.0371103929948923E-2</v>
      </c>
      <c r="R221" s="1">
        <f t="shared" si="7"/>
        <v>3084</v>
      </c>
    </row>
    <row r="222" spans="1:18" ht="15.75" customHeight="1">
      <c r="A222" s="30" t="s">
        <v>266</v>
      </c>
      <c r="B222" s="31" t="s">
        <v>31</v>
      </c>
      <c r="C222" s="32">
        <v>45786</v>
      </c>
      <c r="D222" s="31" t="s">
        <v>32</v>
      </c>
      <c r="E222" s="31" t="s">
        <v>39</v>
      </c>
      <c r="F222" s="33">
        <v>2778</v>
      </c>
      <c r="G222" s="33">
        <v>241</v>
      </c>
      <c r="H222" s="33">
        <v>317</v>
      </c>
      <c r="I222" s="33">
        <v>26247</v>
      </c>
      <c r="J222" s="33">
        <v>20677</v>
      </c>
      <c r="K222" s="33">
        <v>282</v>
      </c>
      <c r="L222" s="31" t="s">
        <v>34</v>
      </c>
      <c r="M222" s="30" t="s">
        <v>2</v>
      </c>
      <c r="N222" s="34">
        <f>INDEX('[1]Campaign Metadata '!B:B,MATCH(M222,'[1]Campaign Metadata '!A:A,0))</f>
        <v>45667</v>
      </c>
      <c r="O222" s="34">
        <f>INDEX('[1]Campaign Metadata '!C:C,MATCH(M222,'[1]Campaign Metadata '!A:A,0))</f>
        <v>45698</v>
      </c>
      <c r="P222" s="35" t="str">
        <f t="shared" si="6"/>
        <v>AFTER</v>
      </c>
      <c r="Q222">
        <f>(Posts!$F222+Posts!$G222+Posts!$H222)/Posts!$I222</f>
        <v>0.1271002400274317</v>
      </c>
      <c r="R222" s="1">
        <f t="shared" si="7"/>
        <v>3336</v>
      </c>
    </row>
    <row r="223" spans="1:18" ht="15.75" customHeight="1">
      <c r="A223" s="36" t="s">
        <v>267</v>
      </c>
      <c r="B223" s="37" t="s">
        <v>31</v>
      </c>
      <c r="C223" s="38">
        <v>45829</v>
      </c>
      <c r="D223" s="37" t="s">
        <v>24</v>
      </c>
      <c r="E223" s="37" t="s">
        <v>28</v>
      </c>
      <c r="F223" s="39">
        <v>3611</v>
      </c>
      <c r="G223" s="39">
        <v>127</v>
      </c>
      <c r="H223" s="39">
        <v>139</v>
      </c>
      <c r="I223" s="39">
        <v>44768</v>
      </c>
      <c r="J223" s="39">
        <v>29435</v>
      </c>
      <c r="K223" s="39">
        <v>178</v>
      </c>
      <c r="L223" s="37" t="s">
        <v>49</v>
      </c>
      <c r="M223" s="36" t="s">
        <v>2</v>
      </c>
      <c r="N223" s="40">
        <f>INDEX('[1]Campaign Metadata '!B:B,MATCH(M223,'[1]Campaign Metadata '!A:A,0))</f>
        <v>45667</v>
      </c>
      <c r="O223" s="40">
        <f>INDEX('[1]Campaign Metadata '!C:C,MATCH(M223,'[1]Campaign Metadata '!A:A,0))</f>
        <v>45698</v>
      </c>
      <c r="P223" s="41" t="str">
        <f t="shared" si="6"/>
        <v>AFTER</v>
      </c>
      <c r="Q223">
        <f>(Posts!$F223+Posts!$G223+Posts!$H223)/Posts!$I223</f>
        <v>8.6602037169406718E-2</v>
      </c>
      <c r="R223" s="1">
        <f t="shared" si="7"/>
        <v>3877</v>
      </c>
    </row>
    <row r="224" spans="1:18" ht="15.75" customHeight="1">
      <c r="A224" s="30" t="s">
        <v>268</v>
      </c>
      <c r="B224" s="31" t="s">
        <v>31</v>
      </c>
      <c r="C224" s="32">
        <v>45462</v>
      </c>
      <c r="D224" s="31" t="s">
        <v>24</v>
      </c>
      <c r="E224" s="31" t="s">
        <v>42</v>
      </c>
      <c r="F224" s="33">
        <v>1224</v>
      </c>
      <c r="G224" s="33">
        <v>168</v>
      </c>
      <c r="H224" s="33">
        <v>199</v>
      </c>
      <c r="I224" s="33">
        <v>54232</v>
      </c>
      <c r="J224" s="33">
        <v>52844</v>
      </c>
      <c r="K224" s="33">
        <v>271</v>
      </c>
      <c r="L224" s="31" t="s">
        <v>52</v>
      </c>
      <c r="M224" s="30" t="s">
        <v>3</v>
      </c>
      <c r="N224" s="34">
        <f>INDEX('[1]Campaign Metadata '!B:B,MATCH(M224,'[1]Campaign Metadata '!A:A,0))</f>
        <v>45717</v>
      </c>
      <c r="O224" s="34">
        <f>INDEX('[1]Campaign Metadata '!C:C,MATCH(M224,'[1]Campaign Metadata '!A:A,0))</f>
        <v>45747</v>
      </c>
      <c r="P224" s="35" t="str">
        <f t="shared" si="6"/>
        <v>BEFORE</v>
      </c>
      <c r="Q224">
        <f>(Posts!$F224+Posts!$G224+Posts!$H224)/Posts!$I224</f>
        <v>2.9336922849977874E-2</v>
      </c>
      <c r="R224" s="1">
        <f t="shared" si="7"/>
        <v>1591</v>
      </c>
    </row>
    <row r="225" spans="1:18" ht="15.75" customHeight="1">
      <c r="A225" s="36" t="s">
        <v>269</v>
      </c>
      <c r="B225" s="37" t="s">
        <v>31</v>
      </c>
      <c r="C225" s="38">
        <v>45636</v>
      </c>
      <c r="D225" s="37" t="s">
        <v>24</v>
      </c>
      <c r="E225" s="37" t="s">
        <v>56</v>
      </c>
      <c r="F225" s="39">
        <v>4673</v>
      </c>
      <c r="G225" s="39">
        <v>270</v>
      </c>
      <c r="H225" s="39">
        <v>93</v>
      </c>
      <c r="I225" s="39">
        <v>45260</v>
      </c>
      <c r="J225" s="39">
        <v>57513</v>
      </c>
      <c r="K225" s="39">
        <v>103</v>
      </c>
      <c r="L225" s="37" t="s">
        <v>49</v>
      </c>
      <c r="M225" s="36" t="s">
        <v>2</v>
      </c>
      <c r="N225" s="40">
        <f>INDEX('[1]Campaign Metadata '!B:B,MATCH(M225,'[1]Campaign Metadata '!A:A,0))</f>
        <v>45667</v>
      </c>
      <c r="O225" s="40">
        <f>INDEX('[1]Campaign Metadata '!C:C,MATCH(M225,'[1]Campaign Metadata '!A:A,0))</f>
        <v>45698</v>
      </c>
      <c r="P225" s="41" t="str">
        <f t="shared" si="6"/>
        <v>BEFORE</v>
      </c>
      <c r="Q225">
        <f>(Posts!$F225+Posts!$G225+Posts!$H225)/Posts!$I225</f>
        <v>0.11126822801590809</v>
      </c>
      <c r="R225" s="1">
        <f t="shared" si="7"/>
        <v>5036</v>
      </c>
    </row>
    <row r="226" spans="1:18" ht="15.75" customHeight="1">
      <c r="A226" s="30" t="s">
        <v>270</v>
      </c>
      <c r="B226" s="31" t="s">
        <v>38</v>
      </c>
      <c r="C226" s="32">
        <v>45323</v>
      </c>
      <c r="D226" s="31" t="s">
        <v>24</v>
      </c>
      <c r="E226" s="31" t="s">
        <v>36</v>
      </c>
      <c r="F226" s="33">
        <v>1432</v>
      </c>
      <c r="G226" s="33">
        <v>437</v>
      </c>
      <c r="H226" s="33">
        <v>267</v>
      </c>
      <c r="I226" s="33">
        <v>40634</v>
      </c>
      <c r="J226" s="33">
        <v>54511</v>
      </c>
      <c r="K226" s="33">
        <v>197</v>
      </c>
      <c r="L226" s="31" t="s">
        <v>40</v>
      </c>
      <c r="M226" s="30" t="s">
        <v>3</v>
      </c>
      <c r="N226" s="34">
        <f>INDEX('[1]Campaign Metadata '!B:B,MATCH(M226,'[1]Campaign Metadata '!A:A,0))</f>
        <v>45717</v>
      </c>
      <c r="O226" s="34">
        <f>INDEX('[1]Campaign Metadata '!C:C,MATCH(M226,'[1]Campaign Metadata '!A:A,0))</f>
        <v>45747</v>
      </c>
      <c r="P226" s="35" t="str">
        <f t="shared" si="6"/>
        <v>BEFORE</v>
      </c>
      <c r="Q226">
        <f>(Posts!$F226+Posts!$G226+Posts!$H226)/Posts!$I226</f>
        <v>5.2566815966924252E-2</v>
      </c>
      <c r="R226" s="1">
        <f t="shared" si="7"/>
        <v>2136</v>
      </c>
    </row>
    <row r="227" spans="1:18" ht="15.75" customHeight="1">
      <c r="A227" s="36" t="s">
        <v>271</v>
      </c>
      <c r="B227" s="37" t="s">
        <v>31</v>
      </c>
      <c r="C227" s="38">
        <v>45308</v>
      </c>
      <c r="D227" s="37" t="s">
        <v>32</v>
      </c>
      <c r="E227" s="37" t="s">
        <v>33</v>
      </c>
      <c r="F227" s="39">
        <v>2174</v>
      </c>
      <c r="G227" s="39">
        <v>499</v>
      </c>
      <c r="H227" s="39">
        <v>212</v>
      </c>
      <c r="I227" s="39">
        <v>54938</v>
      </c>
      <c r="J227" s="39">
        <v>27190</v>
      </c>
      <c r="K227" s="39">
        <v>265</v>
      </c>
      <c r="L227" s="37" t="s">
        <v>34</v>
      </c>
      <c r="M227" s="36" t="s">
        <v>2</v>
      </c>
      <c r="N227" s="40">
        <f>INDEX('[1]Campaign Metadata '!B:B,MATCH(M227,'[1]Campaign Metadata '!A:A,0))</f>
        <v>45667</v>
      </c>
      <c r="O227" s="40">
        <f>INDEX('[1]Campaign Metadata '!C:C,MATCH(M227,'[1]Campaign Metadata '!A:A,0))</f>
        <v>45698</v>
      </c>
      <c r="P227" s="41" t="str">
        <f t="shared" si="6"/>
        <v>BEFORE</v>
      </c>
      <c r="Q227">
        <f>(Posts!$F227+Posts!$G227+Posts!$H227)/Posts!$I227</f>
        <v>5.2513742764570971E-2</v>
      </c>
      <c r="R227" s="1">
        <f t="shared" si="7"/>
        <v>2885</v>
      </c>
    </row>
    <row r="228" spans="1:18" ht="15.75" customHeight="1">
      <c r="A228" s="30" t="s">
        <v>272</v>
      </c>
      <c r="B228" s="31" t="s">
        <v>38</v>
      </c>
      <c r="C228" s="32">
        <v>45738</v>
      </c>
      <c r="D228" s="31" t="s">
        <v>24</v>
      </c>
      <c r="E228" s="31" t="s">
        <v>39</v>
      </c>
      <c r="F228" s="33">
        <v>4308</v>
      </c>
      <c r="G228" s="33">
        <v>171</v>
      </c>
      <c r="H228" s="33">
        <v>106</v>
      </c>
      <c r="I228" s="33">
        <v>36955</v>
      </c>
      <c r="J228" s="33">
        <v>23949</v>
      </c>
      <c r="K228" s="33">
        <v>294</v>
      </c>
      <c r="L228" s="31" t="s">
        <v>40</v>
      </c>
      <c r="M228" s="30" t="s">
        <v>3</v>
      </c>
      <c r="N228" s="34">
        <f>INDEX('[1]Campaign Metadata '!B:B,MATCH(M228,'[1]Campaign Metadata '!A:A,0))</f>
        <v>45717</v>
      </c>
      <c r="O228" s="34">
        <f>INDEX('[1]Campaign Metadata '!C:C,MATCH(M228,'[1]Campaign Metadata '!A:A,0))</f>
        <v>45747</v>
      </c>
      <c r="P228" s="35" t="str">
        <f t="shared" si="6"/>
        <v>DURING</v>
      </c>
      <c r="Q228">
        <f>(Posts!$F228+Posts!$G228+Posts!$H228)/Posts!$I228</f>
        <v>0.12406981463942633</v>
      </c>
      <c r="R228" s="1">
        <f t="shared" si="7"/>
        <v>4585</v>
      </c>
    </row>
    <row r="229" spans="1:18" ht="15.75" customHeight="1">
      <c r="A229" s="36" t="s">
        <v>273</v>
      </c>
      <c r="B229" s="37" t="s">
        <v>38</v>
      </c>
      <c r="C229" s="38">
        <v>45442</v>
      </c>
      <c r="D229" s="37" t="s">
        <v>63</v>
      </c>
      <c r="E229" s="37" t="s">
        <v>42</v>
      </c>
      <c r="F229" s="39">
        <v>1060</v>
      </c>
      <c r="G229" s="39">
        <v>442</v>
      </c>
      <c r="H229" s="39">
        <v>319</v>
      </c>
      <c r="I229" s="39">
        <v>57194</v>
      </c>
      <c r="J229" s="39">
        <v>24258</v>
      </c>
      <c r="K229" s="39">
        <v>101</v>
      </c>
      <c r="L229" s="37" t="s">
        <v>64</v>
      </c>
      <c r="M229" s="36" t="s">
        <v>0</v>
      </c>
      <c r="N229" s="40">
        <f>INDEX('[1]Campaign Metadata '!B:B,MATCH(M229,'[1]Campaign Metadata '!A:A,0))</f>
        <v>45458</v>
      </c>
      <c r="O229" s="40">
        <f>INDEX('[1]Campaign Metadata '!C:C,MATCH(M229,'[1]Campaign Metadata '!A:A,0))</f>
        <v>45488</v>
      </c>
      <c r="P229" s="41" t="str">
        <f t="shared" si="6"/>
        <v>BEFORE</v>
      </c>
      <c r="Q229">
        <f>(Posts!$F229+Posts!$G229+Posts!$H229)/Posts!$I229</f>
        <v>3.1839004091338254E-2</v>
      </c>
      <c r="R229" s="1">
        <f t="shared" si="7"/>
        <v>1821</v>
      </c>
    </row>
    <row r="230" spans="1:18" ht="15.75" customHeight="1">
      <c r="A230" s="30" t="s">
        <v>274</v>
      </c>
      <c r="B230" s="31" t="s">
        <v>38</v>
      </c>
      <c r="C230" s="32">
        <v>45346</v>
      </c>
      <c r="D230" s="31" t="s">
        <v>24</v>
      </c>
      <c r="E230" s="31" t="s">
        <v>39</v>
      </c>
      <c r="F230" s="33">
        <v>4653</v>
      </c>
      <c r="G230" s="33">
        <v>226</v>
      </c>
      <c r="H230" s="33">
        <v>349</v>
      </c>
      <c r="I230" s="33">
        <v>56876</v>
      </c>
      <c r="J230" s="33">
        <v>28452</v>
      </c>
      <c r="K230" s="33">
        <v>257</v>
      </c>
      <c r="L230" s="31" t="s">
        <v>40</v>
      </c>
      <c r="M230" s="30" t="s">
        <v>3</v>
      </c>
      <c r="N230" s="34">
        <f>INDEX('[1]Campaign Metadata '!B:B,MATCH(M230,'[1]Campaign Metadata '!A:A,0))</f>
        <v>45717</v>
      </c>
      <c r="O230" s="34">
        <f>INDEX('[1]Campaign Metadata '!C:C,MATCH(M230,'[1]Campaign Metadata '!A:A,0))</f>
        <v>45747</v>
      </c>
      <c r="P230" s="35" t="str">
        <f t="shared" si="6"/>
        <v>BEFORE</v>
      </c>
      <c r="Q230">
        <f>(Posts!$F230+Posts!$G230+Posts!$H230)/Posts!$I230</f>
        <v>9.191926295801392E-2</v>
      </c>
      <c r="R230" s="1">
        <f t="shared" si="7"/>
        <v>5228</v>
      </c>
    </row>
    <row r="231" spans="1:18" ht="15.75" customHeight="1">
      <c r="A231" s="36" t="s">
        <v>275</v>
      </c>
      <c r="B231" s="37" t="s">
        <v>38</v>
      </c>
      <c r="C231" s="38">
        <v>45791</v>
      </c>
      <c r="D231" s="37" t="s">
        <v>24</v>
      </c>
      <c r="E231" s="37" t="s">
        <v>25</v>
      </c>
      <c r="F231" s="39">
        <v>1701</v>
      </c>
      <c r="G231" s="39">
        <v>272</v>
      </c>
      <c r="H231" s="39">
        <v>385</v>
      </c>
      <c r="I231" s="39">
        <v>47496</v>
      </c>
      <c r="J231" s="39">
        <v>40832</v>
      </c>
      <c r="K231" s="39">
        <v>246</v>
      </c>
      <c r="L231" s="37" t="s">
        <v>40</v>
      </c>
      <c r="M231" s="36" t="s">
        <v>3</v>
      </c>
      <c r="N231" s="40">
        <f>INDEX('[1]Campaign Metadata '!B:B,MATCH(M231,'[1]Campaign Metadata '!A:A,0))</f>
        <v>45717</v>
      </c>
      <c r="O231" s="40">
        <f>INDEX('[1]Campaign Metadata '!C:C,MATCH(M231,'[1]Campaign Metadata '!A:A,0))</f>
        <v>45747</v>
      </c>
      <c r="P231" s="41" t="str">
        <f t="shared" si="6"/>
        <v>AFTER</v>
      </c>
      <c r="Q231">
        <f>(Posts!$F231+Posts!$G231+Posts!$H231)/Posts!$I231</f>
        <v>4.9646286003031836E-2</v>
      </c>
      <c r="R231" s="1">
        <f t="shared" si="7"/>
        <v>2358</v>
      </c>
    </row>
    <row r="232" spans="1:18" ht="15.75" customHeight="1">
      <c r="A232" s="30" t="s">
        <v>276</v>
      </c>
      <c r="B232" s="31" t="s">
        <v>23</v>
      </c>
      <c r="C232" s="32">
        <v>45379</v>
      </c>
      <c r="D232" s="31" t="s">
        <v>24</v>
      </c>
      <c r="E232" s="31" t="s">
        <v>42</v>
      </c>
      <c r="F232" s="33">
        <v>1673</v>
      </c>
      <c r="G232" s="33">
        <v>280</v>
      </c>
      <c r="H232" s="33">
        <v>67</v>
      </c>
      <c r="I232" s="33">
        <v>29847</v>
      </c>
      <c r="J232" s="33">
        <v>48016</v>
      </c>
      <c r="K232" s="33">
        <v>213</v>
      </c>
      <c r="L232" s="31" t="s">
        <v>26</v>
      </c>
      <c r="M232" s="30" t="s">
        <v>2</v>
      </c>
      <c r="N232" s="34">
        <f>INDEX('[1]Campaign Metadata '!B:B,MATCH(M232,'[1]Campaign Metadata '!A:A,0))</f>
        <v>45667</v>
      </c>
      <c r="O232" s="34">
        <f>INDEX('[1]Campaign Metadata '!C:C,MATCH(M232,'[1]Campaign Metadata '!A:A,0))</f>
        <v>45698</v>
      </c>
      <c r="P232" s="35" t="str">
        <f t="shared" si="6"/>
        <v>BEFORE</v>
      </c>
      <c r="Q232">
        <f>(Posts!$F232+Posts!$G232+Posts!$H232)/Posts!$I232</f>
        <v>6.76784936509532E-2</v>
      </c>
      <c r="R232" s="1">
        <f t="shared" si="7"/>
        <v>2020</v>
      </c>
    </row>
    <row r="233" spans="1:18" ht="15.75" customHeight="1">
      <c r="A233" s="36" t="s">
        <v>277</v>
      </c>
      <c r="B233" s="37" t="s">
        <v>38</v>
      </c>
      <c r="C233" s="38">
        <v>45723</v>
      </c>
      <c r="D233" s="37" t="s">
        <v>24</v>
      </c>
      <c r="E233" s="37" t="s">
        <v>48</v>
      </c>
      <c r="F233" s="39">
        <v>4310</v>
      </c>
      <c r="G233" s="39">
        <v>284</v>
      </c>
      <c r="H233" s="39">
        <v>306</v>
      </c>
      <c r="I233" s="39">
        <v>44606</v>
      </c>
      <c r="J233" s="39">
        <v>42604</v>
      </c>
      <c r="K233" s="39">
        <v>290</v>
      </c>
      <c r="L233" s="37" t="s">
        <v>40</v>
      </c>
      <c r="M233" s="36" t="s">
        <v>3</v>
      </c>
      <c r="N233" s="40">
        <f>INDEX('[1]Campaign Metadata '!B:B,MATCH(M233,'[1]Campaign Metadata '!A:A,0))</f>
        <v>45717</v>
      </c>
      <c r="O233" s="40">
        <f>INDEX('[1]Campaign Metadata '!C:C,MATCH(M233,'[1]Campaign Metadata '!A:A,0))</f>
        <v>45747</v>
      </c>
      <c r="P233" s="41" t="str">
        <f t="shared" si="6"/>
        <v>DURING</v>
      </c>
      <c r="Q233">
        <f>(Posts!$F233+Posts!$G233+Posts!$H233)/Posts!$I233</f>
        <v>0.10985069273191947</v>
      </c>
      <c r="R233" s="1">
        <f t="shared" si="7"/>
        <v>4900</v>
      </c>
    </row>
    <row r="234" spans="1:18" ht="15.75" customHeight="1">
      <c r="A234" s="30" t="s">
        <v>278</v>
      </c>
      <c r="B234" s="31" t="s">
        <v>31</v>
      </c>
      <c r="C234" s="32">
        <v>45585</v>
      </c>
      <c r="D234" s="31" t="s">
        <v>24</v>
      </c>
      <c r="E234" s="31" t="s">
        <v>56</v>
      </c>
      <c r="F234" s="33">
        <v>2752</v>
      </c>
      <c r="G234" s="33">
        <v>309</v>
      </c>
      <c r="H234" s="33">
        <v>91</v>
      </c>
      <c r="I234" s="33">
        <v>39038</v>
      </c>
      <c r="J234" s="33">
        <v>28095</v>
      </c>
      <c r="K234" s="33">
        <v>277</v>
      </c>
      <c r="L234" s="31" t="s">
        <v>49</v>
      </c>
      <c r="M234" s="30" t="s">
        <v>2</v>
      </c>
      <c r="N234" s="34">
        <f>INDEX('[1]Campaign Metadata '!B:B,MATCH(M234,'[1]Campaign Metadata '!A:A,0))</f>
        <v>45667</v>
      </c>
      <c r="O234" s="34">
        <f>INDEX('[1]Campaign Metadata '!C:C,MATCH(M234,'[1]Campaign Metadata '!A:A,0))</f>
        <v>45698</v>
      </c>
      <c r="P234" s="35" t="str">
        <f t="shared" si="6"/>
        <v>BEFORE</v>
      </c>
      <c r="Q234">
        <f>(Posts!$F234+Posts!$G234+Posts!$H234)/Posts!$I234</f>
        <v>8.0741841282852611E-2</v>
      </c>
      <c r="R234" s="1">
        <f t="shared" si="7"/>
        <v>3152</v>
      </c>
    </row>
    <row r="235" spans="1:18" ht="15.75" customHeight="1">
      <c r="A235" s="36" t="s">
        <v>279</v>
      </c>
      <c r="B235" s="37" t="s">
        <v>31</v>
      </c>
      <c r="C235" s="38">
        <v>45324</v>
      </c>
      <c r="D235" s="37" t="s">
        <v>24</v>
      </c>
      <c r="E235" s="37" t="s">
        <v>56</v>
      </c>
      <c r="F235" s="39">
        <v>3818</v>
      </c>
      <c r="G235" s="39">
        <v>115</v>
      </c>
      <c r="H235" s="39">
        <v>286</v>
      </c>
      <c r="I235" s="39">
        <v>25127</v>
      </c>
      <c r="J235" s="39">
        <v>22277</v>
      </c>
      <c r="K235" s="39">
        <v>263</v>
      </c>
      <c r="L235" s="37" t="s">
        <v>49</v>
      </c>
      <c r="M235" s="36" t="s">
        <v>2</v>
      </c>
      <c r="N235" s="40">
        <f>INDEX('[1]Campaign Metadata '!B:B,MATCH(M235,'[1]Campaign Metadata '!A:A,0))</f>
        <v>45667</v>
      </c>
      <c r="O235" s="40">
        <f>INDEX('[1]Campaign Metadata '!C:C,MATCH(M235,'[1]Campaign Metadata '!A:A,0))</f>
        <v>45698</v>
      </c>
      <c r="P235" s="41" t="str">
        <f t="shared" si="6"/>
        <v>BEFORE</v>
      </c>
      <c r="Q235">
        <f>(Posts!$F235+Posts!$G235+Posts!$H235)/Posts!$I235</f>
        <v>0.16790703227603773</v>
      </c>
      <c r="R235" s="1">
        <f t="shared" si="7"/>
        <v>4219</v>
      </c>
    </row>
    <row r="236" spans="1:18" ht="15.75" customHeight="1">
      <c r="A236" s="30" t="s">
        <v>280</v>
      </c>
      <c r="B236" s="31" t="s">
        <v>38</v>
      </c>
      <c r="C236" s="32">
        <v>45542</v>
      </c>
      <c r="D236" s="31" t="s">
        <v>24</v>
      </c>
      <c r="E236" s="31" t="s">
        <v>58</v>
      </c>
      <c r="F236" s="33">
        <v>2101</v>
      </c>
      <c r="G236" s="33">
        <v>411</v>
      </c>
      <c r="H236" s="33">
        <v>190</v>
      </c>
      <c r="I236" s="33">
        <v>41791</v>
      </c>
      <c r="J236" s="33">
        <v>57090</v>
      </c>
      <c r="K236" s="33">
        <v>172</v>
      </c>
      <c r="L236" s="31" t="s">
        <v>40</v>
      </c>
      <c r="M236" s="30" t="s">
        <v>3</v>
      </c>
      <c r="N236" s="34">
        <f>INDEX('[1]Campaign Metadata '!B:B,MATCH(M236,'[1]Campaign Metadata '!A:A,0))</f>
        <v>45717</v>
      </c>
      <c r="O236" s="34">
        <f>INDEX('[1]Campaign Metadata '!C:C,MATCH(M236,'[1]Campaign Metadata '!A:A,0))</f>
        <v>45747</v>
      </c>
      <c r="P236" s="35" t="str">
        <f t="shared" si="6"/>
        <v>BEFORE</v>
      </c>
      <c r="Q236">
        <f>(Posts!$F236+Posts!$G236+Posts!$H236)/Posts!$I236</f>
        <v>6.4655069273288512E-2</v>
      </c>
      <c r="R236" s="1">
        <f t="shared" si="7"/>
        <v>2702</v>
      </c>
    </row>
    <row r="237" spans="1:18" ht="15.75" customHeight="1">
      <c r="A237" s="36" t="s">
        <v>281</v>
      </c>
      <c r="B237" s="37" t="s">
        <v>23</v>
      </c>
      <c r="C237" s="38">
        <v>45646</v>
      </c>
      <c r="D237" s="37" t="s">
        <v>24</v>
      </c>
      <c r="E237" s="37" t="s">
        <v>25</v>
      </c>
      <c r="F237" s="39">
        <v>2519</v>
      </c>
      <c r="G237" s="39">
        <v>202</v>
      </c>
      <c r="H237" s="39">
        <v>239</v>
      </c>
      <c r="I237" s="39">
        <v>36245</v>
      </c>
      <c r="J237" s="39">
        <v>48606</v>
      </c>
      <c r="K237" s="39">
        <v>145</v>
      </c>
      <c r="L237" s="37" t="s">
        <v>29</v>
      </c>
      <c r="M237" s="36" t="s">
        <v>3</v>
      </c>
      <c r="N237" s="40">
        <f>INDEX('[1]Campaign Metadata '!B:B,MATCH(M237,'[1]Campaign Metadata '!A:A,0))</f>
        <v>45717</v>
      </c>
      <c r="O237" s="40">
        <f>INDEX('[1]Campaign Metadata '!C:C,MATCH(M237,'[1]Campaign Metadata '!A:A,0))</f>
        <v>45747</v>
      </c>
      <c r="P237" s="41" t="str">
        <f t="shared" si="6"/>
        <v>BEFORE</v>
      </c>
      <c r="Q237">
        <f>(Posts!$F237+Posts!$G237+Posts!$H237)/Posts!$I237</f>
        <v>8.1666436749896543E-2</v>
      </c>
      <c r="R237" s="1">
        <f t="shared" si="7"/>
        <v>2960</v>
      </c>
    </row>
    <row r="238" spans="1:18" ht="15.75" customHeight="1">
      <c r="A238" s="30" t="s">
        <v>282</v>
      </c>
      <c r="B238" s="31" t="s">
        <v>38</v>
      </c>
      <c r="C238" s="32">
        <v>45305</v>
      </c>
      <c r="D238" s="31" t="s">
        <v>24</v>
      </c>
      <c r="E238" s="31" t="s">
        <v>42</v>
      </c>
      <c r="F238" s="33">
        <v>4502</v>
      </c>
      <c r="G238" s="33">
        <v>238</v>
      </c>
      <c r="H238" s="33">
        <v>386</v>
      </c>
      <c r="I238" s="33">
        <v>39198</v>
      </c>
      <c r="J238" s="33">
        <v>25050</v>
      </c>
      <c r="K238" s="33">
        <v>297</v>
      </c>
      <c r="L238" s="31" t="s">
        <v>40</v>
      </c>
      <c r="M238" s="30" t="s">
        <v>3</v>
      </c>
      <c r="N238" s="34">
        <f>INDEX('[1]Campaign Metadata '!B:B,MATCH(M238,'[1]Campaign Metadata '!A:A,0))</f>
        <v>45717</v>
      </c>
      <c r="O238" s="34">
        <f>INDEX('[1]Campaign Metadata '!C:C,MATCH(M238,'[1]Campaign Metadata '!A:A,0))</f>
        <v>45747</v>
      </c>
      <c r="P238" s="35" t="str">
        <f t="shared" si="6"/>
        <v>BEFORE</v>
      </c>
      <c r="Q238">
        <f>(Posts!$F238+Posts!$G238+Posts!$H238)/Posts!$I238</f>
        <v>0.13077197816215114</v>
      </c>
      <c r="R238" s="1">
        <f t="shared" si="7"/>
        <v>5126</v>
      </c>
    </row>
    <row r="239" spans="1:18" ht="15.75" customHeight="1">
      <c r="A239" s="36" t="s">
        <v>283</v>
      </c>
      <c r="B239" s="37" t="s">
        <v>23</v>
      </c>
      <c r="C239" s="38">
        <v>45823</v>
      </c>
      <c r="D239" s="37" t="s">
        <v>24</v>
      </c>
      <c r="E239" s="37" t="s">
        <v>28</v>
      </c>
      <c r="F239" s="39">
        <v>2478</v>
      </c>
      <c r="G239" s="39">
        <v>427</v>
      </c>
      <c r="H239" s="39">
        <v>242</v>
      </c>
      <c r="I239" s="39">
        <v>59272</v>
      </c>
      <c r="J239" s="39">
        <v>37833</v>
      </c>
      <c r="K239" s="39">
        <v>214</v>
      </c>
      <c r="L239" s="37" t="s">
        <v>26</v>
      </c>
      <c r="M239" s="36" t="s">
        <v>2</v>
      </c>
      <c r="N239" s="40">
        <f>INDEX('[1]Campaign Metadata '!B:B,MATCH(M239,'[1]Campaign Metadata '!A:A,0))</f>
        <v>45667</v>
      </c>
      <c r="O239" s="40">
        <f>INDEX('[1]Campaign Metadata '!C:C,MATCH(M239,'[1]Campaign Metadata '!A:A,0))</f>
        <v>45698</v>
      </c>
      <c r="P239" s="41" t="str">
        <f t="shared" si="6"/>
        <v>AFTER</v>
      </c>
      <c r="Q239">
        <f>(Posts!$F239+Posts!$G239+Posts!$H239)/Posts!$I239</f>
        <v>5.3094209744904843E-2</v>
      </c>
      <c r="R239" s="1">
        <f t="shared" si="7"/>
        <v>3147</v>
      </c>
    </row>
    <row r="240" spans="1:18" ht="15.75" customHeight="1">
      <c r="A240" s="30" t="s">
        <v>284</v>
      </c>
      <c r="B240" s="31" t="s">
        <v>31</v>
      </c>
      <c r="C240" s="32">
        <v>45639</v>
      </c>
      <c r="D240" s="31" t="s">
        <v>32</v>
      </c>
      <c r="E240" s="31" t="s">
        <v>33</v>
      </c>
      <c r="F240" s="33">
        <v>4984</v>
      </c>
      <c r="G240" s="33">
        <v>300</v>
      </c>
      <c r="H240" s="33">
        <v>338</v>
      </c>
      <c r="I240" s="33">
        <v>32900</v>
      </c>
      <c r="J240" s="33">
        <v>31691</v>
      </c>
      <c r="K240" s="33">
        <v>160</v>
      </c>
      <c r="L240" s="31" t="s">
        <v>34</v>
      </c>
      <c r="M240" s="30" t="s">
        <v>2</v>
      </c>
      <c r="N240" s="34">
        <f>INDEX('[1]Campaign Metadata '!B:B,MATCH(M240,'[1]Campaign Metadata '!A:A,0))</f>
        <v>45667</v>
      </c>
      <c r="O240" s="34">
        <f>INDEX('[1]Campaign Metadata '!C:C,MATCH(M240,'[1]Campaign Metadata '!A:A,0))</f>
        <v>45698</v>
      </c>
      <c r="P240" s="35" t="str">
        <f t="shared" si="6"/>
        <v>BEFORE</v>
      </c>
      <c r="Q240">
        <f>(Posts!$F240+Posts!$G240+Posts!$H240)/Posts!$I240</f>
        <v>0.17088145896656534</v>
      </c>
      <c r="R240" s="1">
        <f t="shared" si="7"/>
        <v>5622</v>
      </c>
    </row>
    <row r="241" spans="1:18" ht="15.75" customHeight="1">
      <c r="A241" s="36" t="s">
        <v>285</v>
      </c>
      <c r="B241" s="37" t="s">
        <v>38</v>
      </c>
      <c r="C241" s="38">
        <v>45533</v>
      </c>
      <c r="D241" s="37" t="s">
        <v>24</v>
      </c>
      <c r="E241" s="37" t="s">
        <v>36</v>
      </c>
      <c r="F241" s="39">
        <v>4774</v>
      </c>
      <c r="G241" s="39">
        <v>389</v>
      </c>
      <c r="H241" s="39">
        <v>358</v>
      </c>
      <c r="I241" s="39">
        <v>52346</v>
      </c>
      <c r="J241" s="39">
        <v>30518</v>
      </c>
      <c r="K241" s="39">
        <v>277</v>
      </c>
      <c r="L241" s="37" t="s">
        <v>40</v>
      </c>
      <c r="M241" s="36" t="s">
        <v>3</v>
      </c>
      <c r="N241" s="40">
        <f>INDEX('[1]Campaign Metadata '!B:B,MATCH(M241,'[1]Campaign Metadata '!A:A,0))</f>
        <v>45717</v>
      </c>
      <c r="O241" s="40">
        <f>INDEX('[1]Campaign Metadata '!C:C,MATCH(M241,'[1]Campaign Metadata '!A:A,0))</f>
        <v>45747</v>
      </c>
      <c r="P241" s="41" t="str">
        <f t="shared" si="6"/>
        <v>BEFORE</v>
      </c>
      <c r="Q241">
        <f>(Posts!$F241+Posts!$G241+Posts!$H241)/Posts!$I241</f>
        <v>0.10547128720437092</v>
      </c>
      <c r="R241" s="1">
        <f t="shared" si="7"/>
        <v>5521</v>
      </c>
    </row>
    <row r="242" spans="1:18" ht="15.75" customHeight="1">
      <c r="A242" s="30" t="s">
        <v>286</v>
      </c>
      <c r="B242" s="31" t="s">
        <v>31</v>
      </c>
      <c r="C242" s="32">
        <v>45550</v>
      </c>
      <c r="D242" s="31" t="s">
        <v>24</v>
      </c>
      <c r="E242" s="31" t="s">
        <v>44</v>
      </c>
      <c r="F242" s="33">
        <v>2145</v>
      </c>
      <c r="G242" s="33">
        <v>340</v>
      </c>
      <c r="H242" s="33">
        <v>85</v>
      </c>
      <c r="I242" s="33">
        <v>53323</v>
      </c>
      <c r="J242" s="33">
        <v>49938</v>
      </c>
      <c r="K242" s="33">
        <v>104</v>
      </c>
      <c r="L242" s="31" t="s">
        <v>49</v>
      </c>
      <c r="M242" s="30" t="s">
        <v>2</v>
      </c>
      <c r="N242" s="34">
        <f>INDEX('[1]Campaign Metadata '!B:B,MATCH(M242,'[1]Campaign Metadata '!A:A,0))</f>
        <v>45667</v>
      </c>
      <c r="O242" s="34">
        <f>INDEX('[1]Campaign Metadata '!C:C,MATCH(M242,'[1]Campaign Metadata '!A:A,0))</f>
        <v>45698</v>
      </c>
      <c r="P242" s="35" t="str">
        <f t="shared" si="6"/>
        <v>BEFORE</v>
      </c>
      <c r="Q242">
        <f>(Posts!$F242+Posts!$G242+Posts!$H242)/Posts!$I242</f>
        <v>4.819683813738912E-2</v>
      </c>
      <c r="R242" s="1">
        <f t="shared" si="7"/>
        <v>2570</v>
      </c>
    </row>
    <row r="243" spans="1:18" ht="15.75" customHeight="1">
      <c r="A243" s="36" t="s">
        <v>287</v>
      </c>
      <c r="B243" s="37" t="s">
        <v>31</v>
      </c>
      <c r="C243" s="38">
        <v>45759</v>
      </c>
      <c r="D243" s="37" t="s">
        <v>32</v>
      </c>
      <c r="E243" s="37" t="s">
        <v>56</v>
      </c>
      <c r="F243" s="39">
        <v>4315</v>
      </c>
      <c r="G243" s="39">
        <v>208</v>
      </c>
      <c r="H243" s="39">
        <v>273</v>
      </c>
      <c r="I243" s="39">
        <v>35780</v>
      </c>
      <c r="J243" s="39">
        <v>44349</v>
      </c>
      <c r="K243" s="39">
        <v>133</v>
      </c>
      <c r="L243" s="37" t="s">
        <v>46</v>
      </c>
      <c r="M243" s="36" t="s">
        <v>2</v>
      </c>
      <c r="N243" s="40">
        <f>INDEX('[1]Campaign Metadata '!B:B,MATCH(M243,'[1]Campaign Metadata '!A:A,0))</f>
        <v>45667</v>
      </c>
      <c r="O243" s="40">
        <f>INDEX('[1]Campaign Metadata '!C:C,MATCH(M243,'[1]Campaign Metadata '!A:A,0))</f>
        <v>45698</v>
      </c>
      <c r="P243" s="41" t="str">
        <f t="shared" si="6"/>
        <v>AFTER</v>
      </c>
      <c r="Q243">
        <f>(Posts!$F243+Posts!$G243+Posts!$H243)/Posts!$I243</f>
        <v>0.13404136389044158</v>
      </c>
      <c r="R243" s="1">
        <f t="shared" si="7"/>
        <v>4796</v>
      </c>
    </row>
    <row r="244" spans="1:18" ht="15.75" customHeight="1">
      <c r="A244" s="30" t="s">
        <v>288</v>
      </c>
      <c r="B244" s="31" t="s">
        <v>31</v>
      </c>
      <c r="C244" s="32">
        <v>45636</v>
      </c>
      <c r="D244" s="31" t="s">
        <v>32</v>
      </c>
      <c r="E244" s="31" t="s">
        <v>36</v>
      </c>
      <c r="F244" s="33">
        <v>2267</v>
      </c>
      <c r="G244" s="33">
        <v>230</v>
      </c>
      <c r="H244" s="33">
        <v>243</v>
      </c>
      <c r="I244" s="33">
        <v>27904</v>
      </c>
      <c r="J244" s="33">
        <v>69771</v>
      </c>
      <c r="K244" s="33">
        <v>255</v>
      </c>
      <c r="L244" s="31" t="s">
        <v>46</v>
      </c>
      <c r="M244" s="30" t="s">
        <v>2</v>
      </c>
      <c r="N244" s="34">
        <f>INDEX('[1]Campaign Metadata '!B:B,MATCH(M244,'[1]Campaign Metadata '!A:A,0))</f>
        <v>45667</v>
      </c>
      <c r="O244" s="34">
        <f>INDEX('[1]Campaign Metadata '!C:C,MATCH(M244,'[1]Campaign Metadata '!A:A,0))</f>
        <v>45698</v>
      </c>
      <c r="P244" s="35" t="str">
        <f t="shared" si="6"/>
        <v>BEFORE</v>
      </c>
      <c r="Q244">
        <f>(Posts!$F244+Posts!$G244+Posts!$H244)/Posts!$I244</f>
        <v>9.8193807339449546E-2</v>
      </c>
      <c r="R244" s="1">
        <f t="shared" si="7"/>
        <v>2740</v>
      </c>
    </row>
    <row r="245" spans="1:18" ht="15.75" customHeight="1">
      <c r="A245" s="36" t="s">
        <v>289</v>
      </c>
      <c r="B245" s="37" t="s">
        <v>38</v>
      </c>
      <c r="C245" s="38">
        <v>45816</v>
      </c>
      <c r="D245" s="37" t="s">
        <v>24</v>
      </c>
      <c r="E245" s="37" t="s">
        <v>39</v>
      </c>
      <c r="F245" s="39">
        <v>4375</v>
      </c>
      <c r="G245" s="39">
        <v>303</v>
      </c>
      <c r="H245" s="39">
        <v>294</v>
      </c>
      <c r="I245" s="39">
        <v>57468</v>
      </c>
      <c r="J245" s="39">
        <v>53397</v>
      </c>
      <c r="K245" s="39">
        <v>159</v>
      </c>
      <c r="L245" s="37" t="s">
        <v>40</v>
      </c>
      <c r="M245" s="36" t="s">
        <v>3</v>
      </c>
      <c r="N245" s="40">
        <f>INDEX('[1]Campaign Metadata '!B:B,MATCH(M245,'[1]Campaign Metadata '!A:A,0))</f>
        <v>45717</v>
      </c>
      <c r="O245" s="40">
        <f>INDEX('[1]Campaign Metadata '!C:C,MATCH(M245,'[1]Campaign Metadata '!A:A,0))</f>
        <v>45747</v>
      </c>
      <c r="P245" s="41" t="str">
        <f t="shared" si="6"/>
        <v>AFTER</v>
      </c>
      <c r="Q245">
        <f>(Posts!$F245+Posts!$G245+Posts!$H245)/Posts!$I245</f>
        <v>8.6517714206166912E-2</v>
      </c>
      <c r="R245" s="1">
        <f t="shared" si="7"/>
        <v>4972</v>
      </c>
    </row>
    <row r="246" spans="1:18" ht="15.75" customHeight="1">
      <c r="A246" s="30" t="s">
        <v>290</v>
      </c>
      <c r="B246" s="31" t="s">
        <v>31</v>
      </c>
      <c r="C246" s="32">
        <v>45666</v>
      </c>
      <c r="D246" s="31" t="s">
        <v>32</v>
      </c>
      <c r="E246" s="31" t="s">
        <v>58</v>
      </c>
      <c r="F246" s="33">
        <v>3817</v>
      </c>
      <c r="G246" s="33">
        <v>284</v>
      </c>
      <c r="H246" s="33">
        <v>204</v>
      </c>
      <c r="I246" s="33">
        <v>46434</v>
      </c>
      <c r="J246" s="33">
        <v>53396</v>
      </c>
      <c r="K246" s="33">
        <v>104</v>
      </c>
      <c r="L246" s="31" t="s">
        <v>34</v>
      </c>
      <c r="M246" s="30" t="s">
        <v>2</v>
      </c>
      <c r="N246" s="34">
        <f>INDEX('[1]Campaign Metadata '!B:B,MATCH(M246,'[1]Campaign Metadata '!A:A,0))</f>
        <v>45667</v>
      </c>
      <c r="O246" s="34">
        <f>INDEX('[1]Campaign Metadata '!C:C,MATCH(M246,'[1]Campaign Metadata '!A:A,0))</f>
        <v>45698</v>
      </c>
      <c r="P246" s="35" t="str">
        <f t="shared" si="6"/>
        <v>BEFORE</v>
      </c>
      <c r="Q246">
        <f>(Posts!$F246+Posts!$G246+Posts!$H246)/Posts!$I246</f>
        <v>9.2712236723090841E-2</v>
      </c>
      <c r="R246" s="1">
        <f t="shared" si="7"/>
        <v>4305</v>
      </c>
    </row>
    <row r="247" spans="1:18" ht="15.75" customHeight="1">
      <c r="A247" s="36" t="s">
        <v>291</v>
      </c>
      <c r="B247" s="37" t="s">
        <v>31</v>
      </c>
      <c r="C247" s="38">
        <v>45481</v>
      </c>
      <c r="D247" s="37" t="s">
        <v>32</v>
      </c>
      <c r="E247" s="37" t="s">
        <v>48</v>
      </c>
      <c r="F247" s="39">
        <v>2981</v>
      </c>
      <c r="G247" s="39">
        <v>258</v>
      </c>
      <c r="H247" s="39">
        <v>168</v>
      </c>
      <c r="I247" s="39">
        <v>20677</v>
      </c>
      <c r="J247" s="39">
        <v>68290</v>
      </c>
      <c r="K247" s="39">
        <v>130</v>
      </c>
      <c r="L247" s="37" t="s">
        <v>26</v>
      </c>
      <c r="M247" s="36" t="s">
        <v>2</v>
      </c>
      <c r="N247" s="40">
        <f>INDEX('[1]Campaign Metadata '!B:B,MATCH(M247,'[1]Campaign Metadata '!A:A,0))</f>
        <v>45667</v>
      </c>
      <c r="O247" s="40">
        <f>INDEX('[1]Campaign Metadata '!C:C,MATCH(M247,'[1]Campaign Metadata '!A:A,0))</f>
        <v>45698</v>
      </c>
      <c r="P247" s="41" t="str">
        <f t="shared" si="6"/>
        <v>BEFORE</v>
      </c>
      <c r="Q247">
        <f>(Posts!$F247+Posts!$G247+Posts!$H247)/Posts!$I247</f>
        <v>0.16477245248343569</v>
      </c>
      <c r="R247" s="1">
        <f t="shared" si="7"/>
        <v>3407</v>
      </c>
    </row>
    <row r="248" spans="1:18" ht="15.75" customHeight="1">
      <c r="A248" s="30" t="s">
        <v>292</v>
      </c>
      <c r="B248" s="31" t="s">
        <v>31</v>
      </c>
      <c r="C248" s="32">
        <v>45551</v>
      </c>
      <c r="D248" s="31" t="s">
        <v>32</v>
      </c>
      <c r="E248" s="31" t="s">
        <v>58</v>
      </c>
      <c r="F248" s="33">
        <v>3300</v>
      </c>
      <c r="G248" s="33">
        <v>354</v>
      </c>
      <c r="H248" s="33">
        <v>397</v>
      </c>
      <c r="I248" s="33">
        <v>56773</v>
      </c>
      <c r="J248" s="33">
        <v>72110</v>
      </c>
      <c r="K248" s="33">
        <v>163</v>
      </c>
      <c r="L248" s="31" t="s">
        <v>46</v>
      </c>
      <c r="M248" s="30" t="s">
        <v>2</v>
      </c>
      <c r="N248" s="34">
        <f>INDEX('[1]Campaign Metadata '!B:B,MATCH(M248,'[1]Campaign Metadata '!A:A,0))</f>
        <v>45667</v>
      </c>
      <c r="O248" s="34">
        <f>INDEX('[1]Campaign Metadata '!C:C,MATCH(M248,'[1]Campaign Metadata '!A:A,0))</f>
        <v>45698</v>
      </c>
      <c r="P248" s="35" t="str">
        <f t="shared" si="6"/>
        <v>BEFORE</v>
      </c>
      <c r="Q248">
        <f>(Posts!$F248+Posts!$G248+Posts!$H248)/Posts!$I248</f>
        <v>7.1354340971940891E-2</v>
      </c>
      <c r="R248" s="1">
        <f t="shared" si="7"/>
        <v>4051</v>
      </c>
    </row>
    <row r="249" spans="1:18" ht="15.75" customHeight="1">
      <c r="A249" s="36" t="s">
        <v>293</v>
      </c>
      <c r="B249" s="37" t="s">
        <v>38</v>
      </c>
      <c r="C249" s="38">
        <v>45457</v>
      </c>
      <c r="D249" s="37" t="s">
        <v>63</v>
      </c>
      <c r="E249" s="37" t="s">
        <v>36</v>
      </c>
      <c r="F249" s="39">
        <v>4722</v>
      </c>
      <c r="G249" s="39">
        <v>310</v>
      </c>
      <c r="H249" s="39">
        <v>344</v>
      </c>
      <c r="I249" s="39">
        <v>27911</v>
      </c>
      <c r="J249" s="39">
        <v>19000</v>
      </c>
      <c r="K249" s="39">
        <v>225</v>
      </c>
      <c r="L249" s="37" t="s">
        <v>64</v>
      </c>
      <c r="M249" s="36" t="s">
        <v>0</v>
      </c>
      <c r="N249" s="40">
        <f>INDEX('[1]Campaign Metadata '!B:B,MATCH(M249,'[1]Campaign Metadata '!A:A,0))</f>
        <v>45458</v>
      </c>
      <c r="O249" s="40">
        <f>INDEX('[1]Campaign Metadata '!C:C,MATCH(M249,'[1]Campaign Metadata '!A:A,0))</f>
        <v>45488</v>
      </c>
      <c r="P249" s="41" t="str">
        <f t="shared" si="6"/>
        <v>BEFORE</v>
      </c>
      <c r="Q249">
        <f>(Posts!$F249+Posts!$G249+Posts!$H249)/Posts!$I249</f>
        <v>0.19261223173659131</v>
      </c>
      <c r="R249" s="1">
        <f t="shared" si="7"/>
        <v>5376</v>
      </c>
    </row>
    <row r="250" spans="1:18" ht="15.75" customHeight="1">
      <c r="A250" s="30" t="s">
        <v>294</v>
      </c>
      <c r="B250" s="31" t="s">
        <v>23</v>
      </c>
      <c r="C250" s="32">
        <v>45357</v>
      </c>
      <c r="D250" s="31" t="s">
        <v>24</v>
      </c>
      <c r="E250" s="31" t="s">
        <v>42</v>
      </c>
      <c r="F250" s="33">
        <v>3529</v>
      </c>
      <c r="G250" s="33">
        <v>263</v>
      </c>
      <c r="H250" s="33">
        <v>107</v>
      </c>
      <c r="I250" s="33">
        <v>26570</v>
      </c>
      <c r="J250" s="33">
        <v>19367</v>
      </c>
      <c r="K250" s="33">
        <v>96</v>
      </c>
      <c r="L250" s="31" t="s">
        <v>29</v>
      </c>
      <c r="M250" s="30" t="s">
        <v>3</v>
      </c>
      <c r="N250" s="34">
        <f>INDEX('[1]Campaign Metadata '!B:B,MATCH(M250,'[1]Campaign Metadata '!A:A,0))</f>
        <v>45717</v>
      </c>
      <c r="O250" s="34">
        <f>INDEX('[1]Campaign Metadata '!C:C,MATCH(M250,'[1]Campaign Metadata '!A:A,0))</f>
        <v>45747</v>
      </c>
      <c r="P250" s="35" t="str">
        <f t="shared" si="6"/>
        <v>BEFORE</v>
      </c>
      <c r="Q250">
        <f>(Posts!$F250+Posts!$G250+Posts!$H250)/Posts!$I250</f>
        <v>0.14674444862627023</v>
      </c>
      <c r="R250" s="1">
        <f t="shared" si="7"/>
        <v>3899</v>
      </c>
    </row>
    <row r="251" spans="1:18" ht="15.75" customHeight="1">
      <c r="A251" s="36" t="s">
        <v>295</v>
      </c>
      <c r="B251" s="37" t="s">
        <v>31</v>
      </c>
      <c r="C251" s="38">
        <v>45792</v>
      </c>
      <c r="D251" s="37" t="s">
        <v>24</v>
      </c>
      <c r="E251" s="37" t="s">
        <v>58</v>
      </c>
      <c r="F251" s="39">
        <v>4782</v>
      </c>
      <c r="G251" s="39">
        <v>210</v>
      </c>
      <c r="H251" s="39">
        <v>311</v>
      </c>
      <c r="I251" s="39">
        <v>29793</v>
      </c>
      <c r="J251" s="39">
        <v>37543</v>
      </c>
      <c r="K251" s="39">
        <v>145</v>
      </c>
      <c r="L251" s="37" t="s">
        <v>49</v>
      </c>
      <c r="M251" s="36" t="s">
        <v>2</v>
      </c>
      <c r="N251" s="40">
        <f>INDEX('[1]Campaign Metadata '!B:B,MATCH(M251,'[1]Campaign Metadata '!A:A,0))</f>
        <v>45667</v>
      </c>
      <c r="O251" s="40">
        <f>INDEX('[1]Campaign Metadata '!C:C,MATCH(M251,'[1]Campaign Metadata '!A:A,0))</f>
        <v>45698</v>
      </c>
      <c r="P251" s="41" t="str">
        <f t="shared" si="6"/>
        <v>AFTER</v>
      </c>
      <c r="Q251">
        <f>(Posts!$F251+Posts!$G251+Posts!$H251)/Posts!$I251</f>
        <v>0.17799483100057059</v>
      </c>
      <c r="R251" s="1">
        <f t="shared" si="7"/>
        <v>5303</v>
      </c>
    </row>
    <row r="252" spans="1:18" ht="15.75" customHeight="1">
      <c r="A252" s="30" t="s">
        <v>296</v>
      </c>
      <c r="B252" s="31" t="s">
        <v>31</v>
      </c>
      <c r="C252" s="32">
        <v>45480</v>
      </c>
      <c r="D252" s="31" t="s">
        <v>24</v>
      </c>
      <c r="E252" s="31" t="s">
        <v>42</v>
      </c>
      <c r="F252" s="33">
        <v>1848</v>
      </c>
      <c r="G252" s="33">
        <v>417</v>
      </c>
      <c r="H252" s="33">
        <v>294</v>
      </c>
      <c r="I252" s="33">
        <v>57819</v>
      </c>
      <c r="J252" s="33">
        <v>19798</v>
      </c>
      <c r="K252" s="33">
        <v>262</v>
      </c>
      <c r="L252" s="31" t="s">
        <v>52</v>
      </c>
      <c r="M252" s="30" t="s">
        <v>3</v>
      </c>
      <c r="N252" s="34">
        <f>INDEX('[1]Campaign Metadata '!B:B,MATCH(M252,'[1]Campaign Metadata '!A:A,0))</f>
        <v>45717</v>
      </c>
      <c r="O252" s="34">
        <f>INDEX('[1]Campaign Metadata '!C:C,MATCH(M252,'[1]Campaign Metadata '!A:A,0))</f>
        <v>45747</v>
      </c>
      <c r="P252" s="35" t="str">
        <f t="shared" si="6"/>
        <v>BEFORE</v>
      </c>
      <c r="Q252">
        <f>(Posts!$F252+Posts!$G252+Posts!$H252)/Posts!$I252</f>
        <v>4.4258807658382193E-2</v>
      </c>
      <c r="R252" s="1">
        <f t="shared" si="7"/>
        <v>2559</v>
      </c>
    </row>
    <row r="253" spans="1:18" ht="15.75" customHeight="1">
      <c r="A253" s="36" t="s">
        <v>297</v>
      </c>
      <c r="B253" s="37" t="s">
        <v>38</v>
      </c>
      <c r="C253" s="38">
        <v>45591</v>
      </c>
      <c r="D253" s="37" t="s">
        <v>24</v>
      </c>
      <c r="E253" s="37" t="s">
        <v>33</v>
      </c>
      <c r="F253" s="39">
        <v>4676</v>
      </c>
      <c r="G253" s="39">
        <v>211</v>
      </c>
      <c r="H253" s="39">
        <v>55</v>
      </c>
      <c r="I253" s="39">
        <v>45917</v>
      </c>
      <c r="J253" s="39">
        <v>73503</v>
      </c>
      <c r="K253" s="39">
        <v>248</v>
      </c>
      <c r="L253" s="37" t="s">
        <v>40</v>
      </c>
      <c r="M253" s="36" t="s">
        <v>3</v>
      </c>
      <c r="N253" s="40">
        <f>INDEX('[1]Campaign Metadata '!B:B,MATCH(M253,'[1]Campaign Metadata '!A:A,0))</f>
        <v>45717</v>
      </c>
      <c r="O253" s="40">
        <f>INDEX('[1]Campaign Metadata '!C:C,MATCH(M253,'[1]Campaign Metadata '!A:A,0))</f>
        <v>45747</v>
      </c>
      <c r="P253" s="41" t="str">
        <f t="shared" si="6"/>
        <v>BEFORE</v>
      </c>
      <c r="Q253">
        <f>(Posts!$F253+Posts!$G253+Posts!$H253)/Posts!$I253</f>
        <v>0.10762898272970794</v>
      </c>
      <c r="R253" s="1">
        <f t="shared" si="7"/>
        <v>4942</v>
      </c>
    </row>
    <row r="254" spans="1:18" ht="15.75" customHeight="1">
      <c r="A254" s="30" t="s">
        <v>298</v>
      </c>
      <c r="B254" s="31" t="s">
        <v>38</v>
      </c>
      <c r="C254" s="32">
        <v>45512</v>
      </c>
      <c r="D254" s="31" t="s">
        <v>24</v>
      </c>
      <c r="E254" s="31" t="s">
        <v>56</v>
      </c>
      <c r="F254" s="33">
        <v>1994</v>
      </c>
      <c r="G254" s="33">
        <v>197</v>
      </c>
      <c r="H254" s="33">
        <v>290</v>
      </c>
      <c r="I254" s="33">
        <v>49500</v>
      </c>
      <c r="J254" s="33">
        <v>23343</v>
      </c>
      <c r="K254" s="33">
        <v>160</v>
      </c>
      <c r="L254" s="31" t="s">
        <v>40</v>
      </c>
      <c r="M254" s="30" t="s">
        <v>3</v>
      </c>
      <c r="N254" s="34">
        <f>INDEX('[1]Campaign Metadata '!B:B,MATCH(M254,'[1]Campaign Metadata '!A:A,0))</f>
        <v>45717</v>
      </c>
      <c r="O254" s="34">
        <f>INDEX('[1]Campaign Metadata '!C:C,MATCH(M254,'[1]Campaign Metadata '!A:A,0))</f>
        <v>45747</v>
      </c>
      <c r="P254" s="35" t="str">
        <f t="shared" si="6"/>
        <v>BEFORE</v>
      </c>
      <c r="Q254">
        <f>(Posts!$F254+Posts!$G254+Posts!$H254)/Posts!$I254</f>
        <v>5.0121212121212122E-2</v>
      </c>
      <c r="R254" s="1">
        <f t="shared" si="7"/>
        <v>2481</v>
      </c>
    </row>
    <row r="255" spans="1:18" ht="15.75" customHeight="1">
      <c r="A255" s="36" t="s">
        <v>299</v>
      </c>
      <c r="B255" s="37" t="s">
        <v>31</v>
      </c>
      <c r="C255" s="38">
        <v>45691</v>
      </c>
      <c r="D255" s="37" t="s">
        <v>24</v>
      </c>
      <c r="E255" s="37" t="s">
        <v>42</v>
      </c>
      <c r="F255" s="39">
        <v>4995</v>
      </c>
      <c r="G255" s="39">
        <v>231</v>
      </c>
      <c r="H255" s="39">
        <v>94</v>
      </c>
      <c r="I255" s="39">
        <v>34431</v>
      </c>
      <c r="J255" s="39">
        <v>32560</v>
      </c>
      <c r="K255" s="39">
        <v>262</v>
      </c>
      <c r="L255" s="37" t="s">
        <v>49</v>
      </c>
      <c r="M255" s="36" t="s">
        <v>2</v>
      </c>
      <c r="N255" s="40">
        <f>INDEX('[1]Campaign Metadata '!B:B,MATCH(M255,'[1]Campaign Metadata '!A:A,0))</f>
        <v>45667</v>
      </c>
      <c r="O255" s="40">
        <f>INDEX('[1]Campaign Metadata '!C:C,MATCH(M255,'[1]Campaign Metadata '!A:A,0))</f>
        <v>45698</v>
      </c>
      <c r="P255" s="41" t="str">
        <f t="shared" si="6"/>
        <v>DURING</v>
      </c>
      <c r="Q255">
        <f>(Posts!$F255+Posts!$G255+Posts!$H255)/Posts!$I255</f>
        <v>0.15451192239551567</v>
      </c>
      <c r="R255" s="1">
        <f t="shared" si="7"/>
        <v>5320</v>
      </c>
    </row>
    <row r="256" spans="1:18" ht="15.75" customHeight="1">
      <c r="A256" s="30" t="s">
        <v>300</v>
      </c>
      <c r="B256" s="31" t="s">
        <v>31</v>
      </c>
      <c r="C256" s="32">
        <v>45385</v>
      </c>
      <c r="D256" s="31" t="s">
        <v>32</v>
      </c>
      <c r="E256" s="31" t="s">
        <v>48</v>
      </c>
      <c r="F256" s="33">
        <v>2291</v>
      </c>
      <c r="G256" s="33">
        <v>146</v>
      </c>
      <c r="H256" s="33">
        <v>399</v>
      </c>
      <c r="I256" s="33">
        <v>49319</v>
      </c>
      <c r="J256" s="33">
        <v>28056</v>
      </c>
      <c r="K256" s="33">
        <v>90</v>
      </c>
      <c r="L256" s="31" t="s">
        <v>46</v>
      </c>
      <c r="M256" s="30" t="s">
        <v>2</v>
      </c>
      <c r="N256" s="34">
        <f>INDEX('[1]Campaign Metadata '!B:B,MATCH(M256,'[1]Campaign Metadata '!A:A,0))</f>
        <v>45667</v>
      </c>
      <c r="O256" s="34">
        <f>INDEX('[1]Campaign Metadata '!C:C,MATCH(M256,'[1]Campaign Metadata '!A:A,0))</f>
        <v>45698</v>
      </c>
      <c r="P256" s="35" t="str">
        <f t="shared" si="6"/>
        <v>BEFORE</v>
      </c>
      <c r="Q256">
        <f>(Posts!$F256+Posts!$G256+Posts!$H256)/Posts!$I256</f>
        <v>5.7503193495407452E-2</v>
      </c>
      <c r="R256" s="1">
        <f t="shared" si="7"/>
        <v>2836</v>
      </c>
    </row>
    <row r="257" spans="1:18" ht="15.75" customHeight="1">
      <c r="A257" s="36" t="s">
        <v>301</v>
      </c>
      <c r="B257" s="37" t="s">
        <v>31</v>
      </c>
      <c r="C257" s="38">
        <v>45481</v>
      </c>
      <c r="D257" s="37" t="s">
        <v>32</v>
      </c>
      <c r="E257" s="37" t="s">
        <v>36</v>
      </c>
      <c r="F257" s="39">
        <v>2304</v>
      </c>
      <c r="G257" s="39">
        <v>289</v>
      </c>
      <c r="H257" s="39">
        <v>161</v>
      </c>
      <c r="I257" s="39">
        <v>52645</v>
      </c>
      <c r="J257" s="39">
        <v>66262</v>
      </c>
      <c r="K257" s="39">
        <v>146</v>
      </c>
      <c r="L257" s="37" t="s">
        <v>34</v>
      </c>
      <c r="M257" s="36" t="s">
        <v>2</v>
      </c>
      <c r="N257" s="40">
        <f>INDEX('[1]Campaign Metadata '!B:B,MATCH(M257,'[1]Campaign Metadata '!A:A,0))</f>
        <v>45667</v>
      </c>
      <c r="O257" s="40">
        <f>INDEX('[1]Campaign Metadata '!C:C,MATCH(M257,'[1]Campaign Metadata '!A:A,0))</f>
        <v>45698</v>
      </c>
      <c r="P257" s="41" t="str">
        <f t="shared" si="6"/>
        <v>BEFORE</v>
      </c>
      <c r="Q257">
        <f>(Posts!$F257+Posts!$G257+Posts!$H257)/Posts!$I257</f>
        <v>5.2312660271630736E-2</v>
      </c>
      <c r="R257" s="1">
        <f t="shared" si="7"/>
        <v>2754</v>
      </c>
    </row>
    <row r="258" spans="1:18" ht="15.75" customHeight="1">
      <c r="A258" s="30" t="s">
        <v>302</v>
      </c>
      <c r="B258" s="31" t="s">
        <v>31</v>
      </c>
      <c r="C258" s="32">
        <v>45451</v>
      </c>
      <c r="D258" s="31" t="s">
        <v>32</v>
      </c>
      <c r="E258" s="31" t="s">
        <v>48</v>
      </c>
      <c r="F258" s="33">
        <v>3413</v>
      </c>
      <c r="G258" s="33">
        <v>326</v>
      </c>
      <c r="H258" s="33">
        <v>86</v>
      </c>
      <c r="I258" s="33">
        <v>44680</v>
      </c>
      <c r="J258" s="33">
        <v>52719</v>
      </c>
      <c r="K258" s="33">
        <v>272</v>
      </c>
      <c r="L258" s="31" t="s">
        <v>46</v>
      </c>
      <c r="M258" s="30" t="s">
        <v>2</v>
      </c>
      <c r="N258" s="34">
        <f>INDEX('[1]Campaign Metadata '!B:B,MATCH(M258,'[1]Campaign Metadata '!A:A,0))</f>
        <v>45667</v>
      </c>
      <c r="O258" s="34">
        <f>INDEX('[1]Campaign Metadata '!C:C,MATCH(M258,'[1]Campaign Metadata '!A:A,0))</f>
        <v>45698</v>
      </c>
      <c r="P258" s="35" t="str">
        <f t="shared" si="6"/>
        <v>BEFORE</v>
      </c>
      <c r="Q258">
        <f>(Posts!$F258+Posts!$G258+Posts!$H258)/Posts!$I258</f>
        <v>8.5608773500447627E-2</v>
      </c>
      <c r="R258" s="1">
        <f t="shared" si="7"/>
        <v>3825</v>
      </c>
    </row>
    <row r="259" spans="1:18" ht="15.75" customHeight="1">
      <c r="A259" s="36" t="s">
        <v>303</v>
      </c>
      <c r="B259" s="37" t="s">
        <v>38</v>
      </c>
      <c r="C259" s="38">
        <v>45736</v>
      </c>
      <c r="D259" s="37" t="s">
        <v>63</v>
      </c>
      <c r="E259" s="37" t="s">
        <v>56</v>
      </c>
      <c r="F259" s="39">
        <v>1453</v>
      </c>
      <c r="G259" s="39">
        <v>156</v>
      </c>
      <c r="H259" s="39">
        <v>178</v>
      </c>
      <c r="I259" s="39">
        <v>52980</v>
      </c>
      <c r="J259" s="39">
        <v>57180</v>
      </c>
      <c r="K259" s="39">
        <v>286</v>
      </c>
      <c r="L259" s="37" t="s">
        <v>64</v>
      </c>
      <c r="M259" s="36" t="s">
        <v>0</v>
      </c>
      <c r="N259" s="40">
        <f>INDEX('[1]Campaign Metadata '!B:B,MATCH(M259,'[1]Campaign Metadata '!A:A,0))</f>
        <v>45458</v>
      </c>
      <c r="O259" s="40">
        <f>INDEX('[1]Campaign Metadata '!C:C,MATCH(M259,'[1]Campaign Metadata '!A:A,0))</f>
        <v>45488</v>
      </c>
      <c r="P259" s="41" t="str">
        <f t="shared" ref="P259:P301" si="8">IF(AND(C259&lt;=O259,C259&gt;=N259),"DURING",IF(C259&lt;O259,"BEFORE", "AFTER"))</f>
        <v>AFTER</v>
      </c>
      <c r="Q259">
        <f>(Posts!$F259+Posts!$G259+Posts!$H259)/Posts!$I259</f>
        <v>3.3729709324273313E-2</v>
      </c>
      <c r="R259" s="1">
        <f t="shared" ref="R259:R301" si="9">F259+G259+H259</f>
        <v>1787</v>
      </c>
    </row>
    <row r="260" spans="1:18" ht="15.75" customHeight="1">
      <c r="A260" s="30" t="s">
        <v>304</v>
      </c>
      <c r="B260" s="31" t="s">
        <v>31</v>
      </c>
      <c r="C260" s="32">
        <v>45676</v>
      </c>
      <c r="D260" s="31" t="s">
        <v>32</v>
      </c>
      <c r="E260" s="31" t="s">
        <v>39</v>
      </c>
      <c r="F260" s="33">
        <v>1651</v>
      </c>
      <c r="G260" s="33">
        <v>480</v>
      </c>
      <c r="H260" s="33">
        <v>282</v>
      </c>
      <c r="I260" s="33">
        <v>32140</v>
      </c>
      <c r="J260" s="33">
        <v>70560</v>
      </c>
      <c r="K260" s="33">
        <v>138</v>
      </c>
      <c r="L260" s="31" t="s">
        <v>26</v>
      </c>
      <c r="M260" s="30" t="s">
        <v>2</v>
      </c>
      <c r="N260" s="34">
        <f>INDEX('[1]Campaign Metadata '!B:B,MATCH(M260,'[1]Campaign Metadata '!A:A,0))</f>
        <v>45667</v>
      </c>
      <c r="O260" s="34">
        <f>INDEX('[1]Campaign Metadata '!C:C,MATCH(M260,'[1]Campaign Metadata '!A:A,0))</f>
        <v>45698</v>
      </c>
      <c r="P260" s="35" t="str">
        <f t="shared" si="8"/>
        <v>DURING</v>
      </c>
      <c r="Q260">
        <f>(Posts!$F260+Posts!$G260+Posts!$H260)/Posts!$I260</f>
        <v>7.5077784691972627E-2</v>
      </c>
      <c r="R260" s="1">
        <f t="shared" si="9"/>
        <v>2413</v>
      </c>
    </row>
    <row r="261" spans="1:18" ht="15.75" customHeight="1">
      <c r="A261" s="36" t="s">
        <v>305</v>
      </c>
      <c r="B261" s="37" t="s">
        <v>31</v>
      </c>
      <c r="C261" s="38">
        <v>45662</v>
      </c>
      <c r="D261" s="37" t="s">
        <v>32</v>
      </c>
      <c r="E261" s="37" t="s">
        <v>28</v>
      </c>
      <c r="F261" s="39">
        <v>3341</v>
      </c>
      <c r="G261" s="39">
        <v>154</v>
      </c>
      <c r="H261" s="39">
        <v>123</v>
      </c>
      <c r="I261" s="39">
        <v>43369</v>
      </c>
      <c r="J261" s="39">
        <v>49035</v>
      </c>
      <c r="K261" s="39">
        <v>128</v>
      </c>
      <c r="L261" s="37" t="s">
        <v>34</v>
      </c>
      <c r="M261" s="36" t="s">
        <v>2</v>
      </c>
      <c r="N261" s="40">
        <f>INDEX('[1]Campaign Metadata '!B:B,MATCH(M261,'[1]Campaign Metadata '!A:A,0))</f>
        <v>45667</v>
      </c>
      <c r="O261" s="40">
        <f>INDEX('[1]Campaign Metadata '!C:C,MATCH(M261,'[1]Campaign Metadata '!A:A,0))</f>
        <v>45698</v>
      </c>
      <c r="P261" s="41" t="str">
        <f t="shared" si="8"/>
        <v>BEFORE</v>
      </c>
      <c r="Q261">
        <f>(Posts!$F261+Posts!$G261+Posts!$H261)/Posts!$I261</f>
        <v>8.3423643616408028E-2</v>
      </c>
      <c r="R261" s="1">
        <f t="shared" si="9"/>
        <v>3618</v>
      </c>
    </row>
    <row r="262" spans="1:18" ht="15.75" customHeight="1">
      <c r="A262" s="30" t="s">
        <v>306</v>
      </c>
      <c r="B262" s="31" t="s">
        <v>31</v>
      </c>
      <c r="C262" s="32">
        <v>45612</v>
      </c>
      <c r="D262" s="31" t="s">
        <v>24</v>
      </c>
      <c r="E262" s="31" t="s">
        <v>56</v>
      </c>
      <c r="F262" s="33">
        <v>2972</v>
      </c>
      <c r="G262" s="33">
        <v>263</v>
      </c>
      <c r="H262" s="33">
        <v>308</v>
      </c>
      <c r="I262" s="33">
        <v>51740</v>
      </c>
      <c r="J262" s="33">
        <v>28214</v>
      </c>
      <c r="K262" s="33">
        <v>190</v>
      </c>
      <c r="L262" s="31" t="s">
        <v>52</v>
      </c>
      <c r="M262" s="30" t="s">
        <v>3</v>
      </c>
      <c r="N262" s="34">
        <f>INDEX('[1]Campaign Metadata '!B:B,MATCH(M262,'[1]Campaign Metadata '!A:A,0))</f>
        <v>45717</v>
      </c>
      <c r="O262" s="34">
        <f>INDEX('[1]Campaign Metadata '!C:C,MATCH(M262,'[1]Campaign Metadata '!A:A,0))</f>
        <v>45747</v>
      </c>
      <c r="P262" s="35" t="str">
        <f t="shared" si="8"/>
        <v>BEFORE</v>
      </c>
      <c r="Q262">
        <f>(Posts!$F262+Posts!$G262+Posts!$H262)/Posts!$I262</f>
        <v>6.8477000386548123E-2</v>
      </c>
      <c r="R262" s="1">
        <f t="shared" si="9"/>
        <v>3543</v>
      </c>
    </row>
    <row r="263" spans="1:18" ht="15.75" customHeight="1">
      <c r="A263" s="36" t="s">
        <v>307</v>
      </c>
      <c r="B263" s="37" t="s">
        <v>31</v>
      </c>
      <c r="C263" s="38">
        <v>45626</v>
      </c>
      <c r="D263" s="37" t="s">
        <v>32</v>
      </c>
      <c r="E263" s="37" t="s">
        <v>28</v>
      </c>
      <c r="F263" s="39">
        <v>4963</v>
      </c>
      <c r="G263" s="39">
        <v>255</v>
      </c>
      <c r="H263" s="39">
        <v>193</v>
      </c>
      <c r="I263" s="39">
        <v>44386</v>
      </c>
      <c r="J263" s="39">
        <v>28415</v>
      </c>
      <c r="K263" s="39">
        <v>174</v>
      </c>
      <c r="L263" s="37" t="s">
        <v>34</v>
      </c>
      <c r="M263" s="36" t="s">
        <v>2</v>
      </c>
      <c r="N263" s="40">
        <f>INDEX('[1]Campaign Metadata '!B:B,MATCH(M263,'[1]Campaign Metadata '!A:A,0))</f>
        <v>45667</v>
      </c>
      <c r="O263" s="40">
        <f>INDEX('[1]Campaign Metadata '!C:C,MATCH(M263,'[1]Campaign Metadata '!A:A,0))</f>
        <v>45698</v>
      </c>
      <c r="P263" s="41" t="str">
        <f t="shared" si="8"/>
        <v>BEFORE</v>
      </c>
      <c r="Q263">
        <f>(Posts!$F263+Posts!$G263+Posts!$H263)/Posts!$I263</f>
        <v>0.12190780876853062</v>
      </c>
      <c r="R263" s="1">
        <f t="shared" si="9"/>
        <v>5411</v>
      </c>
    </row>
    <row r="264" spans="1:18" ht="15.75" customHeight="1">
      <c r="A264" s="30" t="s">
        <v>308</v>
      </c>
      <c r="B264" s="31" t="s">
        <v>38</v>
      </c>
      <c r="C264" s="32">
        <v>45378</v>
      </c>
      <c r="D264" s="31" t="s">
        <v>24</v>
      </c>
      <c r="E264" s="31" t="s">
        <v>39</v>
      </c>
      <c r="F264" s="33">
        <v>2399</v>
      </c>
      <c r="G264" s="33">
        <v>191</v>
      </c>
      <c r="H264" s="33">
        <v>221</v>
      </c>
      <c r="I264" s="33">
        <v>51603</v>
      </c>
      <c r="J264" s="33">
        <v>40033</v>
      </c>
      <c r="K264" s="33">
        <v>173</v>
      </c>
      <c r="L264" s="31" t="s">
        <v>40</v>
      </c>
      <c r="M264" s="30" t="s">
        <v>3</v>
      </c>
      <c r="N264" s="34">
        <f>INDEX('[1]Campaign Metadata '!B:B,MATCH(M264,'[1]Campaign Metadata '!A:A,0))</f>
        <v>45717</v>
      </c>
      <c r="O264" s="34">
        <f>INDEX('[1]Campaign Metadata '!C:C,MATCH(M264,'[1]Campaign Metadata '!A:A,0))</f>
        <v>45747</v>
      </c>
      <c r="P264" s="35" t="str">
        <f t="shared" si="8"/>
        <v>BEFORE</v>
      </c>
      <c r="Q264">
        <f>(Posts!$F264+Posts!$G264+Posts!$H264)/Posts!$I264</f>
        <v>5.4473577117609438E-2</v>
      </c>
      <c r="R264" s="1">
        <f t="shared" si="9"/>
        <v>2811</v>
      </c>
    </row>
    <row r="265" spans="1:18" ht="15.75" customHeight="1">
      <c r="A265" s="36" t="s">
        <v>309</v>
      </c>
      <c r="B265" s="37" t="s">
        <v>38</v>
      </c>
      <c r="C265" s="38">
        <v>45808</v>
      </c>
      <c r="D265" s="37" t="s">
        <v>63</v>
      </c>
      <c r="E265" s="37" t="s">
        <v>44</v>
      </c>
      <c r="F265" s="39">
        <v>2162</v>
      </c>
      <c r="G265" s="39">
        <v>318</v>
      </c>
      <c r="H265" s="39">
        <v>83</v>
      </c>
      <c r="I265" s="39">
        <v>46719</v>
      </c>
      <c r="J265" s="39">
        <v>20482</v>
      </c>
      <c r="K265" s="39">
        <v>185</v>
      </c>
      <c r="L265" s="37" t="s">
        <v>64</v>
      </c>
      <c r="M265" s="36" t="s">
        <v>0</v>
      </c>
      <c r="N265" s="40">
        <f>INDEX('[1]Campaign Metadata '!B:B,MATCH(M265,'[1]Campaign Metadata '!A:A,0))</f>
        <v>45458</v>
      </c>
      <c r="O265" s="40">
        <f>INDEX('[1]Campaign Metadata '!C:C,MATCH(M265,'[1]Campaign Metadata '!A:A,0))</f>
        <v>45488</v>
      </c>
      <c r="P265" s="41" t="str">
        <f t="shared" si="8"/>
        <v>AFTER</v>
      </c>
      <c r="Q265">
        <f>(Posts!$F265+Posts!$G265+Posts!$H265)/Posts!$I265</f>
        <v>5.4859907104176028E-2</v>
      </c>
      <c r="R265" s="1">
        <f t="shared" si="9"/>
        <v>2563</v>
      </c>
    </row>
    <row r="266" spans="1:18" ht="15.75" customHeight="1">
      <c r="A266" s="30" t="s">
        <v>310</v>
      </c>
      <c r="B266" s="31" t="s">
        <v>31</v>
      </c>
      <c r="C266" s="32">
        <v>45825</v>
      </c>
      <c r="D266" s="31" t="s">
        <v>32</v>
      </c>
      <c r="E266" s="31" t="s">
        <v>28</v>
      </c>
      <c r="F266" s="33">
        <v>4341</v>
      </c>
      <c r="G266" s="33">
        <v>141</v>
      </c>
      <c r="H266" s="33">
        <v>63</v>
      </c>
      <c r="I266" s="33">
        <v>50081</v>
      </c>
      <c r="J266" s="33">
        <v>27507</v>
      </c>
      <c r="K266" s="33">
        <v>221</v>
      </c>
      <c r="L266" s="31" t="s">
        <v>46</v>
      </c>
      <c r="M266" s="30" t="s">
        <v>2</v>
      </c>
      <c r="N266" s="34">
        <f>INDEX('[1]Campaign Metadata '!B:B,MATCH(M266,'[1]Campaign Metadata '!A:A,0))</f>
        <v>45667</v>
      </c>
      <c r="O266" s="34">
        <f>INDEX('[1]Campaign Metadata '!C:C,MATCH(M266,'[1]Campaign Metadata '!A:A,0))</f>
        <v>45698</v>
      </c>
      <c r="P266" s="35" t="str">
        <f t="shared" si="8"/>
        <v>AFTER</v>
      </c>
      <c r="Q266">
        <f>(Posts!$F266+Posts!$G266+Posts!$H266)/Posts!$I266</f>
        <v>9.0752980172121162E-2</v>
      </c>
      <c r="R266" s="1">
        <f t="shared" si="9"/>
        <v>4545</v>
      </c>
    </row>
    <row r="267" spans="1:18" ht="15.75" customHeight="1">
      <c r="A267" s="36" t="s">
        <v>311</v>
      </c>
      <c r="B267" s="37" t="s">
        <v>23</v>
      </c>
      <c r="C267" s="38">
        <v>45442</v>
      </c>
      <c r="D267" s="37" t="s">
        <v>32</v>
      </c>
      <c r="E267" s="37" t="s">
        <v>44</v>
      </c>
      <c r="F267" s="39">
        <v>2448</v>
      </c>
      <c r="G267" s="39">
        <v>464</v>
      </c>
      <c r="H267" s="39">
        <v>98</v>
      </c>
      <c r="I267" s="39">
        <v>25737</v>
      </c>
      <c r="J267" s="39">
        <v>48545</v>
      </c>
      <c r="K267" s="39">
        <v>246</v>
      </c>
      <c r="L267" s="37" t="s">
        <v>49</v>
      </c>
      <c r="M267" s="36" t="s">
        <v>1</v>
      </c>
      <c r="N267" s="40">
        <f>INDEX('[1]Campaign Metadata '!B:B,MATCH(M267,'[1]Campaign Metadata '!A:A,0))</f>
        <v>45627</v>
      </c>
      <c r="O267" s="40">
        <f>INDEX('[1]Campaign Metadata '!C:C,MATCH(M267,'[1]Campaign Metadata '!A:A,0))</f>
        <v>45657</v>
      </c>
      <c r="P267" s="41" t="str">
        <f t="shared" si="8"/>
        <v>BEFORE</v>
      </c>
      <c r="Q267">
        <f>(Posts!$F267+Posts!$G267+Posts!$H267)/Posts!$I267</f>
        <v>0.11695224773672146</v>
      </c>
      <c r="R267" s="1">
        <f t="shared" si="9"/>
        <v>3010</v>
      </c>
    </row>
    <row r="268" spans="1:18" ht="15.75" customHeight="1">
      <c r="A268" s="30" t="s">
        <v>312</v>
      </c>
      <c r="B268" s="31" t="s">
        <v>38</v>
      </c>
      <c r="C268" s="32">
        <v>45604</v>
      </c>
      <c r="D268" s="31" t="s">
        <v>24</v>
      </c>
      <c r="E268" s="31" t="s">
        <v>48</v>
      </c>
      <c r="F268" s="33">
        <v>2471</v>
      </c>
      <c r="G268" s="33">
        <v>166</v>
      </c>
      <c r="H268" s="33">
        <v>320</v>
      </c>
      <c r="I268" s="33">
        <v>48254</v>
      </c>
      <c r="J268" s="33">
        <v>46900</v>
      </c>
      <c r="K268" s="33">
        <v>111</v>
      </c>
      <c r="L268" s="31" t="s">
        <v>40</v>
      </c>
      <c r="M268" s="30" t="s">
        <v>3</v>
      </c>
      <c r="N268" s="34">
        <f>INDEX('[1]Campaign Metadata '!B:B,MATCH(M268,'[1]Campaign Metadata '!A:A,0))</f>
        <v>45717</v>
      </c>
      <c r="O268" s="34">
        <f>INDEX('[1]Campaign Metadata '!C:C,MATCH(M268,'[1]Campaign Metadata '!A:A,0))</f>
        <v>45747</v>
      </c>
      <c r="P268" s="35" t="str">
        <f t="shared" si="8"/>
        <v>BEFORE</v>
      </c>
      <c r="Q268">
        <f>(Posts!$F268+Posts!$G268+Posts!$H268)/Posts!$I268</f>
        <v>6.1279893894806647E-2</v>
      </c>
      <c r="R268" s="1">
        <f t="shared" si="9"/>
        <v>2957</v>
      </c>
    </row>
    <row r="269" spans="1:18" ht="15.75" customHeight="1">
      <c r="A269" s="36" t="s">
        <v>313</v>
      </c>
      <c r="B269" s="37" t="s">
        <v>38</v>
      </c>
      <c r="C269" s="38">
        <v>45368</v>
      </c>
      <c r="D269" s="37" t="s">
        <v>63</v>
      </c>
      <c r="E269" s="37" t="s">
        <v>28</v>
      </c>
      <c r="F269" s="39">
        <v>2692</v>
      </c>
      <c r="G269" s="39">
        <v>446</v>
      </c>
      <c r="H269" s="39">
        <v>216</v>
      </c>
      <c r="I269" s="39">
        <v>45818</v>
      </c>
      <c r="J269" s="39">
        <v>62723</v>
      </c>
      <c r="K269" s="39">
        <v>85</v>
      </c>
      <c r="L269" s="37" t="s">
        <v>64</v>
      </c>
      <c r="M269" s="36" t="s">
        <v>0</v>
      </c>
      <c r="N269" s="40">
        <f>INDEX('[1]Campaign Metadata '!B:B,MATCH(M269,'[1]Campaign Metadata '!A:A,0))</f>
        <v>45458</v>
      </c>
      <c r="O269" s="40">
        <f>INDEX('[1]Campaign Metadata '!C:C,MATCH(M269,'[1]Campaign Metadata '!A:A,0))</f>
        <v>45488</v>
      </c>
      <c r="P269" s="41" t="str">
        <f t="shared" si="8"/>
        <v>BEFORE</v>
      </c>
      <c r="Q269">
        <f>(Posts!$F269+Posts!$G269+Posts!$H269)/Posts!$I269</f>
        <v>7.3202671439172376E-2</v>
      </c>
      <c r="R269" s="1">
        <f t="shared" si="9"/>
        <v>3354</v>
      </c>
    </row>
    <row r="270" spans="1:18" ht="15.75" customHeight="1">
      <c r="A270" s="30" t="s">
        <v>314</v>
      </c>
      <c r="B270" s="31" t="s">
        <v>38</v>
      </c>
      <c r="C270" s="32">
        <v>45464</v>
      </c>
      <c r="D270" s="31" t="s">
        <v>63</v>
      </c>
      <c r="E270" s="31" t="s">
        <v>39</v>
      </c>
      <c r="F270" s="33">
        <v>4621</v>
      </c>
      <c r="G270" s="33">
        <v>374</v>
      </c>
      <c r="H270" s="33">
        <v>298</v>
      </c>
      <c r="I270" s="33">
        <v>56979</v>
      </c>
      <c r="J270" s="33">
        <v>24098</v>
      </c>
      <c r="K270" s="33">
        <v>205</v>
      </c>
      <c r="L270" s="31" t="s">
        <v>64</v>
      </c>
      <c r="M270" s="30" t="s">
        <v>0</v>
      </c>
      <c r="N270" s="34">
        <f>INDEX('[1]Campaign Metadata '!B:B,MATCH(M270,'[1]Campaign Metadata '!A:A,0))</f>
        <v>45458</v>
      </c>
      <c r="O270" s="34">
        <f>INDEX('[1]Campaign Metadata '!C:C,MATCH(M270,'[1]Campaign Metadata '!A:A,0))</f>
        <v>45488</v>
      </c>
      <c r="P270" s="35" t="str">
        <f t="shared" si="8"/>
        <v>DURING</v>
      </c>
      <c r="Q270">
        <f>(Posts!$F270+Posts!$G270+Posts!$H270)/Posts!$I270</f>
        <v>9.2893873181347508E-2</v>
      </c>
      <c r="R270" s="1">
        <f t="shared" si="9"/>
        <v>5293</v>
      </c>
    </row>
    <row r="271" spans="1:18" ht="15.75" customHeight="1">
      <c r="A271" s="36" t="s">
        <v>315</v>
      </c>
      <c r="B271" s="37" t="s">
        <v>31</v>
      </c>
      <c r="C271" s="38">
        <v>45609</v>
      </c>
      <c r="D271" s="37" t="s">
        <v>32</v>
      </c>
      <c r="E271" s="37" t="s">
        <v>33</v>
      </c>
      <c r="F271" s="39">
        <v>1409</v>
      </c>
      <c r="G271" s="39">
        <v>466</v>
      </c>
      <c r="H271" s="39">
        <v>105</v>
      </c>
      <c r="I271" s="39">
        <v>58923</v>
      </c>
      <c r="J271" s="39">
        <v>38753</v>
      </c>
      <c r="K271" s="39">
        <v>265</v>
      </c>
      <c r="L271" s="37" t="s">
        <v>46</v>
      </c>
      <c r="M271" s="36" t="s">
        <v>2</v>
      </c>
      <c r="N271" s="40">
        <f>INDEX('[1]Campaign Metadata '!B:B,MATCH(M271,'[1]Campaign Metadata '!A:A,0))</f>
        <v>45667</v>
      </c>
      <c r="O271" s="40">
        <f>INDEX('[1]Campaign Metadata '!C:C,MATCH(M271,'[1]Campaign Metadata '!A:A,0))</f>
        <v>45698</v>
      </c>
      <c r="P271" s="41" t="str">
        <f t="shared" si="8"/>
        <v>BEFORE</v>
      </c>
      <c r="Q271">
        <f>(Posts!$F271+Posts!$G271+Posts!$H271)/Posts!$I271</f>
        <v>3.3603177027646251E-2</v>
      </c>
      <c r="R271" s="1">
        <f t="shared" si="9"/>
        <v>1980</v>
      </c>
    </row>
    <row r="272" spans="1:18" ht="15.75" customHeight="1">
      <c r="A272" s="30" t="s">
        <v>316</v>
      </c>
      <c r="B272" s="31" t="s">
        <v>31</v>
      </c>
      <c r="C272" s="32">
        <v>45693</v>
      </c>
      <c r="D272" s="31" t="s">
        <v>32</v>
      </c>
      <c r="E272" s="31" t="s">
        <v>25</v>
      </c>
      <c r="F272" s="33">
        <v>3029</v>
      </c>
      <c r="G272" s="33">
        <v>440</v>
      </c>
      <c r="H272" s="33">
        <v>66</v>
      </c>
      <c r="I272" s="33">
        <v>23815</v>
      </c>
      <c r="J272" s="33">
        <v>47895</v>
      </c>
      <c r="K272" s="33">
        <v>210</v>
      </c>
      <c r="L272" s="31" t="s">
        <v>46</v>
      </c>
      <c r="M272" s="30" t="s">
        <v>2</v>
      </c>
      <c r="N272" s="34">
        <f>INDEX('[1]Campaign Metadata '!B:B,MATCH(M272,'[1]Campaign Metadata '!A:A,0))</f>
        <v>45667</v>
      </c>
      <c r="O272" s="34">
        <f>INDEX('[1]Campaign Metadata '!C:C,MATCH(M272,'[1]Campaign Metadata '!A:A,0))</f>
        <v>45698</v>
      </c>
      <c r="P272" s="35" t="str">
        <f t="shared" si="8"/>
        <v>DURING</v>
      </c>
      <c r="Q272">
        <f>(Posts!$F272+Posts!$G272+Posts!$H272)/Posts!$I272</f>
        <v>0.14843585975225698</v>
      </c>
      <c r="R272" s="1">
        <f t="shared" si="9"/>
        <v>3535</v>
      </c>
    </row>
    <row r="273" spans="1:18" ht="15.75" customHeight="1">
      <c r="A273" s="36" t="s">
        <v>317</v>
      </c>
      <c r="B273" s="37" t="s">
        <v>31</v>
      </c>
      <c r="C273" s="38">
        <v>45603</v>
      </c>
      <c r="D273" s="37" t="s">
        <v>24</v>
      </c>
      <c r="E273" s="37" t="s">
        <v>28</v>
      </c>
      <c r="F273" s="39">
        <v>2229</v>
      </c>
      <c r="G273" s="39">
        <v>395</v>
      </c>
      <c r="H273" s="39">
        <v>328</v>
      </c>
      <c r="I273" s="39">
        <v>56921</v>
      </c>
      <c r="J273" s="39">
        <v>37176</v>
      </c>
      <c r="K273" s="39">
        <v>126</v>
      </c>
      <c r="L273" s="37" t="s">
        <v>52</v>
      </c>
      <c r="M273" s="36" t="s">
        <v>3</v>
      </c>
      <c r="N273" s="40">
        <f>INDEX('[1]Campaign Metadata '!B:B,MATCH(M273,'[1]Campaign Metadata '!A:A,0))</f>
        <v>45717</v>
      </c>
      <c r="O273" s="40">
        <f>INDEX('[1]Campaign Metadata '!C:C,MATCH(M273,'[1]Campaign Metadata '!A:A,0))</f>
        <v>45747</v>
      </c>
      <c r="P273" s="41" t="str">
        <f t="shared" si="8"/>
        <v>BEFORE</v>
      </c>
      <c r="Q273">
        <f>(Posts!$F273+Posts!$G273+Posts!$H273)/Posts!$I273</f>
        <v>5.1861351697967357E-2</v>
      </c>
      <c r="R273" s="1">
        <f t="shared" si="9"/>
        <v>2952</v>
      </c>
    </row>
    <row r="274" spans="1:18" ht="15.75" customHeight="1">
      <c r="A274" s="30" t="s">
        <v>318</v>
      </c>
      <c r="B274" s="31" t="s">
        <v>31</v>
      </c>
      <c r="C274" s="32">
        <v>45334</v>
      </c>
      <c r="D274" s="31" t="s">
        <v>24</v>
      </c>
      <c r="E274" s="31" t="s">
        <v>28</v>
      </c>
      <c r="F274" s="33">
        <v>2691</v>
      </c>
      <c r="G274" s="33">
        <v>486</v>
      </c>
      <c r="H274" s="33">
        <v>206</v>
      </c>
      <c r="I274" s="33">
        <v>51133</v>
      </c>
      <c r="J274" s="33">
        <v>44583</v>
      </c>
      <c r="K274" s="33">
        <v>276</v>
      </c>
      <c r="L274" s="31" t="s">
        <v>49</v>
      </c>
      <c r="M274" s="30" t="s">
        <v>2</v>
      </c>
      <c r="N274" s="34">
        <f>INDEX('[1]Campaign Metadata '!B:B,MATCH(M274,'[1]Campaign Metadata '!A:A,0))</f>
        <v>45667</v>
      </c>
      <c r="O274" s="34">
        <f>INDEX('[1]Campaign Metadata '!C:C,MATCH(M274,'[1]Campaign Metadata '!A:A,0))</f>
        <v>45698</v>
      </c>
      <c r="P274" s="35" t="str">
        <f t="shared" si="8"/>
        <v>BEFORE</v>
      </c>
      <c r="Q274">
        <f>(Posts!$F274+Posts!$G274+Posts!$H274)/Posts!$I274</f>
        <v>6.6160796354604659E-2</v>
      </c>
      <c r="R274" s="1">
        <f t="shared" si="9"/>
        <v>3383</v>
      </c>
    </row>
    <row r="275" spans="1:18" ht="15.75" customHeight="1">
      <c r="A275" s="36" t="s">
        <v>319</v>
      </c>
      <c r="B275" s="37" t="s">
        <v>23</v>
      </c>
      <c r="C275" s="38">
        <v>45573</v>
      </c>
      <c r="D275" s="37" t="s">
        <v>24</v>
      </c>
      <c r="E275" s="37" t="s">
        <v>28</v>
      </c>
      <c r="F275" s="39">
        <v>2110</v>
      </c>
      <c r="G275" s="39">
        <v>384</v>
      </c>
      <c r="H275" s="39">
        <v>236</v>
      </c>
      <c r="I275" s="39">
        <v>49965</v>
      </c>
      <c r="J275" s="39">
        <v>61555</v>
      </c>
      <c r="K275" s="39">
        <v>195</v>
      </c>
      <c r="L275" s="37" t="s">
        <v>29</v>
      </c>
      <c r="M275" s="36" t="s">
        <v>3</v>
      </c>
      <c r="N275" s="40">
        <f>INDEX('[1]Campaign Metadata '!B:B,MATCH(M275,'[1]Campaign Metadata '!A:A,0))</f>
        <v>45717</v>
      </c>
      <c r="O275" s="40">
        <f>INDEX('[1]Campaign Metadata '!C:C,MATCH(M275,'[1]Campaign Metadata '!A:A,0))</f>
        <v>45747</v>
      </c>
      <c r="P275" s="41" t="str">
        <f t="shared" si="8"/>
        <v>BEFORE</v>
      </c>
      <c r="Q275">
        <f>(Posts!$F275+Posts!$G275+Posts!$H275)/Posts!$I275</f>
        <v>5.4638246772740921E-2</v>
      </c>
      <c r="R275" s="1">
        <f t="shared" si="9"/>
        <v>2730</v>
      </c>
    </row>
    <row r="276" spans="1:18" ht="15.75" customHeight="1">
      <c r="A276" s="30" t="s">
        <v>320</v>
      </c>
      <c r="B276" s="31" t="s">
        <v>23</v>
      </c>
      <c r="C276" s="32">
        <v>45341</v>
      </c>
      <c r="D276" s="31" t="s">
        <v>24</v>
      </c>
      <c r="E276" s="31" t="s">
        <v>36</v>
      </c>
      <c r="F276" s="33">
        <v>4752</v>
      </c>
      <c r="G276" s="33">
        <v>449</v>
      </c>
      <c r="H276" s="33">
        <v>309</v>
      </c>
      <c r="I276" s="33">
        <v>58530</v>
      </c>
      <c r="J276" s="33">
        <v>26630</v>
      </c>
      <c r="K276" s="33">
        <v>234</v>
      </c>
      <c r="L276" s="31" t="s">
        <v>29</v>
      </c>
      <c r="M276" s="30" t="s">
        <v>3</v>
      </c>
      <c r="N276" s="34">
        <f>INDEX('[1]Campaign Metadata '!B:B,MATCH(M276,'[1]Campaign Metadata '!A:A,0))</f>
        <v>45717</v>
      </c>
      <c r="O276" s="34">
        <f>INDEX('[1]Campaign Metadata '!C:C,MATCH(M276,'[1]Campaign Metadata '!A:A,0))</f>
        <v>45747</v>
      </c>
      <c r="P276" s="35" t="str">
        <f t="shared" si="8"/>
        <v>BEFORE</v>
      </c>
      <c r="Q276">
        <f>(Posts!$F276+Posts!$G276+Posts!$H276)/Posts!$I276</f>
        <v>9.4139757389372969E-2</v>
      </c>
      <c r="R276" s="1">
        <f t="shared" si="9"/>
        <v>5510</v>
      </c>
    </row>
    <row r="277" spans="1:18" ht="15.75" customHeight="1">
      <c r="A277" s="36" t="s">
        <v>321</v>
      </c>
      <c r="B277" s="37" t="s">
        <v>31</v>
      </c>
      <c r="C277" s="38">
        <v>45720</v>
      </c>
      <c r="D277" s="37" t="s">
        <v>24</v>
      </c>
      <c r="E277" s="37" t="s">
        <v>25</v>
      </c>
      <c r="F277" s="39">
        <v>2177</v>
      </c>
      <c r="G277" s="39">
        <v>258</v>
      </c>
      <c r="H277" s="39">
        <v>292</v>
      </c>
      <c r="I277" s="39">
        <v>47276</v>
      </c>
      <c r="J277" s="39">
        <v>51324</v>
      </c>
      <c r="K277" s="39">
        <v>143</v>
      </c>
      <c r="L277" s="37" t="s">
        <v>49</v>
      </c>
      <c r="M277" s="36" t="s">
        <v>2</v>
      </c>
      <c r="N277" s="40">
        <f>INDEX('[1]Campaign Metadata '!B:B,MATCH(M277,'[1]Campaign Metadata '!A:A,0))</f>
        <v>45667</v>
      </c>
      <c r="O277" s="40">
        <f>INDEX('[1]Campaign Metadata '!C:C,MATCH(M277,'[1]Campaign Metadata '!A:A,0))</f>
        <v>45698</v>
      </c>
      <c r="P277" s="41" t="str">
        <f t="shared" si="8"/>
        <v>AFTER</v>
      </c>
      <c r="Q277">
        <f>(Posts!$F277+Posts!$G277+Posts!$H277)/Posts!$I277</f>
        <v>5.7682545054573146E-2</v>
      </c>
      <c r="R277" s="1">
        <f t="shared" si="9"/>
        <v>2727</v>
      </c>
    </row>
    <row r="278" spans="1:18" ht="15.75" customHeight="1">
      <c r="A278" s="30" t="s">
        <v>322</v>
      </c>
      <c r="B278" s="31" t="s">
        <v>23</v>
      </c>
      <c r="C278" s="32">
        <v>45691</v>
      </c>
      <c r="D278" s="31" t="s">
        <v>32</v>
      </c>
      <c r="E278" s="31" t="s">
        <v>33</v>
      </c>
      <c r="F278" s="33">
        <v>1205</v>
      </c>
      <c r="G278" s="33">
        <v>486</v>
      </c>
      <c r="H278" s="33">
        <v>269</v>
      </c>
      <c r="I278" s="33">
        <v>23341</v>
      </c>
      <c r="J278" s="33">
        <v>42411</v>
      </c>
      <c r="K278" s="33">
        <v>184</v>
      </c>
      <c r="L278" s="31" t="s">
        <v>49</v>
      </c>
      <c r="M278" s="30" t="s">
        <v>1</v>
      </c>
      <c r="N278" s="34">
        <f>INDEX('[1]Campaign Metadata '!B:B,MATCH(M278,'[1]Campaign Metadata '!A:A,0))</f>
        <v>45627</v>
      </c>
      <c r="O278" s="34">
        <f>INDEX('[1]Campaign Metadata '!C:C,MATCH(M278,'[1]Campaign Metadata '!A:A,0))</f>
        <v>45657</v>
      </c>
      <c r="P278" s="35" t="str">
        <f t="shared" si="8"/>
        <v>AFTER</v>
      </c>
      <c r="Q278">
        <f>(Posts!$F278+Posts!$G278+Posts!$H278)/Posts!$I278</f>
        <v>8.3972409065592737E-2</v>
      </c>
      <c r="R278" s="1">
        <f t="shared" si="9"/>
        <v>1960</v>
      </c>
    </row>
    <row r="279" spans="1:18" ht="15.75" customHeight="1">
      <c r="A279" s="36" t="s">
        <v>323</v>
      </c>
      <c r="B279" s="37" t="s">
        <v>23</v>
      </c>
      <c r="C279" s="38">
        <v>45628</v>
      </c>
      <c r="D279" s="37" t="s">
        <v>24</v>
      </c>
      <c r="E279" s="37" t="s">
        <v>48</v>
      </c>
      <c r="F279" s="39">
        <v>3194</v>
      </c>
      <c r="G279" s="39">
        <v>292</v>
      </c>
      <c r="H279" s="39">
        <v>245</v>
      </c>
      <c r="I279" s="39">
        <v>56371</v>
      </c>
      <c r="J279" s="39">
        <v>65597</v>
      </c>
      <c r="K279" s="39">
        <v>163</v>
      </c>
      <c r="L279" s="37" t="s">
        <v>26</v>
      </c>
      <c r="M279" s="36" t="s">
        <v>2</v>
      </c>
      <c r="N279" s="40">
        <f>INDEX('[1]Campaign Metadata '!B:B,MATCH(M279,'[1]Campaign Metadata '!A:A,0))</f>
        <v>45667</v>
      </c>
      <c r="O279" s="40">
        <f>INDEX('[1]Campaign Metadata '!C:C,MATCH(M279,'[1]Campaign Metadata '!A:A,0))</f>
        <v>45698</v>
      </c>
      <c r="P279" s="41" t="str">
        <f t="shared" si="8"/>
        <v>BEFORE</v>
      </c>
      <c r="Q279">
        <f>(Posts!$F279+Posts!$G279+Posts!$H279)/Posts!$I279</f>
        <v>6.6186514342481059E-2</v>
      </c>
      <c r="R279" s="1">
        <f t="shared" si="9"/>
        <v>3731</v>
      </c>
    </row>
    <row r="280" spans="1:18" ht="15.75" customHeight="1">
      <c r="A280" s="30" t="s">
        <v>324</v>
      </c>
      <c r="B280" s="31" t="s">
        <v>31</v>
      </c>
      <c r="C280" s="32">
        <v>45676</v>
      </c>
      <c r="D280" s="31" t="s">
        <v>32</v>
      </c>
      <c r="E280" s="31" t="s">
        <v>33</v>
      </c>
      <c r="F280" s="33">
        <v>3507</v>
      </c>
      <c r="G280" s="33">
        <v>295</v>
      </c>
      <c r="H280" s="33">
        <v>371</v>
      </c>
      <c r="I280" s="33">
        <v>20410</v>
      </c>
      <c r="J280" s="33">
        <v>53965</v>
      </c>
      <c r="K280" s="33">
        <v>212</v>
      </c>
      <c r="L280" s="31" t="s">
        <v>26</v>
      </c>
      <c r="M280" s="30" t="s">
        <v>2</v>
      </c>
      <c r="N280" s="34">
        <f>INDEX('[1]Campaign Metadata '!B:B,MATCH(M280,'[1]Campaign Metadata '!A:A,0))</f>
        <v>45667</v>
      </c>
      <c r="O280" s="34">
        <f>INDEX('[1]Campaign Metadata '!C:C,MATCH(M280,'[1]Campaign Metadata '!A:A,0))</f>
        <v>45698</v>
      </c>
      <c r="P280" s="35" t="str">
        <f t="shared" si="8"/>
        <v>DURING</v>
      </c>
      <c r="Q280">
        <f>(Posts!$F280+Posts!$G280+Posts!$H280)/Posts!$I280</f>
        <v>0.20445859872611466</v>
      </c>
      <c r="R280" s="1">
        <f t="shared" si="9"/>
        <v>4173</v>
      </c>
    </row>
    <row r="281" spans="1:18" ht="15.75" customHeight="1">
      <c r="A281" s="36" t="s">
        <v>325</v>
      </c>
      <c r="B281" s="37" t="s">
        <v>31</v>
      </c>
      <c r="C281" s="38">
        <v>45563</v>
      </c>
      <c r="D281" s="37" t="s">
        <v>32</v>
      </c>
      <c r="E281" s="37" t="s">
        <v>36</v>
      </c>
      <c r="F281" s="39">
        <v>4471</v>
      </c>
      <c r="G281" s="39">
        <v>317</v>
      </c>
      <c r="H281" s="39">
        <v>249</v>
      </c>
      <c r="I281" s="39">
        <v>44862</v>
      </c>
      <c r="J281" s="39">
        <v>33365</v>
      </c>
      <c r="K281" s="39">
        <v>184</v>
      </c>
      <c r="L281" s="37" t="s">
        <v>46</v>
      </c>
      <c r="M281" s="36" t="s">
        <v>2</v>
      </c>
      <c r="N281" s="40">
        <f>INDEX('[1]Campaign Metadata '!B:B,MATCH(M281,'[1]Campaign Metadata '!A:A,0))</f>
        <v>45667</v>
      </c>
      <c r="O281" s="40">
        <f>INDEX('[1]Campaign Metadata '!C:C,MATCH(M281,'[1]Campaign Metadata '!A:A,0))</f>
        <v>45698</v>
      </c>
      <c r="P281" s="41" t="str">
        <f t="shared" si="8"/>
        <v>BEFORE</v>
      </c>
      <c r="Q281">
        <f>(Posts!$F281+Posts!$G281+Posts!$H281)/Posts!$I281</f>
        <v>0.1122776514644911</v>
      </c>
      <c r="R281" s="1">
        <f t="shared" si="9"/>
        <v>5037</v>
      </c>
    </row>
    <row r="282" spans="1:18" ht="15.75" customHeight="1">
      <c r="A282" s="30" t="s">
        <v>326</v>
      </c>
      <c r="B282" s="31" t="s">
        <v>23</v>
      </c>
      <c r="C282" s="32">
        <v>45298</v>
      </c>
      <c r="D282" s="31" t="s">
        <v>24</v>
      </c>
      <c r="E282" s="31" t="s">
        <v>48</v>
      </c>
      <c r="F282" s="33">
        <v>4931</v>
      </c>
      <c r="G282" s="33">
        <v>469</v>
      </c>
      <c r="H282" s="33">
        <v>193</v>
      </c>
      <c r="I282" s="33">
        <v>56701</v>
      </c>
      <c r="J282" s="33">
        <v>69437</v>
      </c>
      <c r="K282" s="33">
        <v>291</v>
      </c>
      <c r="L282" s="31" t="s">
        <v>26</v>
      </c>
      <c r="M282" s="30" t="s">
        <v>2</v>
      </c>
      <c r="N282" s="34">
        <f>INDEX('[1]Campaign Metadata '!B:B,MATCH(M282,'[1]Campaign Metadata '!A:A,0))</f>
        <v>45667</v>
      </c>
      <c r="O282" s="34">
        <f>INDEX('[1]Campaign Metadata '!C:C,MATCH(M282,'[1]Campaign Metadata '!A:A,0))</f>
        <v>45698</v>
      </c>
      <c r="P282" s="35" t="str">
        <f t="shared" si="8"/>
        <v>BEFORE</v>
      </c>
      <c r="Q282">
        <f>(Posts!$F282+Posts!$G282+Posts!$H282)/Posts!$I282</f>
        <v>9.8640235621946709E-2</v>
      </c>
      <c r="R282" s="1">
        <f t="shared" si="9"/>
        <v>5593</v>
      </c>
    </row>
    <row r="283" spans="1:18" ht="15.75" customHeight="1">
      <c r="A283" s="36" t="s">
        <v>327</v>
      </c>
      <c r="B283" s="37" t="s">
        <v>31</v>
      </c>
      <c r="C283" s="38">
        <v>45343</v>
      </c>
      <c r="D283" s="37" t="s">
        <v>32</v>
      </c>
      <c r="E283" s="37" t="s">
        <v>44</v>
      </c>
      <c r="F283" s="39">
        <v>2604</v>
      </c>
      <c r="G283" s="39">
        <v>439</v>
      </c>
      <c r="H283" s="39">
        <v>148</v>
      </c>
      <c r="I283" s="39">
        <v>58468</v>
      </c>
      <c r="J283" s="39">
        <v>39629</v>
      </c>
      <c r="K283" s="39">
        <v>163</v>
      </c>
      <c r="L283" s="37" t="s">
        <v>34</v>
      </c>
      <c r="M283" s="36" t="s">
        <v>2</v>
      </c>
      <c r="N283" s="40">
        <f>INDEX('[1]Campaign Metadata '!B:B,MATCH(M283,'[1]Campaign Metadata '!A:A,0))</f>
        <v>45667</v>
      </c>
      <c r="O283" s="40">
        <f>INDEX('[1]Campaign Metadata '!C:C,MATCH(M283,'[1]Campaign Metadata '!A:A,0))</f>
        <v>45698</v>
      </c>
      <c r="P283" s="41" t="str">
        <f t="shared" si="8"/>
        <v>BEFORE</v>
      </c>
      <c r="Q283">
        <f>(Posts!$F283+Posts!$G283+Posts!$H283)/Posts!$I283</f>
        <v>5.4576862557296296E-2</v>
      </c>
      <c r="R283" s="1">
        <f t="shared" si="9"/>
        <v>3191</v>
      </c>
    </row>
    <row r="284" spans="1:18" ht="15.75" customHeight="1">
      <c r="A284" s="30" t="s">
        <v>328</v>
      </c>
      <c r="B284" s="31" t="s">
        <v>23</v>
      </c>
      <c r="C284" s="32">
        <v>45531</v>
      </c>
      <c r="D284" s="31" t="s">
        <v>24</v>
      </c>
      <c r="E284" s="31" t="s">
        <v>39</v>
      </c>
      <c r="F284" s="33">
        <v>4197</v>
      </c>
      <c r="G284" s="33">
        <v>359</v>
      </c>
      <c r="H284" s="33">
        <v>280</v>
      </c>
      <c r="I284" s="33">
        <v>56048</v>
      </c>
      <c r="J284" s="33">
        <v>70930</v>
      </c>
      <c r="K284" s="33">
        <v>295</v>
      </c>
      <c r="L284" s="31" t="s">
        <v>29</v>
      </c>
      <c r="M284" s="30" t="s">
        <v>3</v>
      </c>
      <c r="N284" s="34">
        <f>INDEX('[1]Campaign Metadata '!B:B,MATCH(M284,'[1]Campaign Metadata '!A:A,0))</f>
        <v>45717</v>
      </c>
      <c r="O284" s="34">
        <f>INDEX('[1]Campaign Metadata '!C:C,MATCH(M284,'[1]Campaign Metadata '!A:A,0))</f>
        <v>45747</v>
      </c>
      <c r="P284" s="35" t="str">
        <f t="shared" si="8"/>
        <v>BEFORE</v>
      </c>
      <c r="Q284">
        <f>(Posts!$F284+Posts!$G284+Posts!$H284)/Posts!$I284</f>
        <v>8.628318584070796E-2</v>
      </c>
      <c r="R284" s="1">
        <f t="shared" si="9"/>
        <v>4836</v>
      </c>
    </row>
    <row r="285" spans="1:18" ht="15.75" customHeight="1">
      <c r="A285" s="36" t="s">
        <v>329</v>
      </c>
      <c r="B285" s="37" t="s">
        <v>23</v>
      </c>
      <c r="C285" s="38">
        <v>45589</v>
      </c>
      <c r="D285" s="37" t="s">
        <v>32</v>
      </c>
      <c r="E285" s="37" t="s">
        <v>48</v>
      </c>
      <c r="F285" s="39">
        <v>1914</v>
      </c>
      <c r="G285" s="39">
        <v>255</v>
      </c>
      <c r="H285" s="39">
        <v>156</v>
      </c>
      <c r="I285" s="39">
        <v>27660</v>
      </c>
      <c r="J285" s="39">
        <v>47776</v>
      </c>
      <c r="K285" s="39">
        <v>111</v>
      </c>
      <c r="L285" s="37" t="s">
        <v>49</v>
      </c>
      <c r="M285" s="36" t="s">
        <v>1</v>
      </c>
      <c r="N285" s="40">
        <f>INDEX('[1]Campaign Metadata '!B:B,MATCH(M285,'[1]Campaign Metadata '!A:A,0))</f>
        <v>45627</v>
      </c>
      <c r="O285" s="40">
        <f>INDEX('[1]Campaign Metadata '!C:C,MATCH(M285,'[1]Campaign Metadata '!A:A,0))</f>
        <v>45657</v>
      </c>
      <c r="P285" s="41" t="str">
        <f t="shared" si="8"/>
        <v>BEFORE</v>
      </c>
      <c r="Q285">
        <f>(Posts!$F285+Posts!$G285+Posts!$H285)/Posts!$I285</f>
        <v>8.4056399132321047E-2</v>
      </c>
      <c r="R285" s="1">
        <f t="shared" si="9"/>
        <v>2325</v>
      </c>
    </row>
    <row r="286" spans="1:18" ht="15.75" customHeight="1">
      <c r="A286" s="30" t="s">
        <v>330</v>
      </c>
      <c r="B286" s="31" t="s">
        <v>38</v>
      </c>
      <c r="C286" s="32">
        <v>45686</v>
      </c>
      <c r="D286" s="31" t="s">
        <v>24</v>
      </c>
      <c r="E286" s="31" t="s">
        <v>33</v>
      </c>
      <c r="F286" s="33">
        <v>1334</v>
      </c>
      <c r="G286" s="33">
        <v>357</v>
      </c>
      <c r="H286" s="33">
        <v>257</v>
      </c>
      <c r="I286" s="33">
        <v>56910</v>
      </c>
      <c r="J286" s="33">
        <v>70606</v>
      </c>
      <c r="K286" s="33">
        <v>228</v>
      </c>
      <c r="L286" s="31" t="s">
        <v>40</v>
      </c>
      <c r="M286" s="30" t="s">
        <v>3</v>
      </c>
      <c r="N286" s="34">
        <f>INDEX('[1]Campaign Metadata '!B:B,MATCH(M286,'[1]Campaign Metadata '!A:A,0))</f>
        <v>45717</v>
      </c>
      <c r="O286" s="34">
        <f>INDEX('[1]Campaign Metadata '!C:C,MATCH(M286,'[1]Campaign Metadata '!A:A,0))</f>
        <v>45747</v>
      </c>
      <c r="P286" s="35" t="str">
        <f t="shared" si="8"/>
        <v>BEFORE</v>
      </c>
      <c r="Q286">
        <f>(Posts!$F286+Posts!$G286+Posts!$H286)/Posts!$I286</f>
        <v>3.4229485151994379E-2</v>
      </c>
      <c r="R286" s="1">
        <f t="shared" si="9"/>
        <v>1948</v>
      </c>
    </row>
    <row r="287" spans="1:18" ht="15.75" customHeight="1">
      <c r="A287" s="36" t="s">
        <v>331</v>
      </c>
      <c r="B287" s="37" t="s">
        <v>23</v>
      </c>
      <c r="C287" s="38">
        <v>45413</v>
      </c>
      <c r="D287" s="37" t="s">
        <v>24</v>
      </c>
      <c r="E287" s="37" t="s">
        <v>44</v>
      </c>
      <c r="F287" s="39">
        <v>3359</v>
      </c>
      <c r="G287" s="39">
        <v>137</v>
      </c>
      <c r="H287" s="39">
        <v>387</v>
      </c>
      <c r="I287" s="39">
        <v>33861</v>
      </c>
      <c r="J287" s="39">
        <v>47257</v>
      </c>
      <c r="K287" s="39">
        <v>198</v>
      </c>
      <c r="L287" s="37" t="s">
        <v>29</v>
      </c>
      <c r="M287" s="36" t="s">
        <v>3</v>
      </c>
      <c r="N287" s="40">
        <f>INDEX('[1]Campaign Metadata '!B:B,MATCH(M287,'[1]Campaign Metadata '!A:A,0))</f>
        <v>45717</v>
      </c>
      <c r="O287" s="40">
        <f>INDEX('[1]Campaign Metadata '!C:C,MATCH(M287,'[1]Campaign Metadata '!A:A,0))</f>
        <v>45747</v>
      </c>
      <c r="P287" s="41" t="str">
        <f t="shared" si="8"/>
        <v>BEFORE</v>
      </c>
      <c r="Q287">
        <f>(Posts!$F287+Posts!$G287+Posts!$H287)/Posts!$I287</f>
        <v>0.11467469950680724</v>
      </c>
      <c r="R287" s="1">
        <f t="shared" si="9"/>
        <v>3883</v>
      </c>
    </row>
    <row r="288" spans="1:18" ht="15.75" customHeight="1">
      <c r="A288" s="30" t="s">
        <v>332</v>
      </c>
      <c r="B288" s="31" t="s">
        <v>38</v>
      </c>
      <c r="C288" s="32">
        <v>45468</v>
      </c>
      <c r="D288" s="31" t="s">
        <v>24</v>
      </c>
      <c r="E288" s="31" t="s">
        <v>58</v>
      </c>
      <c r="F288" s="33">
        <v>2172</v>
      </c>
      <c r="G288" s="33">
        <v>338</v>
      </c>
      <c r="H288" s="33">
        <v>70</v>
      </c>
      <c r="I288" s="33">
        <v>30515</v>
      </c>
      <c r="J288" s="33">
        <v>57853</v>
      </c>
      <c r="K288" s="33">
        <v>156</v>
      </c>
      <c r="L288" s="31" t="s">
        <v>40</v>
      </c>
      <c r="M288" s="30" t="s">
        <v>3</v>
      </c>
      <c r="N288" s="34">
        <f>INDEX('[1]Campaign Metadata '!B:B,MATCH(M288,'[1]Campaign Metadata '!A:A,0))</f>
        <v>45717</v>
      </c>
      <c r="O288" s="34">
        <f>INDEX('[1]Campaign Metadata '!C:C,MATCH(M288,'[1]Campaign Metadata '!A:A,0))</f>
        <v>45747</v>
      </c>
      <c r="P288" s="35" t="str">
        <f t="shared" si="8"/>
        <v>BEFORE</v>
      </c>
      <c r="Q288">
        <f>(Posts!$F288+Posts!$G288+Posts!$H288)/Posts!$I288</f>
        <v>8.4548582664263475E-2</v>
      </c>
      <c r="R288" s="1">
        <f t="shared" si="9"/>
        <v>2580</v>
      </c>
    </row>
    <row r="289" spans="1:18" ht="15.75" customHeight="1">
      <c r="A289" s="36" t="s">
        <v>333</v>
      </c>
      <c r="B289" s="37" t="s">
        <v>31</v>
      </c>
      <c r="C289" s="38">
        <v>45513</v>
      </c>
      <c r="D289" s="37" t="s">
        <v>32</v>
      </c>
      <c r="E289" s="37" t="s">
        <v>56</v>
      </c>
      <c r="F289" s="39">
        <v>4877</v>
      </c>
      <c r="G289" s="39">
        <v>442</v>
      </c>
      <c r="H289" s="39">
        <v>236</v>
      </c>
      <c r="I289" s="39">
        <v>52673</v>
      </c>
      <c r="J289" s="39">
        <v>48241</v>
      </c>
      <c r="K289" s="39">
        <v>114</v>
      </c>
      <c r="L289" s="37" t="s">
        <v>46</v>
      </c>
      <c r="M289" s="36" t="s">
        <v>2</v>
      </c>
      <c r="N289" s="40">
        <f>INDEX('[1]Campaign Metadata '!B:B,MATCH(M289,'[1]Campaign Metadata '!A:A,0))</f>
        <v>45667</v>
      </c>
      <c r="O289" s="40">
        <f>INDEX('[1]Campaign Metadata '!C:C,MATCH(M289,'[1]Campaign Metadata '!A:A,0))</f>
        <v>45698</v>
      </c>
      <c r="P289" s="41" t="str">
        <f t="shared" si="8"/>
        <v>BEFORE</v>
      </c>
      <c r="Q289">
        <f>(Posts!$F289+Posts!$G289+Posts!$H289)/Posts!$I289</f>
        <v>0.10546200140489435</v>
      </c>
      <c r="R289" s="1">
        <f t="shared" si="9"/>
        <v>5555</v>
      </c>
    </row>
    <row r="290" spans="1:18" ht="15.75" customHeight="1">
      <c r="A290" s="30" t="s">
        <v>334</v>
      </c>
      <c r="B290" s="31" t="s">
        <v>23</v>
      </c>
      <c r="C290" s="32">
        <v>45678</v>
      </c>
      <c r="D290" s="31" t="s">
        <v>32</v>
      </c>
      <c r="E290" s="31" t="s">
        <v>33</v>
      </c>
      <c r="F290" s="33">
        <v>4918</v>
      </c>
      <c r="G290" s="33">
        <v>440</v>
      </c>
      <c r="H290" s="33">
        <v>149</v>
      </c>
      <c r="I290" s="33">
        <v>53269</v>
      </c>
      <c r="J290" s="33">
        <v>64370</v>
      </c>
      <c r="K290" s="33">
        <v>269</v>
      </c>
      <c r="L290" s="31" t="s">
        <v>49</v>
      </c>
      <c r="M290" s="30" t="s">
        <v>1</v>
      </c>
      <c r="N290" s="34">
        <f>INDEX('[1]Campaign Metadata '!B:B,MATCH(M290,'[1]Campaign Metadata '!A:A,0))</f>
        <v>45627</v>
      </c>
      <c r="O290" s="34">
        <f>INDEX('[1]Campaign Metadata '!C:C,MATCH(M290,'[1]Campaign Metadata '!A:A,0))</f>
        <v>45657</v>
      </c>
      <c r="P290" s="35" t="str">
        <f t="shared" si="8"/>
        <v>AFTER</v>
      </c>
      <c r="Q290">
        <f>(Posts!$F290+Posts!$G290+Posts!$H290)/Posts!$I290</f>
        <v>0.10338095327488783</v>
      </c>
      <c r="R290" s="1">
        <f t="shared" si="9"/>
        <v>5507</v>
      </c>
    </row>
    <row r="291" spans="1:18" ht="15.75" customHeight="1">
      <c r="A291" s="36" t="s">
        <v>335</v>
      </c>
      <c r="B291" s="37" t="s">
        <v>31</v>
      </c>
      <c r="C291" s="38">
        <v>45517</v>
      </c>
      <c r="D291" s="37" t="s">
        <v>24</v>
      </c>
      <c r="E291" s="37" t="s">
        <v>28</v>
      </c>
      <c r="F291" s="39">
        <v>3418</v>
      </c>
      <c r="G291" s="39">
        <v>107</v>
      </c>
      <c r="H291" s="39">
        <v>221</v>
      </c>
      <c r="I291" s="39">
        <v>23927</v>
      </c>
      <c r="J291" s="39">
        <v>26182</v>
      </c>
      <c r="K291" s="39">
        <v>155</v>
      </c>
      <c r="L291" s="37" t="s">
        <v>52</v>
      </c>
      <c r="M291" s="36" t="s">
        <v>3</v>
      </c>
      <c r="N291" s="40">
        <f>INDEX('[1]Campaign Metadata '!B:B,MATCH(M291,'[1]Campaign Metadata '!A:A,0))</f>
        <v>45717</v>
      </c>
      <c r="O291" s="40">
        <f>INDEX('[1]Campaign Metadata '!C:C,MATCH(M291,'[1]Campaign Metadata '!A:A,0))</f>
        <v>45747</v>
      </c>
      <c r="P291" s="41" t="str">
        <f t="shared" si="8"/>
        <v>BEFORE</v>
      </c>
      <c r="Q291">
        <f>(Posts!$F291+Posts!$G291+Posts!$H291)/Posts!$I291</f>
        <v>0.1565595352530614</v>
      </c>
      <c r="R291" s="1">
        <f t="shared" si="9"/>
        <v>3746</v>
      </c>
    </row>
    <row r="292" spans="1:18" ht="15.75" customHeight="1">
      <c r="A292" s="30" t="s">
        <v>336</v>
      </c>
      <c r="B292" s="31" t="s">
        <v>23</v>
      </c>
      <c r="C292" s="32">
        <v>45472</v>
      </c>
      <c r="D292" s="31" t="s">
        <v>24</v>
      </c>
      <c r="E292" s="31" t="s">
        <v>58</v>
      </c>
      <c r="F292" s="33">
        <v>2088</v>
      </c>
      <c r="G292" s="33">
        <v>490</v>
      </c>
      <c r="H292" s="33">
        <v>124</v>
      </c>
      <c r="I292" s="33">
        <v>46544</v>
      </c>
      <c r="J292" s="33">
        <v>69346</v>
      </c>
      <c r="K292" s="33">
        <v>178</v>
      </c>
      <c r="L292" s="31" t="s">
        <v>26</v>
      </c>
      <c r="M292" s="30" t="s">
        <v>2</v>
      </c>
      <c r="N292" s="34">
        <f>INDEX('[1]Campaign Metadata '!B:B,MATCH(M292,'[1]Campaign Metadata '!A:A,0))</f>
        <v>45667</v>
      </c>
      <c r="O292" s="34">
        <f>INDEX('[1]Campaign Metadata '!C:C,MATCH(M292,'[1]Campaign Metadata '!A:A,0))</f>
        <v>45698</v>
      </c>
      <c r="P292" s="35" t="str">
        <f t="shared" si="8"/>
        <v>BEFORE</v>
      </c>
      <c r="Q292">
        <f>(Posts!$F292+Posts!$G292+Posts!$H292)/Posts!$I292</f>
        <v>5.8052595393606049E-2</v>
      </c>
      <c r="R292" s="1">
        <f t="shared" si="9"/>
        <v>2702</v>
      </c>
    </row>
    <row r="293" spans="1:18" ht="15.75" customHeight="1">
      <c r="A293" s="36" t="s">
        <v>337</v>
      </c>
      <c r="B293" s="37" t="s">
        <v>31</v>
      </c>
      <c r="C293" s="38">
        <v>45599</v>
      </c>
      <c r="D293" s="37" t="s">
        <v>32</v>
      </c>
      <c r="E293" s="37" t="s">
        <v>28</v>
      </c>
      <c r="F293" s="39">
        <v>3061</v>
      </c>
      <c r="G293" s="39">
        <v>320</v>
      </c>
      <c r="H293" s="39">
        <v>76</v>
      </c>
      <c r="I293" s="39">
        <v>26640</v>
      </c>
      <c r="J293" s="39">
        <v>24306</v>
      </c>
      <c r="K293" s="39">
        <v>112</v>
      </c>
      <c r="L293" s="37" t="s">
        <v>34</v>
      </c>
      <c r="M293" s="36" t="s">
        <v>2</v>
      </c>
      <c r="N293" s="40">
        <f>INDEX('[1]Campaign Metadata '!B:B,MATCH(M293,'[1]Campaign Metadata '!A:A,0))</f>
        <v>45667</v>
      </c>
      <c r="O293" s="40">
        <f>INDEX('[1]Campaign Metadata '!C:C,MATCH(M293,'[1]Campaign Metadata '!A:A,0))</f>
        <v>45698</v>
      </c>
      <c r="P293" s="41" t="str">
        <f t="shared" si="8"/>
        <v>BEFORE</v>
      </c>
      <c r="Q293">
        <f>(Posts!$F293+Posts!$G293+Posts!$H293)/Posts!$I293</f>
        <v>0.12976726726726726</v>
      </c>
      <c r="R293" s="1">
        <f t="shared" si="9"/>
        <v>3457</v>
      </c>
    </row>
    <row r="294" spans="1:18" ht="15.75" customHeight="1">
      <c r="A294" s="30" t="s">
        <v>338</v>
      </c>
      <c r="B294" s="31" t="s">
        <v>38</v>
      </c>
      <c r="C294" s="32">
        <v>45765</v>
      </c>
      <c r="D294" s="31" t="s">
        <v>63</v>
      </c>
      <c r="E294" s="31" t="s">
        <v>58</v>
      </c>
      <c r="F294" s="33">
        <v>1265</v>
      </c>
      <c r="G294" s="33">
        <v>230</v>
      </c>
      <c r="H294" s="33">
        <v>364</v>
      </c>
      <c r="I294" s="33">
        <v>41312</v>
      </c>
      <c r="J294" s="33">
        <v>50382</v>
      </c>
      <c r="K294" s="33">
        <v>106</v>
      </c>
      <c r="L294" s="31" t="s">
        <v>64</v>
      </c>
      <c r="M294" s="30" t="s">
        <v>0</v>
      </c>
      <c r="N294" s="34">
        <f>INDEX('[1]Campaign Metadata '!B:B,MATCH(M294,'[1]Campaign Metadata '!A:A,0))</f>
        <v>45458</v>
      </c>
      <c r="O294" s="34">
        <f>INDEX('[1]Campaign Metadata '!C:C,MATCH(M294,'[1]Campaign Metadata '!A:A,0))</f>
        <v>45488</v>
      </c>
      <c r="P294" s="35" t="str">
        <f t="shared" si="8"/>
        <v>AFTER</v>
      </c>
      <c r="Q294">
        <f>(Posts!$F294+Posts!$G294+Posts!$H294)/Posts!$I294</f>
        <v>4.4999031758326875E-2</v>
      </c>
      <c r="R294" s="1">
        <f t="shared" si="9"/>
        <v>1859</v>
      </c>
    </row>
    <row r="295" spans="1:18" ht="15.75" customHeight="1">
      <c r="A295" s="36" t="s">
        <v>339</v>
      </c>
      <c r="B295" s="37" t="s">
        <v>23</v>
      </c>
      <c r="C295" s="38">
        <v>45653</v>
      </c>
      <c r="D295" s="37" t="s">
        <v>24</v>
      </c>
      <c r="E295" s="37" t="s">
        <v>56</v>
      </c>
      <c r="F295" s="39">
        <v>1436</v>
      </c>
      <c r="G295" s="39">
        <v>219</v>
      </c>
      <c r="H295" s="39">
        <v>229</v>
      </c>
      <c r="I295" s="39">
        <v>58488</v>
      </c>
      <c r="J295" s="39">
        <v>24314</v>
      </c>
      <c r="K295" s="39">
        <v>147</v>
      </c>
      <c r="L295" s="37" t="s">
        <v>29</v>
      </c>
      <c r="M295" s="36" t="s">
        <v>3</v>
      </c>
      <c r="N295" s="40">
        <f>INDEX('[1]Campaign Metadata '!B:B,MATCH(M295,'[1]Campaign Metadata '!A:A,0))</f>
        <v>45717</v>
      </c>
      <c r="O295" s="40">
        <f>INDEX('[1]Campaign Metadata '!C:C,MATCH(M295,'[1]Campaign Metadata '!A:A,0))</f>
        <v>45747</v>
      </c>
      <c r="P295" s="41" t="str">
        <f t="shared" si="8"/>
        <v>BEFORE</v>
      </c>
      <c r="Q295">
        <f>(Posts!$F295+Posts!$G295+Posts!$H295)/Posts!$I295</f>
        <v>3.221173574066475E-2</v>
      </c>
      <c r="R295" s="1">
        <f t="shared" si="9"/>
        <v>1884</v>
      </c>
    </row>
    <row r="296" spans="1:18" ht="15.75" customHeight="1">
      <c r="A296" s="30" t="s">
        <v>340</v>
      </c>
      <c r="B296" s="31" t="s">
        <v>23</v>
      </c>
      <c r="C296" s="32">
        <v>45724</v>
      </c>
      <c r="D296" s="31" t="s">
        <v>32</v>
      </c>
      <c r="E296" s="31" t="s">
        <v>48</v>
      </c>
      <c r="F296" s="33">
        <v>2244</v>
      </c>
      <c r="G296" s="33">
        <v>392</v>
      </c>
      <c r="H296" s="33">
        <v>231</v>
      </c>
      <c r="I296" s="33">
        <v>25834</v>
      </c>
      <c r="J296" s="33">
        <v>50906</v>
      </c>
      <c r="K296" s="33">
        <v>165</v>
      </c>
      <c r="L296" s="31" t="s">
        <v>49</v>
      </c>
      <c r="M296" s="30" t="s">
        <v>1</v>
      </c>
      <c r="N296" s="34">
        <f>INDEX('[1]Campaign Metadata '!B:B,MATCH(M296,'[1]Campaign Metadata '!A:A,0))</f>
        <v>45627</v>
      </c>
      <c r="O296" s="34">
        <f>INDEX('[1]Campaign Metadata '!C:C,MATCH(M296,'[1]Campaign Metadata '!A:A,0))</f>
        <v>45657</v>
      </c>
      <c r="P296" s="35" t="str">
        <f t="shared" si="8"/>
        <v>AFTER</v>
      </c>
      <c r="Q296">
        <f>(Posts!$F296+Posts!$G296+Posts!$H296)/Posts!$I296</f>
        <v>0.1109777812185492</v>
      </c>
      <c r="R296" s="1">
        <f t="shared" si="9"/>
        <v>2867</v>
      </c>
    </row>
    <row r="297" spans="1:18" ht="15.75" customHeight="1">
      <c r="A297" s="36" t="s">
        <v>341</v>
      </c>
      <c r="B297" s="37" t="s">
        <v>31</v>
      </c>
      <c r="C297" s="38">
        <v>45736</v>
      </c>
      <c r="D297" s="37" t="s">
        <v>32</v>
      </c>
      <c r="E297" s="37" t="s">
        <v>58</v>
      </c>
      <c r="F297" s="39">
        <v>3393</v>
      </c>
      <c r="G297" s="39">
        <v>104</v>
      </c>
      <c r="H297" s="39">
        <v>79</v>
      </c>
      <c r="I297" s="39">
        <v>30025</v>
      </c>
      <c r="J297" s="39">
        <v>21593</v>
      </c>
      <c r="K297" s="39">
        <v>165</v>
      </c>
      <c r="L297" s="37" t="s">
        <v>34</v>
      </c>
      <c r="M297" s="36" t="s">
        <v>2</v>
      </c>
      <c r="N297" s="40">
        <f>INDEX('[1]Campaign Metadata '!B:B,MATCH(M297,'[1]Campaign Metadata '!A:A,0))</f>
        <v>45667</v>
      </c>
      <c r="O297" s="40">
        <f>INDEX('[1]Campaign Metadata '!C:C,MATCH(M297,'[1]Campaign Metadata '!A:A,0))</f>
        <v>45698</v>
      </c>
      <c r="P297" s="41" t="str">
        <f t="shared" si="8"/>
        <v>AFTER</v>
      </c>
      <c r="Q297">
        <f>(Posts!$F297+Posts!$G297+Posts!$H297)/Posts!$I297</f>
        <v>0.1191007493755204</v>
      </c>
      <c r="R297" s="1">
        <f t="shared" si="9"/>
        <v>3576</v>
      </c>
    </row>
    <row r="298" spans="1:18" ht="15.75" customHeight="1">
      <c r="A298" s="30" t="s">
        <v>342</v>
      </c>
      <c r="B298" s="31" t="s">
        <v>31</v>
      </c>
      <c r="C298" s="32">
        <v>45612</v>
      </c>
      <c r="D298" s="31" t="s">
        <v>24</v>
      </c>
      <c r="E298" s="31" t="s">
        <v>28</v>
      </c>
      <c r="F298" s="33">
        <v>2901</v>
      </c>
      <c r="G298" s="33">
        <v>108</v>
      </c>
      <c r="H298" s="33">
        <v>86</v>
      </c>
      <c r="I298" s="33">
        <v>51777</v>
      </c>
      <c r="J298" s="33">
        <v>23773</v>
      </c>
      <c r="K298" s="33">
        <v>160</v>
      </c>
      <c r="L298" s="31" t="s">
        <v>52</v>
      </c>
      <c r="M298" s="30" t="s">
        <v>3</v>
      </c>
      <c r="N298" s="34">
        <f>INDEX('[1]Campaign Metadata '!B:B,MATCH(M298,'[1]Campaign Metadata '!A:A,0))</f>
        <v>45717</v>
      </c>
      <c r="O298" s="34">
        <f>INDEX('[1]Campaign Metadata '!C:C,MATCH(M298,'[1]Campaign Metadata '!A:A,0))</f>
        <v>45747</v>
      </c>
      <c r="P298" s="35" t="str">
        <f t="shared" si="8"/>
        <v>BEFORE</v>
      </c>
      <c r="Q298">
        <f>(Posts!$F298+Posts!$G298+Posts!$H298)/Posts!$I298</f>
        <v>5.9775576027966085E-2</v>
      </c>
      <c r="R298" s="1">
        <f t="shared" si="9"/>
        <v>3095</v>
      </c>
    </row>
    <row r="299" spans="1:18" ht="15.75" customHeight="1">
      <c r="A299" s="36" t="s">
        <v>343</v>
      </c>
      <c r="B299" s="37" t="s">
        <v>31</v>
      </c>
      <c r="C299" s="38">
        <v>45838</v>
      </c>
      <c r="D299" s="37" t="s">
        <v>24</v>
      </c>
      <c r="E299" s="37" t="s">
        <v>42</v>
      </c>
      <c r="F299" s="39">
        <v>2275</v>
      </c>
      <c r="G299" s="39">
        <v>285</v>
      </c>
      <c r="H299" s="39">
        <v>125</v>
      </c>
      <c r="I299" s="39">
        <v>43970</v>
      </c>
      <c r="J299" s="39">
        <v>74761</v>
      </c>
      <c r="K299" s="39">
        <v>83</v>
      </c>
      <c r="L299" s="37" t="s">
        <v>49</v>
      </c>
      <c r="M299" s="36" t="s">
        <v>2</v>
      </c>
      <c r="N299" s="40">
        <f>INDEX('[1]Campaign Metadata '!B:B,MATCH(M299,'[1]Campaign Metadata '!A:A,0))</f>
        <v>45667</v>
      </c>
      <c r="O299" s="40">
        <f>INDEX('[1]Campaign Metadata '!C:C,MATCH(M299,'[1]Campaign Metadata '!A:A,0))</f>
        <v>45698</v>
      </c>
      <c r="P299" s="41" t="str">
        <f t="shared" si="8"/>
        <v>AFTER</v>
      </c>
      <c r="Q299">
        <f>(Posts!$F299+Posts!$G299+Posts!$H299)/Posts!$I299</f>
        <v>6.1064362065044349E-2</v>
      </c>
      <c r="R299" s="1">
        <f t="shared" si="9"/>
        <v>2685</v>
      </c>
    </row>
    <row r="300" spans="1:18" ht="15.75" customHeight="1">
      <c r="A300" s="30" t="s">
        <v>344</v>
      </c>
      <c r="B300" s="31" t="s">
        <v>31</v>
      </c>
      <c r="C300" s="32">
        <v>45303</v>
      </c>
      <c r="D300" s="31" t="s">
        <v>32</v>
      </c>
      <c r="E300" s="31" t="s">
        <v>36</v>
      </c>
      <c r="F300" s="33">
        <v>2227</v>
      </c>
      <c r="G300" s="33">
        <v>494</v>
      </c>
      <c r="H300" s="33">
        <v>161</v>
      </c>
      <c r="I300" s="33">
        <v>51651</v>
      </c>
      <c r="J300" s="33">
        <v>68074</v>
      </c>
      <c r="K300" s="33">
        <v>240</v>
      </c>
      <c r="L300" s="31" t="s">
        <v>46</v>
      </c>
      <c r="M300" s="30" t="s">
        <v>2</v>
      </c>
      <c r="N300" s="34">
        <f>INDEX('[1]Campaign Metadata '!B:B,MATCH(M300,'[1]Campaign Metadata '!A:A,0))</f>
        <v>45667</v>
      </c>
      <c r="O300" s="34">
        <f>INDEX('[1]Campaign Metadata '!C:C,MATCH(M300,'[1]Campaign Metadata '!A:A,0))</f>
        <v>45698</v>
      </c>
      <c r="P300" s="35" t="str">
        <f t="shared" si="8"/>
        <v>BEFORE</v>
      </c>
      <c r="Q300">
        <f>(Posts!$F300+Posts!$G300+Posts!$H300)/Posts!$I300</f>
        <v>5.5797564422760453E-2</v>
      </c>
      <c r="R300" s="1">
        <f t="shared" si="9"/>
        <v>2882</v>
      </c>
    </row>
    <row r="301" spans="1:18" ht="15.75" customHeight="1">
      <c r="A301" s="36" t="s">
        <v>345</v>
      </c>
      <c r="B301" s="37" t="s">
        <v>23</v>
      </c>
      <c r="C301" s="38">
        <v>45329</v>
      </c>
      <c r="D301" s="37" t="s">
        <v>24</v>
      </c>
      <c r="E301" s="37" t="s">
        <v>39</v>
      </c>
      <c r="F301" s="39">
        <v>1883</v>
      </c>
      <c r="G301" s="39">
        <v>432</v>
      </c>
      <c r="H301" s="39">
        <v>397</v>
      </c>
      <c r="I301" s="39">
        <v>28759</v>
      </c>
      <c r="J301" s="39">
        <v>18691</v>
      </c>
      <c r="K301" s="39">
        <v>270</v>
      </c>
      <c r="L301" s="37" t="s">
        <v>26</v>
      </c>
      <c r="M301" s="36" t="s">
        <v>2</v>
      </c>
      <c r="N301" s="40">
        <f>INDEX('[1]Campaign Metadata '!B:B,MATCH(M301,'[1]Campaign Metadata '!A:A,0))</f>
        <v>45667</v>
      </c>
      <c r="O301" s="40">
        <f>INDEX('[1]Campaign Metadata '!C:C,MATCH(M301,'[1]Campaign Metadata '!A:A,0))</f>
        <v>45698</v>
      </c>
      <c r="P301" s="41" t="str">
        <f t="shared" si="8"/>
        <v>BEFORE</v>
      </c>
      <c r="Q301">
        <f>(Posts!$F301+Posts!$G301+Posts!$H301)/Posts!$I301</f>
        <v>9.4300914496331587E-2</v>
      </c>
      <c r="R301" s="1">
        <f t="shared" si="9"/>
        <v>2712</v>
      </c>
    </row>
    <row r="302" spans="1:18" ht="15.75" customHeight="1">
      <c r="A302" s="42"/>
      <c r="B302" s="43"/>
      <c r="C302" s="44"/>
      <c r="D302" s="43"/>
      <c r="E302" s="43"/>
      <c r="F302" s="35"/>
      <c r="G302" s="35"/>
      <c r="H302" s="35"/>
      <c r="I302" s="35"/>
      <c r="J302" s="35"/>
      <c r="K302" s="35"/>
      <c r="L302" s="43"/>
      <c r="M302" s="42"/>
      <c r="N302" s="35"/>
      <c r="O302" s="35"/>
      <c r="P302" s="35"/>
    </row>
    <row r="303" spans="1:18" ht="15.75" customHeight="1">
      <c r="B303"/>
      <c r="C303" s="9"/>
      <c r="D303"/>
      <c r="E303"/>
      <c r="F303"/>
      <c r="G303"/>
      <c r="H303"/>
      <c r="I303"/>
      <c r="J303"/>
      <c r="K303"/>
      <c r="L303"/>
    </row>
    <row r="304" spans="1:18" ht="15.75" customHeight="1">
      <c r="B304"/>
      <c r="C304" s="9"/>
      <c r="D304"/>
      <c r="E304"/>
      <c r="F304"/>
      <c r="G304"/>
      <c r="H304"/>
      <c r="I304"/>
      <c r="J304"/>
      <c r="K304"/>
      <c r="L304"/>
    </row>
    <row r="305" spans="3:15" customFormat="1" ht="15.75" customHeight="1">
      <c r="C305" s="9"/>
      <c r="N305" s="9"/>
      <c r="O305" s="9"/>
    </row>
    <row r="306" spans="3:15" customFormat="1" ht="15.75" customHeight="1">
      <c r="C306" s="9"/>
      <c r="N306" s="9"/>
      <c r="O306" s="9"/>
    </row>
    <row r="307" spans="3:15" customFormat="1" ht="15.75" customHeight="1">
      <c r="C307" s="9"/>
      <c r="N307" s="9"/>
      <c r="O307" s="9"/>
    </row>
    <row r="308" spans="3:15" customFormat="1" ht="15.75" customHeight="1">
      <c r="C308" s="9"/>
      <c r="N308" s="9"/>
      <c r="O308" s="9"/>
    </row>
    <row r="309" spans="3:15" customFormat="1" ht="15.75" customHeight="1">
      <c r="C309" s="9"/>
      <c r="N309" s="9"/>
      <c r="O309" s="9"/>
    </row>
    <row r="310" spans="3:15" customFormat="1" ht="15.75" customHeight="1">
      <c r="C310" s="9"/>
      <c r="N310" s="9"/>
      <c r="O310" s="9"/>
    </row>
    <row r="311" spans="3:15" customFormat="1" ht="15.75" customHeight="1">
      <c r="C311" s="9"/>
      <c r="N311" s="9"/>
      <c r="O311" s="9"/>
    </row>
    <row r="312" spans="3:15" customFormat="1" ht="15.75" customHeight="1">
      <c r="C312" s="9"/>
      <c r="N312" s="9"/>
      <c r="O312" s="9"/>
    </row>
    <row r="313" spans="3:15" customFormat="1" ht="15.75" customHeight="1">
      <c r="C313" s="9"/>
      <c r="N313" s="9"/>
      <c r="O313" s="9"/>
    </row>
    <row r="314" spans="3:15" customFormat="1" ht="15.75" customHeight="1">
      <c r="C314" s="9"/>
      <c r="N314" s="9"/>
      <c r="O314" s="9"/>
    </row>
    <row r="315" spans="3:15" customFormat="1" ht="15.75" customHeight="1">
      <c r="C315" s="9"/>
      <c r="N315" s="9"/>
      <c r="O315" s="9"/>
    </row>
    <row r="316" spans="3:15" customFormat="1" ht="15.75" customHeight="1">
      <c r="C316" s="9"/>
      <c r="N316" s="9"/>
      <c r="O316" s="9"/>
    </row>
    <row r="317" spans="3:15" customFormat="1" ht="15.75" customHeight="1">
      <c r="C317" s="9"/>
      <c r="N317" s="9"/>
      <c r="O317" s="9"/>
    </row>
    <row r="318" spans="3:15" customFormat="1" ht="15.75" customHeight="1">
      <c r="C318" s="9"/>
      <c r="N318" s="9"/>
      <c r="O318" s="9"/>
    </row>
    <row r="319" spans="3:15" customFormat="1" ht="15.75" customHeight="1">
      <c r="C319" s="9"/>
      <c r="N319" s="9"/>
      <c r="O319" s="9"/>
    </row>
    <row r="320" spans="3:15" customFormat="1" ht="15.75" customHeight="1">
      <c r="C320" s="9"/>
      <c r="N320" s="9"/>
      <c r="O320" s="9"/>
    </row>
    <row r="321" spans="3:15" customFormat="1" ht="15.75" customHeight="1">
      <c r="C321" s="9"/>
      <c r="N321" s="9"/>
      <c r="O321" s="9"/>
    </row>
    <row r="322" spans="3:15" customFormat="1" ht="15.75" customHeight="1">
      <c r="C322" s="9"/>
      <c r="N322" s="9"/>
      <c r="O322" s="9"/>
    </row>
    <row r="323" spans="3:15" customFormat="1" ht="15.75" customHeight="1">
      <c r="C323" s="9"/>
      <c r="N323" s="9"/>
      <c r="O323" s="9"/>
    </row>
    <row r="324" spans="3:15" customFormat="1" ht="15.75" customHeight="1">
      <c r="C324" s="9"/>
      <c r="N324" s="9"/>
      <c r="O324" s="9"/>
    </row>
    <row r="325" spans="3:15" customFormat="1" ht="15.75" customHeight="1">
      <c r="C325" s="9"/>
      <c r="N325" s="9"/>
      <c r="O325" s="9"/>
    </row>
    <row r="326" spans="3:15" customFormat="1" ht="15.75" customHeight="1">
      <c r="C326" s="9"/>
      <c r="N326" s="9"/>
      <c r="O326" s="9"/>
    </row>
    <row r="327" spans="3:15" customFormat="1" ht="15.75" customHeight="1">
      <c r="C327" s="9"/>
      <c r="N327" s="9"/>
      <c r="O327" s="9"/>
    </row>
    <row r="328" spans="3:15" customFormat="1" ht="15.75" customHeight="1">
      <c r="C328" s="9"/>
      <c r="N328" s="9"/>
      <c r="O328" s="9"/>
    </row>
    <row r="329" spans="3:15" customFormat="1" ht="15.75" customHeight="1">
      <c r="C329" s="9"/>
      <c r="N329" s="9"/>
      <c r="O329" s="9"/>
    </row>
    <row r="330" spans="3:15" customFormat="1" ht="15.75" customHeight="1">
      <c r="C330" s="9"/>
      <c r="N330" s="9"/>
      <c r="O330" s="9"/>
    </row>
    <row r="331" spans="3:15" customFormat="1" ht="15.75" customHeight="1">
      <c r="C331" s="9"/>
      <c r="N331" s="9"/>
      <c r="O331" s="9"/>
    </row>
    <row r="332" spans="3:15" customFormat="1" ht="15.75" customHeight="1">
      <c r="C332" s="9"/>
      <c r="N332" s="9"/>
      <c r="O332" s="9"/>
    </row>
    <row r="333" spans="3:15" customFormat="1" ht="15.75" customHeight="1">
      <c r="C333" s="9"/>
      <c r="N333" s="9"/>
      <c r="O333" s="9"/>
    </row>
    <row r="334" spans="3:15" customFormat="1" ht="15.75" customHeight="1">
      <c r="C334" s="9"/>
      <c r="N334" s="9"/>
      <c r="O334" s="9"/>
    </row>
    <row r="335" spans="3:15" customFormat="1" ht="15.75" customHeight="1">
      <c r="C335" s="9"/>
      <c r="N335" s="9"/>
      <c r="O335" s="9"/>
    </row>
    <row r="336" spans="3:15" customFormat="1" ht="15.75" customHeight="1">
      <c r="C336" s="9"/>
      <c r="N336" s="9"/>
      <c r="O336" s="9"/>
    </row>
    <row r="337" spans="3:15" customFormat="1" ht="15.75" customHeight="1">
      <c r="C337" s="9"/>
      <c r="N337" s="9"/>
      <c r="O337" s="9"/>
    </row>
    <row r="338" spans="3:15" customFormat="1" ht="15.75" customHeight="1">
      <c r="C338" s="9"/>
      <c r="N338" s="9"/>
      <c r="O338" s="9"/>
    </row>
    <row r="339" spans="3:15" customFormat="1" ht="15.75" customHeight="1">
      <c r="C339" s="9"/>
      <c r="N339" s="9"/>
      <c r="O339" s="9"/>
    </row>
    <row r="340" spans="3:15" customFormat="1" ht="15.75" customHeight="1">
      <c r="C340" s="9"/>
      <c r="N340" s="9"/>
      <c r="O340" s="9"/>
    </row>
    <row r="341" spans="3:15" customFormat="1" ht="15.75" customHeight="1">
      <c r="C341" s="9"/>
      <c r="N341" s="9"/>
      <c r="O341" s="9"/>
    </row>
    <row r="342" spans="3:15" customFormat="1" ht="15.75" customHeight="1">
      <c r="C342" s="9"/>
      <c r="N342" s="9"/>
      <c r="O342" s="9"/>
    </row>
    <row r="343" spans="3:15" customFormat="1" ht="15.75" customHeight="1">
      <c r="C343" s="9"/>
      <c r="N343" s="9"/>
      <c r="O343" s="9"/>
    </row>
    <row r="344" spans="3:15" customFormat="1" ht="15.75" customHeight="1">
      <c r="C344" s="9"/>
      <c r="N344" s="9"/>
      <c r="O344" s="9"/>
    </row>
    <row r="345" spans="3:15" customFormat="1" ht="15.75" customHeight="1">
      <c r="C345" s="9"/>
      <c r="N345" s="9"/>
      <c r="O345" s="9"/>
    </row>
    <row r="346" spans="3:15" customFormat="1" ht="15.75" customHeight="1">
      <c r="C346" s="9"/>
      <c r="N346" s="9"/>
      <c r="O346" s="9"/>
    </row>
    <row r="347" spans="3:15" customFormat="1" ht="15.75" customHeight="1">
      <c r="C347" s="9"/>
      <c r="N347" s="9"/>
      <c r="O347" s="9"/>
    </row>
    <row r="348" spans="3:15" customFormat="1" ht="15.75" customHeight="1">
      <c r="C348" s="9"/>
      <c r="N348" s="9"/>
      <c r="O348" s="9"/>
    </row>
    <row r="349" spans="3:15" customFormat="1" ht="15.75" customHeight="1">
      <c r="C349" s="9"/>
      <c r="N349" s="9"/>
      <c r="O349" s="9"/>
    </row>
    <row r="350" spans="3:15" customFormat="1" ht="15.75" customHeight="1">
      <c r="C350" s="9"/>
      <c r="N350" s="9"/>
      <c r="O350" s="9"/>
    </row>
    <row r="351" spans="3:15" customFormat="1" ht="15.75" customHeight="1">
      <c r="C351" s="9"/>
      <c r="N351" s="9"/>
      <c r="O351" s="9"/>
    </row>
    <row r="352" spans="3:15" customFormat="1" ht="15.75" customHeight="1">
      <c r="C352" s="9"/>
      <c r="N352" s="9"/>
      <c r="O352" s="9"/>
    </row>
    <row r="353" spans="3:15" customFormat="1" ht="15.75" customHeight="1">
      <c r="C353" s="9"/>
      <c r="N353" s="9"/>
      <c r="O353" s="9"/>
    </row>
    <row r="354" spans="3:15" customFormat="1" ht="15.75" customHeight="1">
      <c r="C354" s="9"/>
      <c r="N354" s="9"/>
      <c r="O354" s="9"/>
    </row>
    <row r="355" spans="3:15" customFormat="1" ht="15.75" customHeight="1">
      <c r="C355" s="9"/>
      <c r="N355" s="9"/>
      <c r="O355" s="9"/>
    </row>
    <row r="356" spans="3:15" customFormat="1" ht="15.75" customHeight="1">
      <c r="C356" s="9"/>
      <c r="N356" s="9"/>
      <c r="O356" s="9"/>
    </row>
    <row r="357" spans="3:15" customFormat="1" ht="15.75" customHeight="1">
      <c r="C357" s="9"/>
      <c r="N357" s="9"/>
      <c r="O357" s="9"/>
    </row>
    <row r="358" spans="3:15" customFormat="1" ht="15.75" customHeight="1">
      <c r="C358" s="9"/>
      <c r="N358" s="9"/>
      <c r="O358" s="9"/>
    </row>
    <row r="359" spans="3:15" customFormat="1" ht="15.75" customHeight="1">
      <c r="C359" s="9"/>
      <c r="N359" s="9"/>
      <c r="O359" s="9"/>
    </row>
    <row r="360" spans="3:15" customFormat="1" ht="15.75" customHeight="1">
      <c r="C360" s="9"/>
      <c r="N360" s="9"/>
      <c r="O360" s="9"/>
    </row>
    <row r="361" spans="3:15" customFormat="1" ht="15.75" customHeight="1">
      <c r="C361" s="9"/>
      <c r="N361" s="9"/>
      <c r="O361" s="9"/>
    </row>
    <row r="362" spans="3:15" customFormat="1" ht="15.75" customHeight="1">
      <c r="C362" s="9"/>
      <c r="N362" s="9"/>
      <c r="O362" s="9"/>
    </row>
    <row r="363" spans="3:15" customFormat="1" ht="15.75" customHeight="1">
      <c r="C363" s="9"/>
      <c r="N363" s="9"/>
      <c r="O363" s="9"/>
    </row>
    <row r="364" spans="3:15" customFormat="1" ht="15.75" customHeight="1">
      <c r="C364" s="9"/>
      <c r="N364" s="9"/>
      <c r="O364" s="9"/>
    </row>
    <row r="365" spans="3:15" customFormat="1" ht="15.75" customHeight="1">
      <c r="C365" s="9"/>
      <c r="N365" s="9"/>
      <c r="O365" s="9"/>
    </row>
    <row r="366" spans="3:15" customFormat="1" ht="15.75" customHeight="1">
      <c r="C366" s="9"/>
      <c r="N366" s="9"/>
      <c r="O366" s="9"/>
    </row>
    <row r="367" spans="3:15" customFormat="1" ht="15.75" customHeight="1">
      <c r="C367" s="9"/>
      <c r="N367" s="9"/>
      <c r="O367" s="9"/>
    </row>
    <row r="368" spans="3:15" customFormat="1" ht="15.75" customHeight="1">
      <c r="C368" s="9"/>
      <c r="N368" s="9"/>
      <c r="O368" s="9"/>
    </row>
    <row r="369" spans="3:15" customFormat="1" ht="15.75" customHeight="1">
      <c r="C369" s="9"/>
      <c r="N369" s="9"/>
      <c r="O369" s="9"/>
    </row>
    <row r="370" spans="3:15" customFormat="1" ht="15.75" customHeight="1">
      <c r="C370" s="9"/>
      <c r="N370" s="9"/>
      <c r="O370" s="9"/>
    </row>
    <row r="371" spans="3:15" customFormat="1" ht="15.75" customHeight="1">
      <c r="C371" s="9"/>
      <c r="N371" s="9"/>
      <c r="O371" s="9"/>
    </row>
    <row r="372" spans="3:15" customFormat="1" ht="15.75" customHeight="1">
      <c r="C372" s="9"/>
      <c r="N372" s="9"/>
      <c r="O372" s="9"/>
    </row>
    <row r="373" spans="3:15" customFormat="1" ht="15.75" customHeight="1">
      <c r="C373" s="9"/>
      <c r="N373" s="9"/>
      <c r="O373" s="9"/>
    </row>
    <row r="374" spans="3:15" customFormat="1" ht="15.75" customHeight="1">
      <c r="C374" s="9"/>
      <c r="N374" s="9"/>
      <c r="O374" s="9"/>
    </row>
    <row r="375" spans="3:15" customFormat="1" ht="15.75" customHeight="1">
      <c r="C375" s="9"/>
      <c r="N375" s="9"/>
      <c r="O375" s="9"/>
    </row>
    <row r="376" spans="3:15" customFormat="1" ht="15.75" customHeight="1">
      <c r="C376" s="9"/>
      <c r="N376" s="9"/>
      <c r="O376" s="9"/>
    </row>
    <row r="377" spans="3:15" customFormat="1" ht="15.75" customHeight="1">
      <c r="C377" s="9"/>
      <c r="N377" s="9"/>
      <c r="O377" s="9"/>
    </row>
    <row r="378" spans="3:15" customFormat="1" ht="15.75" customHeight="1">
      <c r="C378" s="9"/>
      <c r="N378" s="9"/>
      <c r="O378" s="9"/>
    </row>
    <row r="379" spans="3:15" customFormat="1" ht="15.75" customHeight="1">
      <c r="C379" s="9"/>
      <c r="N379" s="9"/>
      <c r="O379" s="9"/>
    </row>
    <row r="380" spans="3:15" customFormat="1" ht="15.75" customHeight="1">
      <c r="C380" s="9"/>
      <c r="N380" s="9"/>
      <c r="O380" s="9"/>
    </row>
    <row r="381" spans="3:15" customFormat="1" ht="15.75" customHeight="1">
      <c r="C381" s="9"/>
      <c r="N381" s="9"/>
      <c r="O381" s="9"/>
    </row>
    <row r="382" spans="3:15" customFormat="1" ht="15.75" customHeight="1">
      <c r="C382" s="9"/>
      <c r="N382" s="9"/>
      <c r="O382" s="9"/>
    </row>
    <row r="383" spans="3:15" customFormat="1" ht="15.75" customHeight="1">
      <c r="C383" s="9"/>
      <c r="N383" s="9"/>
      <c r="O383" s="9"/>
    </row>
    <row r="384" spans="3:15" customFormat="1" ht="15.75" customHeight="1">
      <c r="C384" s="9"/>
      <c r="N384" s="9"/>
      <c r="O384" s="9"/>
    </row>
    <row r="385" spans="3:15" customFormat="1" ht="15.75" customHeight="1">
      <c r="C385" s="9"/>
      <c r="N385" s="9"/>
      <c r="O385" s="9"/>
    </row>
    <row r="386" spans="3:15" customFormat="1" ht="15.75" customHeight="1">
      <c r="C386" s="9"/>
      <c r="N386" s="9"/>
      <c r="O386" s="9"/>
    </row>
    <row r="387" spans="3:15" customFormat="1" ht="15.75" customHeight="1">
      <c r="C387" s="9"/>
      <c r="N387" s="9"/>
      <c r="O387" s="9"/>
    </row>
    <row r="388" spans="3:15" customFormat="1" ht="15.75" customHeight="1">
      <c r="C388" s="9"/>
      <c r="N388" s="9"/>
      <c r="O388" s="9"/>
    </row>
    <row r="389" spans="3:15" customFormat="1" ht="15.75" customHeight="1">
      <c r="C389" s="9"/>
      <c r="N389" s="9"/>
      <c r="O389" s="9"/>
    </row>
    <row r="390" spans="3:15" customFormat="1" ht="15.75" customHeight="1">
      <c r="C390" s="9"/>
      <c r="N390" s="9"/>
      <c r="O390" s="9"/>
    </row>
    <row r="391" spans="3:15" customFormat="1" ht="15.75" customHeight="1">
      <c r="C391" s="9"/>
      <c r="N391" s="9"/>
      <c r="O391" s="9"/>
    </row>
    <row r="392" spans="3:15" customFormat="1" ht="15.75" customHeight="1">
      <c r="C392" s="9"/>
      <c r="N392" s="9"/>
      <c r="O392" s="9"/>
    </row>
    <row r="393" spans="3:15" customFormat="1" ht="15.75" customHeight="1">
      <c r="C393" s="9"/>
      <c r="N393" s="9"/>
      <c r="O393" s="9"/>
    </row>
    <row r="394" spans="3:15" customFormat="1" ht="15.75" customHeight="1">
      <c r="C394" s="9"/>
      <c r="N394" s="9"/>
      <c r="O394" s="9"/>
    </row>
    <row r="395" spans="3:15" customFormat="1" ht="15.75" customHeight="1">
      <c r="C395" s="9"/>
      <c r="N395" s="9"/>
      <c r="O395" s="9"/>
    </row>
    <row r="396" spans="3:15" customFormat="1" ht="15.75" customHeight="1">
      <c r="C396" s="9"/>
      <c r="N396" s="9"/>
      <c r="O396" s="9"/>
    </row>
    <row r="397" spans="3:15" customFormat="1" ht="15.75" customHeight="1">
      <c r="C397" s="9"/>
      <c r="N397" s="9"/>
      <c r="O397" s="9"/>
    </row>
    <row r="398" spans="3:15" customFormat="1" ht="15.75" customHeight="1">
      <c r="C398" s="9"/>
      <c r="N398" s="9"/>
      <c r="O398" s="9"/>
    </row>
    <row r="399" spans="3:15" customFormat="1" ht="15.75" customHeight="1">
      <c r="C399" s="9"/>
      <c r="N399" s="9"/>
      <c r="O399" s="9"/>
    </row>
    <row r="400" spans="3:15" customFormat="1" ht="15.75" customHeight="1">
      <c r="C400" s="9"/>
      <c r="N400" s="9"/>
      <c r="O400" s="9"/>
    </row>
    <row r="401" spans="3:15" customFormat="1" ht="15.75" customHeight="1">
      <c r="C401" s="9"/>
      <c r="N401" s="9"/>
      <c r="O401" s="9"/>
    </row>
    <row r="402" spans="3:15" customFormat="1" ht="15.75" customHeight="1">
      <c r="C402" s="9"/>
      <c r="N402" s="9"/>
      <c r="O402" s="9"/>
    </row>
    <row r="403" spans="3:15" customFormat="1" ht="15.75" customHeight="1">
      <c r="C403" s="9"/>
      <c r="N403" s="9"/>
      <c r="O403" s="9"/>
    </row>
    <row r="404" spans="3:15" customFormat="1" ht="15.75" customHeight="1">
      <c r="C404" s="9"/>
      <c r="N404" s="9"/>
      <c r="O404" s="9"/>
    </row>
    <row r="405" spans="3:15" customFormat="1" ht="15.75" customHeight="1">
      <c r="C405" s="9"/>
      <c r="N405" s="9"/>
      <c r="O405" s="9"/>
    </row>
    <row r="406" spans="3:15" customFormat="1" ht="15.75" customHeight="1">
      <c r="C406" s="9"/>
      <c r="N406" s="9"/>
      <c r="O406" s="9"/>
    </row>
    <row r="407" spans="3:15" customFormat="1" ht="15.75" customHeight="1">
      <c r="C407" s="9"/>
      <c r="N407" s="9"/>
      <c r="O407" s="9"/>
    </row>
    <row r="408" spans="3:15" customFormat="1" ht="15.75" customHeight="1">
      <c r="C408" s="9"/>
      <c r="N408" s="9"/>
      <c r="O408" s="9"/>
    </row>
    <row r="409" spans="3:15" customFormat="1" ht="15.75" customHeight="1">
      <c r="C409" s="9"/>
      <c r="N409" s="9"/>
      <c r="O409" s="9"/>
    </row>
    <row r="410" spans="3:15" customFormat="1" ht="15.75" customHeight="1">
      <c r="C410" s="9"/>
      <c r="N410" s="9"/>
      <c r="O410" s="9"/>
    </row>
    <row r="411" spans="3:15" customFormat="1" ht="15.75" customHeight="1">
      <c r="C411" s="9"/>
      <c r="N411" s="9"/>
      <c r="O411" s="9"/>
    </row>
    <row r="412" spans="3:15" customFormat="1" ht="15.75" customHeight="1">
      <c r="C412" s="9"/>
      <c r="N412" s="9"/>
      <c r="O412" s="9"/>
    </row>
    <row r="413" spans="3:15" customFormat="1" ht="15.75" customHeight="1">
      <c r="C413" s="9"/>
      <c r="N413" s="9"/>
      <c r="O413" s="9"/>
    </row>
    <row r="414" spans="3:15" customFormat="1" ht="15.75" customHeight="1">
      <c r="C414" s="9"/>
      <c r="N414" s="9"/>
      <c r="O414" s="9"/>
    </row>
    <row r="415" spans="3:15" customFormat="1" ht="15.75" customHeight="1">
      <c r="C415" s="9"/>
      <c r="N415" s="9"/>
      <c r="O415" s="9"/>
    </row>
    <row r="416" spans="3:15" customFormat="1" ht="15.75" customHeight="1">
      <c r="C416" s="9"/>
      <c r="N416" s="9"/>
      <c r="O416" s="9"/>
    </row>
    <row r="417" spans="3:15" customFormat="1" ht="15.75" customHeight="1">
      <c r="C417" s="9"/>
      <c r="N417" s="9"/>
      <c r="O417" s="9"/>
    </row>
    <row r="418" spans="3:15" customFormat="1" ht="15.75" customHeight="1">
      <c r="C418" s="9"/>
      <c r="N418" s="9"/>
      <c r="O418" s="9"/>
    </row>
    <row r="419" spans="3:15" customFormat="1" ht="15.75" customHeight="1">
      <c r="C419" s="9"/>
      <c r="N419" s="9"/>
      <c r="O419" s="9"/>
    </row>
    <row r="420" spans="3:15" customFormat="1" ht="15.75" customHeight="1">
      <c r="C420" s="9"/>
      <c r="N420" s="9"/>
      <c r="O420" s="9"/>
    </row>
    <row r="421" spans="3:15" customFormat="1" ht="15.75" customHeight="1">
      <c r="C421" s="9"/>
      <c r="N421" s="9"/>
      <c r="O421" s="9"/>
    </row>
    <row r="422" spans="3:15" customFormat="1" ht="15.75" customHeight="1">
      <c r="C422" s="9"/>
      <c r="N422" s="9"/>
      <c r="O422" s="9"/>
    </row>
    <row r="423" spans="3:15" customFormat="1" ht="15.75" customHeight="1">
      <c r="C423" s="9"/>
      <c r="N423" s="9"/>
      <c r="O423" s="9"/>
    </row>
    <row r="424" spans="3:15" customFormat="1" ht="15.75" customHeight="1">
      <c r="C424" s="9"/>
      <c r="N424" s="9"/>
      <c r="O424" s="9"/>
    </row>
    <row r="425" spans="3:15" customFormat="1" ht="15.75" customHeight="1">
      <c r="C425" s="9"/>
      <c r="N425" s="9"/>
      <c r="O425" s="9"/>
    </row>
    <row r="426" spans="3:15" customFormat="1" ht="15.75" customHeight="1">
      <c r="C426" s="9"/>
      <c r="N426" s="9"/>
      <c r="O426" s="9"/>
    </row>
    <row r="427" spans="3:15" customFormat="1" ht="15.75" customHeight="1">
      <c r="C427" s="9"/>
      <c r="N427" s="9"/>
      <c r="O427" s="9"/>
    </row>
    <row r="428" spans="3:15" customFormat="1" ht="15.75" customHeight="1">
      <c r="C428" s="9"/>
      <c r="N428" s="9"/>
      <c r="O428" s="9"/>
    </row>
    <row r="429" spans="3:15" customFormat="1" ht="15.75" customHeight="1">
      <c r="C429" s="9"/>
      <c r="N429" s="9"/>
      <c r="O429" s="9"/>
    </row>
    <row r="430" spans="3:15" customFormat="1" ht="15.75" customHeight="1">
      <c r="C430" s="9"/>
      <c r="N430" s="9"/>
      <c r="O430" s="9"/>
    </row>
    <row r="431" spans="3:15" customFormat="1" ht="15.75" customHeight="1">
      <c r="C431" s="9"/>
      <c r="N431" s="9"/>
      <c r="O431" s="9"/>
    </row>
    <row r="432" spans="3:15" customFormat="1" ht="15.75" customHeight="1">
      <c r="C432" s="9"/>
      <c r="N432" s="9"/>
      <c r="O432" s="9"/>
    </row>
    <row r="433" spans="3:15" customFormat="1" ht="15.75" customHeight="1">
      <c r="C433" s="9"/>
      <c r="N433" s="9"/>
      <c r="O433" s="9"/>
    </row>
    <row r="434" spans="3:15" customFormat="1" ht="15.75" customHeight="1">
      <c r="C434" s="9"/>
      <c r="N434" s="9"/>
      <c r="O434" s="9"/>
    </row>
    <row r="435" spans="3:15" customFormat="1" ht="15.75" customHeight="1">
      <c r="C435" s="9"/>
      <c r="N435" s="9"/>
      <c r="O435" s="9"/>
    </row>
    <row r="436" spans="3:15" customFormat="1" ht="15.75" customHeight="1">
      <c r="C436" s="9"/>
      <c r="N436" s="9"/>
      <c r="O436" s="9"/>
    </row>
    <row r="437" spans="3:15" customFormat="1" ht="15.75" customHeight="1">
      <c r="C437" s="9"/>
      <c r="N437" s="9"/>
      <c r="O437" s="9"/>
    </row>
    <row r="438" spans="3:15" customFormat="1" ht="15.75" customHeight="1">
      <c r="C438" s="9"/>
      <c r="N438" s="9"/>
      <c r="O438" s="9"/>
    </row>
    <row r="439" spans="3:15" customFormat="1" ht="15.75" customHeight="1">
      <c r="C439" s="9"/>
      <c r="N439" s="9"/>
      <c r="O439" s="9"/>
    </row>
    <row r="440" spans="3:15" customFormat="1" ht="15.75" customHeight="1">
      <c r="C440" s="9"/>
      <c r="N440" s="9"/>
      <c r="O440" s="9"/>
    </row>
    <row r="441" spans="3:15" customFormat="1" ht="15.75" customHeight="1">
      <c r="C441" s="9"/>
      <c r="N441" s="9"/>
      <c r="O441" s="9"/>
    </row>
    <row r="442" spans="3:15" customFormat="1" ht="15.75" customHeight="1">
      <c r="C442" s="9"/>
      <c r="N442" s="9"/>
      <c r="O442" s="9"/>
    </row>
    <row r="443" spans="3:15" customFormat="1" ht="15.75" customHeight="1">
      <c r="C443" s="9"/>
      <c r="N443" s="9"/>
      <c r="O443" s="9"/>
    </row>
    <row r="444" spans="3:15" customFormat="1" ht="15.75" customHeight="1">
      <c r="C444" s="9"/>
      <c r="N444" s="9"/>
      <c r="O444" s="9"/>
    </row>
    <row r="445" spans="3:15" customFormat="1" ht="15.75" customHeight="1">
      <c r="C445" s="9"/>
      <c r="N445" s="9"/>
      <c r="O445" s="9"/>
    </row>
    <row r="446" spans="3:15" customFormat="1" ht="15.75" customHeight="1">
      <c r="C446" s="9"/>
      <c r="N446" s="9"/>
      <c r="O446" s="9"/>
    </row>
    <row r="447" spans="3:15" customFormat="1" ht="15.75" customHeight="1">
      <c r="C447" s="9"/>
      <c r="N447" s="9"/>
      <c r="O447" s="9"/>
    </row>
    <row r="448" spans="3:15" customFormat="1" ht="15.75" customHeight="1">
      <c r="C448" s="9"/>
      <c r="N448" s="9"/>
      <c r="O448" s="9"/>
    </row>
    <row r="449" spans="3:15" customFormat="1" ht="15.75" customHeight="1">
      <c r="C449" s="9"/>
      <c r="N449" s="9"/>
      <c r="O449" s="9"/>
    </row>
    <row r="450" spans="3:15" customFormat="1" ht="15.75" customHeight="1">
      <c r="C450" s="9"/>
      <c r="N450" s="9"/>
      <c r="O450" s="9"/>
    </row>
    <row r="451" spans="3:15" customFormat="1" ht="15.75" customHeight="1">
      <c r="C451" s="9"/>
      <c r="N451" s="9"/>
      <c r="O451" s="9"/>
    </row>
    <row r="452" spans="3:15" customFormat="1" ht="15.75" customHeight="1">
      <c r="C452" s="9"/>
      <c r="N452" s="9"/>
      <c r="O452" s="9"/>
    </row>
    <row r="453" spans="3:15" customFormat="1" ht="15.75" customHeight="1">
      <c r="C453" s="9"/>
      <c r="N453" s="9"/>
      <c r="O453" s="9"/>
    </row>
    <row r="454" spans="3:15" customFormat="1" ht="15.75" customHeight="1">
      <c r="C454" s="9"/>
      <c r="N454" s="9"/>
      <c r="O454" s="9"/>
    </row>
    <row r="455" spans="3:15" customFormat="1" ht="15.75" customHeight="1">
      <c r="C455" s="9"/>
      <c r="N455" s="9"/>
      <c r="O455" s="9"/>
    </row>
    <row r="456" spans="3:15" customFormat="1" ht="15.75" customHeight="1">
      <c r="C456" s="9"/>
      <c r="N456" s="9"/>
      <c r="O456" s="9"/>
    </row>
    <row r="457" spans="3:15" customFormat="1" ht="15.75" customHeight="1">
      <c r="C457" s="9"/>
      <c r="N457" s="9"/>
      <c r="O457" s="9"/>
    </row>
    <row r="458" spans="3:15" customFormat="1" ht="15.75" customHeight="1">
      <c r="C458" s="9"/>
      <c r="N458" s="9"/>
      <c r="O458" s="9"/>
    </row>
    <row r="459" spans="3:15" customFormat="1" ht="15.75" customHeight="1">
      <c r="C459" s="9"/>
      <c r="N459" s="9"/>
      <c r="O459" s="9"/>
    </row>
    <row r="460" spans="3:15" customFormat="1" ht="15.75" customHeight="1">
      <c r="C460" s="9"/>
      <c r="N460" s="9"/>
      <c r="O460" s="9"/>
    </row>
    <row r="461" spans="3:15" customFormat="1" ht="15.75" customHeight="1">
      <c r="C461" s="9"/>
      <c r="N461" s="9"/>
      <c r="O461" s="9"/>
    </row>
    <row r="462" spans="3:15" customFormat="1" ht="15.75" customHeight="1">
      <c r="C462" s="9"/>
      <c r="N462" s="9"/>
      <c r="O462" s="9"/>
    </row>
    <row r="463" spans="3:15" customFormat="1" ht="15.75" customHeight="1">
      <c r="C463" s="9"/>
      <c r="N463" s="9"/>
      <c r="O463" s="9"/>
    </row>
    <row r="464" spans="3:15" customFormat="1" ht="15.75" customHeight="1">
      <c r="C464" s="9"/>
      <c r="N464" s="9"/>
      <c r="O464" s="9"/>
    </row>
    <row r="465" spans="3:15" customFormat="1" ht="15.75" customHeight="1">
      <c r="C465" s="9"/>
      <c r="N465" s="9"/>
      <c r="O465" s="9"/>
    </row>
    <row r="466" spans="3:15" customFormat="1" ht="15.75" customHeight="1">
      <c r="C466" s="9"/>
      <c r="N466" s="9"/>
      <c r="O466" s="9"/>
    </row>
    <row r="467" spans="3:15" customFormat="1" ht="15.75" customHeight="1">
      <c r="C467" s="9"/>
      <c r="N467" s="9"/>
      <c r="O467" s="9"/>
    </row>
    <row r="468" spans="3:15" customFormat="1" ht="15.75" customHeight="1">
      <c r="C468" s="9"/>
      <c r="N468" s="9"/>
      <c r="O468" s="9"/>
    </row>
    <row r="469" spans="3:15" customFormat="1" ht="15.75" customHeight="1">
      <c r="C469" s="9"/>
      <c r="N469" s="9"/>
      <c r="O469" s="9"/>
    </row>
    <row r="470" spans="3:15" customFormat="1" ht="15.75" customHeight="1">
      <c r="C470" s="9"/>
      <c r="N470" s="9"/>
      <c r="O470" s="9"/>
    </row>
    <row r="471" spans="3:15" customFormat="1" ht="15.75" customHeight="1">
      <c r="C471" s="9"/>
      <c r="N471" s="9"/>
      <c r="O471" s="9"/>
    </row>
    <row r="472" spans="3:15" customFormat="1" ht="15.75" customHeight="1">
      <c r="C472" s="9"/>
      <c r="N472" s="9"/>
      <c r="O472" s="9"/>
    </row>
    <row r="473" spans="3:15" customFormat="1" ht="15.75" customHeight="1">
      <c r="C473" s="9"/>
      <c r="N473" s="9"/>
      <c r="O473" s="9"/>
    </row>
    <row r="474" spans="3:15" customFormat="1" ht="15.75" customHeight="1">
      <c r="C474" s="9"/>
      <c r="N474" s="9"/>
      <c r="O474" s="9"/>
    </row>
    <row r="475" spans="3:15" customFormat="1" ht="15.75" customHeight="1">
      <c r="C475" s="9"/>
      <c r="N475" s="9"/>
      <c r="O475" s="9"/>
    </row>
    <row r="476" spans="3:15" customFormat="1" ht="15.75" customHeight="1">
      <c r="C476" s="9"/>
      <c r="N476" s="9"/>
      <c r="O476" s="9"/>
    </row>
    <row r="477" spans="3:15" customFormat="1" ht="15.75" customHeight="1">
      <c r="C477" s="9"/>
      <c r="N477" s="9"/>
      <c r="O477" s="9"/>
    </row>
    <row r="478" spans="3:15" customFormat="1" ht="15.75" customHeight="1">
      <c r="C478" s="9"/>
      <c r="N478" s="9"/>
      <c r="O478" s="9"/>
    </row>
    <row r="479" spans="3:15" customFormat="1" ht="15.75" customHeight="1">
      <c r="C479" s="9"/>
      <c r="N479" s="9"/>
      <c r="O479" s="9"/>
    </row>
    <row r="480" spans="3:15" customFormat="1" ht="15.75" customHeight="1">
      <c r="C480" s="9"/>
      <c r="N480" s="9"/>
      <c r="O480" s="9"/>
    </row>
    <row r="481" spans="3:15" customFormat="1" ht="15.75" customHeight="1">
      <c r="C481" s="9"/>
      <c r="N481" s="9"/>
      <c r="O481" s="9"/>
    </row>
    <row r="482" spans="3:15" customFormat="1" ht="15.75" customHeight="1">
      <c r="C482" s="9"/>
      <c r="N482" s="9"/>
      <c r="O482" s="9"/>
    </row>
    <row r="483" spans="3:15" customFormat="1" ht="15.75" customHeight="1">
      <c r="C483" s="9"/>
      <c r="N483" s="9"/>
      <c r="O483" s="9"/>
    </row>
    <row r="484" spans="3:15" customFormat="1" ht="15.75" customHeight="1">
      <c r="C484" s="9"/>
      <c r="N484" s="9"/>
      <c r="O484" s="9"/>
    </row>
    <row r="485" spans="3:15" customFormat="1" ht="15.75" customHeight="1">
      <c r="C485" s="9"/>
      <c r="N485" s="9"/>
      <c r="O485" s="9"/>
    </row>
    <row r="486" spans="3:15" customFormat="1" ht="15.75" customHeight="1">
      <c r="C486" s="9"/>
      <c r="N486" s="9"/>
      <c r="O486" s="9"/>
    </row>
    <row r="487" spans="3:15" customFormat="1" ht="15.75" customHeight="1">
      <c r="C487" s="9"/>
      <c r="N487" s="9"/>
      <c r="O487" s="9"/>
    </row>
    <row r="488" spans="3:15" customFormat="1" ht="15.75" customHeight="1">
      <c r="C488" s="9"/>
      <c r="N488" s="9"/>
      <c r="O488" s="9"/>
    </row>
    <row r="489" spans="3:15" customFormat="1" ht="15.75" customHeight="1">
      <c r="C489" s="9"/>
      <c r="N489" s="9"/>
      <c r="O489" s="9"/>
    </row>
    <row r="490" spans="3:15" customFormat="1" ht="15.75" customHeight="1">
      <c r="C490" s="9"/>
      <c r="N490" s="9"/>
      <c r="O490" s="9"/>
    </row>
    <row r="491" spans="3:15" customFormat="1" ht="15.75" customHeight="1">
      <c r="C491" s="9"/>
      <c r="N491" s="9"/>
      <c r="O491" s="9"/>
    </row>
    <row r="492" spans="3:15" customFormat="1" ht="15.75" customHeight="1">
      <c r="C492" s="9"/>
      <c r="N492" s="9"/>
      <c r="O492" s="9"/>
    </row>
    <row r="493" spans="3:15" customFormat="1" ht="15.75" customHeight="1">
      <c r="C493" s="9"/>
      <c r="N493" s="9"/>
      <c r="O493" s="9"/>
    </row>
    <row r="494" spans="3:15" customFormat="1" ht="15.75" customHeight="1">
      <c r="C494" s="9"/>
      <c r="N494" s="9"/>
      <c r="O494" s="9"/>
    </row>
    <row r="495" spans="3:15" customFormat="1" ht="15.75" customHeight="1">
      <c r="C495" s="9"/>
      <c r="N495" s="9"/>
      <c r="O495" s="9"/>
    </row>
    <row r="496" spans="3:15" customFormat="1" ht="15.75" customHeight="1">
      <c r="C496" s="9"/>
      <c r="N496" s="9"/>
      <c r="O496" s="9"/>
    </row>
    <row r="497" spans="3:15" customFormat="1" ht="15.75" customHeight="1">
      <c r="C497" s="9"/>
      <c r="N497" s="9"/>
      <c r="O497" s="9"/>
    </row>
    <row r="498" spans="3:15" customFormat="1" ht="15.75" customHeight="1">
      <c r="C498" s="9"/>
      <c r="N498" s="9"/>
      <c r="O498" s="9"/>
    </row>
    <row r="499" spans="3:15" customFormat="1" ht="15.75" customHeight="1">
      <c r="C499" s="9"/>
      <c r="N499" s="9"/>
      <c r="O499" s="9"/>
    </row>
    <row r="500" spans="3:15" customFormat="1" ht="15.75" customHeight="1">
      <c r="C500" s="9"/>
      <c r="N500" s="9"/>
      <c r="O500" s="9"/>
    </row>
    <row r="501" spans="3:15" customFormat="1" ht="15.75" customHeight="1">
      <c r="C501" s="9"/>
      <c r="N501" s="9"/>
      <c r="O501" s="9"/>
    </row>
    <row r="502" spans="3:15" customFormat="1" ht="15.75" customHeight="1">
      <c r="C502" s="9"/>
      <c r="N502" s="9"/>
      <c r="O502" s="9"/>
    </row>
    <row r="503" spans="3:15" customFormat="1" ht="15.75" customHeight="1">
      <c r="C503" s="9"/>
      <c r="N503" s="9"/>
      <c r="O503" s="9"/>
    </row>
    <row r="504" spans="3:15" customFormat="1" ht="15.75" customHeight="1">
      <c r="C504" s="9"/>
      <c r="N504" s="9"/>
      <c r="O504" s="9"/>
    </row>
    <row r="505" spans="3:15" customFormat="1" ht="15.75" customHeight="1">
      <c r="C505" s="9"/>
      <c r="N505" s="9"/>
      <c r="O505" s="9"/>
    </row>
    <row r="506" spans="3:15" customFormat="1" ht="15.75" customHeight="1">
      <c r="C506" s="9"/>
      <c r="N506" s="9"/>
      <c r="O506" s="9"/>
    </row>
    <row r="507" spans="3:15" customFormat="1" ht="15.75" customHeight="1">
      <c r="C507" s="9"/>
      <c r="N507" s="9"/>
      <c r="O507" s="9"/>
    </row>
    <row r="508" spans="3:15" customFormat="1" ht="15.75" customHeight="1">
      <c r="C508" s="9"/>
      <c r="N508" s="9"/>
      <c r="O508" s="9"/>
    </row>
    <row r="509" spans="3:15" customFormat="1" ht="15.75" customHeight="1">
      <c r="C509" s="9"/>
      <c r="N509" s="9"/>
      <c r="O509" s="9"/>
    </row>
    <row r="510" spans="3:15" customFormat="1" ht="15.75" customHeight="1">
      <c r="C510" s="9"/>
      <c r="N510" s="9"/>
      <c r="O510" s="9"/>
    </row>
    <row r="511" spans="3:15" customFormat="1" ht="15.75" customHeight="1">
      <c r="C511" s="9"/>
      <c r="N511" s="9"/>
      <c r="O511" s="9"/>
    </row>
    <row r="512" spans="3:15" customFormat="1" ht="15.75" customHeight="1">
      <c r="C512" s="9"/>
      <c r="N512" s="9"/>
      <c r="O512" s="9"/>
    </row>
    <row r="513" spans="3:15" customFormat="1" ht="15.75" customHeight="1">
      <c r="C513" s="9"/>
      <c r="N513" s="9"/>
      <c r="O513" s="9"/>
    </row>
    <row r="514" spans="3:15" customFormat="1" ht="15.75" customHeight="1">
      <c r="C514" s="9"/>
      <c r="N514" s="9"/>
      <c r="O514" s="9"/>
    </row>
    <row r="515" spans="3:15" customFormat="1" ht="15.75" customHeight="1">
      <c r="C515" s="9"/>
      <c r="N515" s="9"/>
      <c r="O515" s="9"/>
    </row>
    <row r="516" spans="3:15" customFormat="1" ht="15.75" customHeight="1">
      <c r="C516" s="9"/>
      <c r="N516" s="9"/>
      <c r="O516" s="9"/>
    </row>
    <row r="517" spans="3:15" customFormat="1" ht="15.75" customHeight="1">
      <c r="C517" s="9"/>
      <c r="N517" s="9"/>
      <c r="O517" s="9"/>
    </row>
    <row r="518" spans="3:15" customFormat="1" ht="15.75" customHeight="1">
      <c r="C518" s="9"/>
      <c r="N518" s="9"/>
      <c r="O518" s="9"/>
    </row>
    <row r="519" spans="3:15" customFormat="1" ht="15.75" customHeight="1">
      <c r="C519" s="9"/>
      <c r="N519" s="9"/>
      <c r="O519" s="9"/>
    </row>
    <row r="520" spans="3:15" customFormat="1" ht="15.75" customHeight="1">
      <c r="C520" s="9"/>
      <c r="N520" s="9"/>
      <c r="O520" s="9"/>
    </row>
    <row r="521" spans="3:15" customFormat="1" ht="15.75" customHeight="1">
      <c r="C521" s="9"/>
      <c r="N521" s="9"/>
      <c r="O521" s="9"/>
    </row>
    <row r="522" spans="3:15" customFormat="1" ht="15.75" customHeight="1">
      <c r="C522" s="9"/>
      <c r="N522" s="9"/>
      <c r="O522" s="9"/>
    </row>
    <row r="523" spans="3:15" customFormat="1" ht="15.75" customHeight="1">
      <c r="C523" s="9"/>
      <c r="N523" s="9"/>
      <c r="O523" s="9"/>
    </row>
    <row r="524" spans="3:15" customFormat="1" ht="15.75" customHeight="1">
      <c r="C524" s="9"/>
      <c r="N524" s="9"/>
      <c r="O524" s="9"/>
    </row>
    <row r="525" spans="3:15" customFormat="1" ht="15.75" customHeight="1">
      <c r="C525" s="9"/>
      <c r="N525" s="9"/>
      <c r="O525" s="9"/>
    </row>
    <row r="526" spans="3:15" customFormat="1" ht="15.75" customHeight="1">
      <c r="C526" s="9"/>
      <c r="N526" s="9"/>
      <c r="O526" s="9"/>
    </row>
    <row r="527" spans="3:15" customFormat="1" ht="15.75" customHeight="1">
      <c r="C527" s="9"/>
      <c r="N527" s="9"/>
      <c r="O527" s="9"/>
    </row>
    <row r="528" spans="3:15" customFormat="1" ht="15.75" customHeight="1">
      <c r="C528" s="9"/>
      <c r="N528" s="9"/>
      <c r="O528" s="9"/>
    </row>
    <row r="529" spans="3:15" customFormat="1" ht="15.75" customHeight="1">
      <c r="C529" s="9"/>
      <c r="N529" s="9"/>
      <c r="O529" s="9"/>
    </row>
    <row r="530" spans="3:15" customFormat="1" ht="15.75" customHeight="1">
      <c r="C530" s="9"/>
      <c r="N530" s="9"/>
      <c r="O530" s="9"/>
    </row>
    <row r="531" spans="3:15" customFormat="1" ht="15.75" customHeight="1">
      <c r="C531" s="9"/>
      <c r="N531" s="9"/>
      <c r="O531" s="9"/>
    </row>
    <row r="532" spans="3:15" customFormat="1" ht="15.75" customHeight="1">
      <c r="C532" s="9"/>
      <c r="N532" s="9"/>
      <c r="O532" s="9"/>
    </row>
    <row r="533" spans="3:15" customFormat="1" ht="15.75" customHeight="1">
      <c r="C533" s="9"/>
      <c r="N533" s="9"/>
      <c r="O533" s="9"/>
    </row>
    <row r="534" spans="3:15" customFormat="1" ht="15.75" customHeight="1">
      <c r="C534" s="9"/>
      <c r="N534" s="9"/>
      <c r="O534" s="9"/>
    </row>
    <row r="535" spans="3:15" customFormat="1" ht="15.75" customHeight="1">
      <c r="C535" s="9"/>
      <c r="N535" s="9"/>
      <c r="O535" s="9"/>
    </row>
    <row r="536" spans="3:15" customFormat="1" ht="15.75" customHeight="1">
      <c r="C536" s="9"/>
      <c r="N536" s="9"/>
      <c r="O536" s="9"/>
    </row>
    <row r="537" spans="3:15" customFormat="1" ht="15.75" customHeight="1">
      <c r="C537" s="9"/>
      <c r="N537" s="9"/>
      <c r="O537" s="9"/>
    </row>
    <row r="538" spans="3:15" customFormat="1" ht="15.75" customHeight="1">
      <c r="C538" s="9"/>
      <c r="N538" s="9"/>
      <c r="O538" s="9"/>
    </row>
    <row r="539" spans="3:15" customFormat="1" ht="15.75" customHeight="1">
      <c r="C539" s="9"/>
      <c r="N539" s="9"/>
      <c r="O539" s="9"/>
    </row>
    <row r="540" spans="3:15" customFormat="1" ht="15.75" customHeight="1">
      <c r="C540" s="9"/>
      <c r="N540" s="9"/>
      <c r="O540" s="9"/>
    </row>
    <row r="541" spans="3:15" customFormat="1" ht="15.75" customHeight="1">
      <c r="C541" s="9"/>
      <c r="N541" s="9"/>
      <c r="O541" s="9"/>
    </row>
    <row r="542" spans="3:15" customFormat="1" ht="15.75" customHeight="1">
      <c r="C542" s="9"/>
      <c r="N542" s="9"/>
      <c r="O542" s="9"/>
    </row>
    <row r="543" spans="3:15" customFormat="1" ht="15.75" customHeight="1">
      <c r="C543" s="9"/>
      <c r="N543" s="9"/>
      <c r="O543" s="9"/>
    </row>
    <row r="544" spans="3:15" customFormat="1" ht="15.75" customHeight="1">
      <c r="C544" s="9"/>
      <c r="N544" s="9"/>
      <c r="O544" s="9"/>
    </row>
    <row r="545" spans="3:15" customFormat="1" ht="15.75" customHeight="1">
      <c r="C545" s="9"/>
      <c r="N545" s="9"/>
      <c r="O545" s="9"/>
    </row>
    <row r="546" spans="3:15" customFormat="1" ht="15.75" customHeight="1">
      <c r="C546" s="9"/>
      <c r="N546" s="9"/>
      <c r="O546" s="9"/>
    </row>
    <row r="547" spans="3:15" customFormat="1" ht="15.75" customHeight="1">
      <c r="C547" s="9"/>
      <c r="N547" s="9"/>
      <c r="O547" s="9"/>
    </row>
    <row r="548" spans="3:15" customFormat="1" ht="15.75" customHeight="1">
      <c r="C548" s="9"/>
      <c r="N548" s="9"/>
      <c r="O548" s="9"/>
    </row>
    <row r="549" spans="3:15" customFormat="1" ht="15.75" customHeight="1">
      <c r="C549" s="9"/>
      <c r="N549" s="9"/>
      <c r="O549" s="9"/>
    </row>
    <row r="550" spans="3:15" customFormat="1" ht="15.75" customHeight="1">
      <c r="C550" s="9"/>
      <c r="N550" s="9"/>
      <c r="O550" s="9"/>
    </row>
    <row r="551" spans="3:15" customFormat="1" ht="15.75" customHeight="1">
      <c r="C551" s="9"/>
      <c r="N551" s="9"/>
      <c r="O551" s="9"/>
    </row>
    <row r="552" spans="3:15" customFormat="1" ht="15.75" customHeight="1">
      <c r="C552" s="9"/>
      <c r="N552" s="9"/>
      <c r="O552" s="9"/>
    </row>
    <row r="553" spans="3:15" customFormat="1" ht="15.75" customHeight="1">
      <c r="C553" s="9"/>
      <c r="N553" s="9"/>
      <c r="O553" s="9"/>
    </row>
    <row r="554" spans="3:15" customFormat="1" ht="15.75" customHeight="1">
      <c r="C554" s="9"/>
      <c r="N554" s="9"/>
      <c r="O554" s="9"/>
    </row>
    <row r="555" spans="3:15" customFormat="1" ht="15.75" customHeight="1">
      <c r="C555" s="9"/>
      <c r="N555" s="9"/>
      <c r="O555" s="9"/>
    </row>
    <row r="556" spans="3:15" customFormat="1" ht="15.75" customHeight="1">
      <c r="C556" s="9"/>
      <c r="N556" s="9"/>
      <c r="O556" s="9"/>
    </row>
    <row r="557" spans="3:15" customFormat="1" ht="15.75" customHeight="1">
      <c r="C557" s="9"/>
      <c r="N557" s="9"/>
      <c r="O557" s="9"/>
    </row>
    <row r="558" spans="3:15" customFormat="1" ht="15.75" customHeight="1">
      <c r="C558" s="9"/>
      <c r="N558" s="9"/>
      <c r="O558" s="9"/>
    </row>
    <row r="559" spans="3:15" customFormat="1" ht="15.75" customHeight="1">
      <c r="C559" s="9"/>
      <c r="N559" s="9"/>
      <c r="O559" s="9"/>
    </row>
    <row r="560" spans="3:15" customFormat="1" ht="15.75" customHeight="1">
      <c r="C560" s="9"/>
      <c r="N560" s="9"/>
      <c r="O560" s="9"/>
    </row>
    <row r="561" spans="3:15" customFormat="1" ht="15.75" customHeight="1">
      <c r="C561" s="9"/>
      <c r="N561" s="9"/>
      <c r="O561" s="9"/>
    </row>
    <row r="562" spans="3:15" customFormat="1" ht="15.75" customHeight="1">
      <c r="C562" s="9"/>
      <c r="N562" s="9"/>
      <c r="O562" s="9"/>
    </row>
    <row r="563" spans="3:15" customFormat="1" ht="15.75" customHeight="1">
      <c r="C563" s="9"/>
      <c r="N563" s="9"/>
      <c r="O563" s="9"/>
    </row>
    <row r="564" spans="3:15" customFormat="1" ht="15.75" customHeight="1">
      <c r="C564" s="9"/>
      <c r="N564" s="9"/>
      <c r="O564" s="9"/>
    </row>
    <row r="565" spans="3:15" customFormat="1" ht="15.75" customHeight="1">
      <c r="C565" s="9"/>
      <c r="N565" s="9"/>
      <c r="O565" s="9"/>
    </row>
    <row r="566" spans="3:15" customFormat="1" ht="15.75" customHeight="1">
      <c r="C566" s="9"/>
      <c r="N566" s="9"/>
      <c r="O566" s="9"/>
    </row>
    <row r="567" spans="3:15" customFormat="1" ht="15.75" customHeight="1">
      <c r="C567" s="9"/>
      <c r="N567" s="9"/>
      <c r="O567" s="9"/>
    </row>
    <row r="568" spans="3:15" customFormat="1" ht="15.75" customHeight="1">
      <c r="C568" s="9"/>
      <c r="N568" s="9"/>
      <c r="O568" s="9"/>
    </row>
    <row r="569" spans="3:15" customFormat="1" ht="15.75" customHeight="1">
      <c r="C569" s="9"/>
      <c r="N569" s="9"/>
      <c r="O569" s="9"/>
    </row>
    <row r="570" spans="3:15" customFormat="1" ht="15.75" customHeight="1">
      <c r="C570" s="9"/>
      <c r="N570" s="9"/>
      <c r="O570" s="9"/>
    </row>
    <row r="571" spans="3:15" customFormat="1" ht="15.75" customHeight="1">
      <c r="C571" s="9"/>
      <c r="N571" s="9"/>
      <c r="O571" s="9"/>
    </row>
    <row r="572" spans="3:15" customFormat="1" ht="15.75" customHeight="1">
      <c r="C572" s="9"/>
      <c r="N572" s="9"/>
      <c r="O572" s="9"/>
    </row>
    <row r="573" spans="3:15" customFormat="1" ht="15.75" customHeight="1">
      <c r="C573" s="9"/>
      <c r="N573" s="9"/>
      <c r="O573" s="9"/>
    </row>
    <row r="574" spans="3:15" customFormat="1" ht="15.75" customHeight="1">
      <c r="C574" s="9"/>
      <c r="N574" s="9"/>
      <c r="O574" s="9"/>
    </row>
    <row r="575" spans="3:15" customFormat="1" ht="15.75" customHeight="1">
      <c r="C575" s="9"/>
      <c r="N575" s="9"/>
      <c r="O575" s="9"/>
    </row>
    <row r="576" spans="3:15" customFormat="1" ht="15.75" customHeight="1">
      <c r="C576" s="9"/>
      <c r="N576" s="9"/>
      <c r="O576" s="9"/>
    </row>
    <row r="577" spans="3:15" customFormat="1" ht="15.75" customHeight="1">
      <c r="C577" s="9"/>
      <c r="N577" s="9"/>
      <c r="O577" s="9"/>
    </row>
    <row r="578" spans="3:15" customFormat="1" ht="15.75" customHeight="1">
      <c r="C578" s="9"/>
      <c r="N578" s="9"/>
      <c r="O578" s="9"/>
    </row>
    <row r="579" spans="3:15" customFormat="1" ht="15.75" customHeight="1">
      <c r="C579" s="9"/>
      <c r="N579" s="9"/>
      <c r="O579" s="9"/>
    </row>
    <row r="580" spans="3:15" customFormat="1" ht="15.75" customHeight="1">
      <c r="C580" s="9"/>
      <c r="N580" s="9"/>
      <c r="O580" s="9"/>
    </row>
    <row r="581" spans="3:15" customFormat="1" ht="15.75" customHeight="1">
      <c r="C581" s="9"/>
      <c r="N581" s="9"/>
      <c r="O581" s="9"/>
    </row>
    <row r="582" spans="3:15" customFormat="1" ht="15.75" customHeight="1">
      <c r="C582" s="9"/>
      <c r="N582" s="9"/>
      <c r="O582" s="9"/>
    </row>
    <row r="583" spans="3:15" customFormat="1" ht="15.75" customHeight="1">
      <c r="C583" s="9"/>
      <c r="N583" s="9"/>
      <c r="O583" s="9"/>
    </row>
    <row r="584" spans="3:15" customFormat="1" ht="15.75" customHeight="1">
      <c r="C584" s="9"/>
      <c r="N584" s="9"/>
      <c r="O584" s="9"/>
    </row>
    <row r="585" spans="3:15" customFormat="1" ht="15.75" customHeight="1">
      <c r="C585" s="9"/>
      <c r="N585" s="9"/>
      <c r="O585" s="9"/>
    </row>
    <row r="586" spans="3:15" customFormat="1" ht="15.75" customHeight="1">
      <c r="C586" s="9"/>
      <c r="N586" s="9"/>
      <c r="O586" s="9"/>
    </row>
    <row r="587" spans="3:15" customFormat="1" ht="15.75" customHeight="1">
      <c r="C587" s="9"/>
      <c r="N587" s="9"/>
      <c r="O587" s="9"/>
    </row>
    <row r="588" spans="3:15" customFormat="1" ht="15.75" customHeight="1">
      <c r="C588" s="9"/>
      <c r="N588" s="9"/>
      <c r="O588" s="9"/>
    </row>
    <row r="589" spans="3:15" customFormat="1" ht="15.75" customHeight="1">
      <c r="C589" s="9"/>
      <c r="N589" s="9"/>
      <c r="O589" s="9"/>
    </row>
    <row r="590" spans="3:15" customFormat="1" ht="15.75" customHeight="1">
      <c r="C590" s="9"/>
      <c r="N590" s="9"/>
      <c r="O590" s="9"/>
    </row>
    <row r="591" spans="3:15" customFormat="1" ht="15.75" customHeight="1">
      <c r="C591" s="9"/>
      <c r="N591" s="9"/>
      <c r="O591" s="9"/>
    </row>
    <row r="592" spans="3:15" customFormat="1" ht="15.75" customHeight="1">
      <c r="C592" s="9"/>
      <c r="N592" s="9"/>
      <c r="O592" s="9"/>
    </row>
    <row r="593" spans="3:15" customFormat="1" ht="15.75" customHeight="1">
      <c r="C593" s="9"/>
      <c r="N593" s="9"/>
      <c r="O593" s="9"/>
    </row>
    <row r="594" spans="3:15" customFormat="1" ht="15.75" customHeight="1">
      <c r="C594" s="9"/>
      <c r="N594" s="9"/>
      <c r="O594" s="9"/>
    </row>
    <row r="595" spans="3:15" customFormat="1" ht="15.75" customHeight="1">
      <c r="C595" s="9"/>
      <c r="N595" s="9"/>
      <c r="O595" s="9"/>
    </row>
    <row r="596" spans="3:15" customFormat="1" ht="15.75" customHeight="1">
      <c r="C596" s="9"/>
      <c r="N596" s="9"/>
      <c r="O596" s="9"/>
    </row>
    <row r="597" spans="3:15" customFormat="1" ht="15.75" customHeight="1">
      <c r="C597" s="9"/>
      <c r="N597" s="9"/>
      <c r="O597" s="9"/>
    </row>
    <row r="598" spans="3:15" customFormat="1" ht="15.75" customHeight="1">
      <c r="C598" s="9"/>
      <c r="N598" s="9"/>
      <c r="O598" s="9"/>
    </row>
    <row r="599" spans="3:15" customFormat="1" ht="15.75" customHeight="1">
      <c r="C599" s="9"/>
      <c r="N599" s="9"/>
      <c r="O599" s="9"/>
    </row>
    <row r="600" spans="3:15" customFormat="1" ht="15.75" customHeight="1">
      <c r="C600" s="9"/>
      <c r="N600" s="9"/>
      <c r="O600" s="9"/>
    </row>
    <row r="601" spans="3:15" customFormat="1" ht="15.75" customHeight="1">
      <c r="C601" s="9"/>
      <c r="N601" s="9"/>
      <c r="O601" s="9"/>
    </row>
    <row r="602" spans="3:15" customFormat="1" ht="15.75" customHeight="1">
      <c r="C602" s="9"/>
      <c r="N602" s="9"/>
      <c r="O602" s="9"/>
    </row>
    <row r="603" spans="3:15" customFormat="1" ht="15.75" customHeight="1">
      <c r="C603" s="9"/>
      <c r="N603" s="9"/>
      <c r="O603" s="9"/>
    </row>
    <row r="604" spans="3:15" customFormat="1" ht="15.75" customHeight="1">
      <c r="C604" s="9"/>
      <c r="N604" s="9"/>
      <c r="O604" s="9"/>
    </row>
    <row r="605" spans="3:15" customFormat="1" ht="15.75" customHeight="1">
      <c r="C605" s="9"/>
      <c r="N605" s="9"/>
      <c r="O605" s="9"/>
    </row>
    <row r="606" spans="3:15" customFormat="1" ht="15.75" customHeight="1">
      <c r="C606" s="9"/>
      <c r="N606" s="9"/>
      <c r="O606" s="9"/>
    </row>
    <row r="607" spans="3:15" customFormat="1" ht="15.75" customHeight="1">
      <c r="C607" s="9"/>
      <c r="N607" s="9"/>
      <c r="O607" s="9"/>
    </row>
    <row r="608" spans="3:15" customFormat="1" ht="15.75" customHeight="1">
      <c r="C608" s="9"/>
      <c r="N608" s="9"/>
      <c r="O608" s="9"/>
    </row>
    <row r="609" spans="3:15" customFormat="1" ht="15.75" customHeight="1">
      <c r="C609" s="9"/>
      <c r="N609" s="9"/>
      <c r="O609" s="9"/>
    </row>
    <row r="610" spans="3:15" customFormat="1" ht="15.75" customHeight="1">
      <c r="C610" s="9"/>
      <c r="N610" s="9"/>
      <c r="O610" s="9"/>
    </row>
    <row r="611" spans="3:15" customFormat="1" ht="15.75" customHeight="1">
      <c r="C611" s="9"/>
      <c r="N611" s="9"/>
      <c r="O611" s="9"/>
    </row>
    <row r="612" spans="3:15" customFormat="1" ht="15.75" customHeight="1">
      <c r="C612" s="9"/>
      <c r="N612" s="9"/>
      <c r="O612" s="9"/>
    </row>
    <row r="613" spans="3:15" customFormat="1" ht="15.75" customHeight="1">
      <c r="C613" s="9"/>
      <c r="N613" s="9"/>
      <c r="O613" s="9"/>
    </row>
    <row r="614" spans="3:15" customFormat="1" ht="15.75" customHeight="1">
      <c r="C614" s="9"/>
      <c r="N614" s="9"/>
      <c r="O614" s="9"/>
    </row>
    <row r="615" spans="3:15" customFormat="1" ht="15.75" customHeight="1">
      <c r="C615" s="9"/>
      <c r="N615" s="9"/>
      <c r="O615" s="9"/>
    </row>
    <row r="616" spans="3:15" customFormat="1" ht="15.75" customHeight="1">
      <c r="C616" s="9"/>
      <c r="N616" s="9"/>
      <c r="O616" s="9"/>
    </row>
    <row r="617" spans="3:15" customFormat="1" ht="15.75" customHeight="1">
      <c r="C617" s="9"/>
      <c r="N617" s="9"/>
      <c r="O617" s="9"/>
    </row>
    <row r="618" spans="3:15" customFormat="1" ht="15.75" customHeight="1">
      <c r="C618" s="9"/>
      <c r="N618" s="9"/>
      <c r="O618" s="9"/>
    </row>
    <row r="619" spans="3:15" customFormat="1" ht="15.75" customHeight="1">
      <c r="C619" s="9"/>
      <c r="N619" s="9"/>
      <c r="O619" s="9"/>
    </row>
    <row r="620" spans="3:15" customFormat="1" ht="15.75" customHeight="1">
      <c r="C620" s="9"/>
      <c r="N620" s="9"/>
      <c r="O620" s="9"/>
    </row>
    <row r="621" spans="3:15" customFormat="1" ht="15.75" customHeight="1">
      <c r="C621" s="9"/>
      <c r="N621" s="9"/>
      <c r="O621" s="9"/>
    </row>
    <row r="622" spans="3:15" customFormat="1" ht="15.75" customHeight="1">
      <c r="C622" s="9"/>
      <c r="N622" s="9"/>
      <c r="O622" s="9"/>
    </row>
    <row r="623" spans="3:15" customFormat="1" ht="15.75" customHeight="1">
      <c r="C623" s="9"/>
      <c r="N623" s="9"/>
      <c r="O623" s="9"/>
    </row>
    <row r="624" spans="3:15" customFormat="1" ht="15.75" customHeight="1">
      <c r="C624" s="9"/>
      <c r="N624" s="9"/>
      <c r="O624" s="9"/>
    </row>
    <row r="625" spans="3:15" customFormat="1" ht="15.75" customHeight="1">
      <c r="C625" s="9"/>
      <c r="N625" s="9"/>
      <c r="O625" s="9"/>
    </row>
    <row r="626" spans="3:15" customFormat="1" ht="15.75" customHeight="1">
      <c r="C626" s="9"/>
      <c r="N626" s="9"/>
      <c r="O626" s="9"/>
    </row>
    <row r="627" spans="3:15" customFormat="1" ht="15.75" customHeight="1">
      <c r="C627" s="9"/>
      <c r="N627" s="9"/>
      <c r="O627" s="9"/>
    </row>
    <row r="628" spans="3:15" customFormat="1" ht="15.75" customHeight="1">
      <c r="C628" s="9"/>
      <c r="N628" s="9"/>
      <c r="O628" s="9"/>
    </row>
    <row r="629" spans="3:15" customFormat="1" ht="15.75" customHeight="1">
      <c r="C629" s="9"/>
      <c r="N629" s="9"/>
      <c r="O629" s="9"/>
    </row>
    <row r="630" spans="3:15" customFormat="1" ht="15.75" customHeight="1">
      <c r="C630" s="9"/>
      <c r="N630" s="9"/>
      <c r="O630" s="9"/>
    </row>
    <row r="631" spans="3:15" customFormat="1" ht="15.75" customHeight="1">
      <c r="C631" s="9"/>
      <c r="N631" s="9"/>
      <c r="O631" s="9"/>
    </row>
    <row r="632" spans="3:15" customFormat="1" ht="15.75" customHeight="1">
      <c r="C632" s="9"/>
      <c r="N632" s="9"/>
      <c r="O632" s="9"/>
    </row>
    <row r="633" spans="3:15" customFormat="1" ht="15.75" customHeight="1">
      <c r="C633" s="9"/>
      <c r="N633" s="9"/>
      <c r="O633" s="9"/>
    </row>
    <row r="634" spans="3:15" customFormat="1" ht="15.75" customHeight="1">
      <c r="C634" s="9"/>
      <c r="N634" s="9"/>
      <c r="O634" s="9"/>
    </row>
    <row r="635" spans="3:15" customFormat="1" ht="15.75" customHeight="1">
      <c r="C635" s="9"/>
      <c r="N635" s="9"/>
      <c r="O635" s="9"/>
    </row>
    <row r="636" spans="3:15" customFormat="1" ht="15.75" customHeight="1">
      <c r="C636" s="9"/>
      <c r="N636" s="9"/>
      <c r="O636" s="9"/>
    </row>
    <row r="637" spans="3:15" customFormat="1" ht="15.75" customHeight="1">
      <c r="C637" s="9"/>
      <c r="N637" s="9"/>
      <c r="O637" s="9"/>
    </row>
    <row r="638" spans="3:15" customFormat="1" ht="15.75" customHeight="1">
      <c r="C638" s="9"/>
      <c r="N638" s="9"/>
      <c r="O638" s="9"/>
    </row>
    <row r="639" spans="3:15" customFormat="1" ht="15.75" customHeight="1">
      <c r="C639" s="9"/>
      <c r="N639" s="9"/>
      <c r="O639" s="9"/>
    </row>
    <row r="640" spans="3:15" customFormat="1" ht="15.75" customHeight="1">
      <c r="C640" s="9"/>
      <c r="N640" s="9"/>
      <c r="O640" s="9"/>
    </row>
    <row r="641" spans="3:15" customFormat="1" ht="15.75" customHeight="1">
      <c r="C641" s="9"/>
      <c r="N641" s="9"/>
      <c r="O641" s="9"/>
    </row>
    <row r="642" spans="3:15" customFormat="1" ht="15.75" customHeight="1">
      <c r="C642" s="9"/>
      <c r="N642" s="9"/>
      <c r="O642" s="9"/>
    </row>
    <row r="643" spans="3:15" customFormat="1" ht="15.75" customHeight="1">
      <c r="C643" s="9"/>
      <c r="N643" s="9"/>
      <c r="O643" s="9"/>
    </row>
    <row r="644" spans="3:15" customFormat="1" ht="15.75" customHeight="1">
      <c r="C644" s="9"/>
      <c r="N644" s="9"/>
      <c r="O644" s="9"/>
    </row>
    <row r="645" spans="3:15" customFormat="1" ht="15.75" customHeight="1">
      <c r="C645" s="9"/>
      <c r="N645" s="9"/>
      <c r="O645" s="9"/>
    </row>
    <row r="646" spans="3:15" customFormat="1" ht="15.75" customHeight="1">
      <c r="C646" s="9"/>
      <c r="N646" s="9"/>
      <c r="O646" s="9"/>
    </row>
    <row r="647" spans="3:15" customFormat="1" ht="15.75" customHeight="1">
      <c r="C647" s="9"/>
      <c r="N647" s="9"/>
      <c r="O647" s="9"/>
    </row>
    <row r="648" spans="3:15" customFormat="1" ht="15.75" customHeight="1">
      <c r="C648" s="9"/>
      <c r="N648" s="9"/>
      <c r="O648" s="9"/>
    </row>
    <row r="649" spans="3:15" customFormat="1" ht="15.75" customHeight="1">
      <c r="C649" s="9"/>
      <c r="N649" s="9"/>
      <c r="O649" s="9"/>
    </row>
    <row r="650" spans="3:15" customFormat="1" ht="15.75" customHeight="1">
      <c r="C650" s="9"/>
      <c r="N650" s="9"/>
      <c r="O650" s="9"/>
    </row>
    <row r="651" spans="3:15" customFormat="1" ht="15.75" customHeight="1">
      <c r="C651" s="9"/>
      <c r="N651" s="9"/>
      <c r="O651" s="9"/>
    </row>
    <row r="652" spans="3:15" customFormat="1" ht="15.75" customHeight="1">
      <c r="C652" s="9"/>
      <c r="N652" s="9"/>
      <c r="O652" s="9"/>
    </row>
    <row r="653" spans="3:15" customFormat="1" ht="15.75" customHeight="1">
      <c r="C653" s="9"/>
      <c r="N653" s="9"/>
      <c r="O653" s="9"/>
    </row>
    <row r="654" spans="3:15" customFormat="1" ht="15.75" customHeight="1">
      <c r="C654" s="9"/>
      <c r="N654" s="9"/>
      <c r="O654" s="9"/>
    </row>
    <row r="655" spans="3:15" customFormat="1" ht="15.75" customHeight="1">
      <c r="C655" s="9"/>
      <c r="N655" s="9"/>
      <c r="O655" s="9"/>
    </row>
    <row r="656" spans="3:15" customFormat="1" ht="15.75" customHeight="1">
      <c r="C656" s="9"/>
      <c r="N656" s="9"/>
      <c r="O656" s="9"/>
    </row>
    <row r="657" spans="3:15" customFormat="1" ht="15.75" customHeight="1">
      <c r="C657" s="9"/>
      <c r="N657" s="9"/>
      <c r="O657" s="9"/>
    </row>
    <row r="658" spans="3:15" customFormat="1" ht="15.75" customHeight="1">
      <c r="C658" s="9"/>
      <c r="N658" s="9"/>
      <c r="O658" s="9"/>
    </row>
    <row r="659" spans="3:15" customFormat="1" ht="15.75" customHeight="1">
      <c r="C659" s="9"/>
      <c r="N659" s="9"/>
      <c r="O659" s="9"/>
    </row>
    <row r="660" spans="3:15" customFormat="1" ht="15.75" customHeight="1">
      <c r="C660" s="9"/>
      <c r="N660" s="9"/>
      <c r="O660" s="9"/>
    </row>
    <row r="661" spans="3:15" customFormat="1" ht="15.75" customHeight="1">
      <c r="C661" s="9"/>
      <c r="N661" s="9"/>
      <c r="O661" s="9"/>
    </row>
    <row r="662" spans="3:15" customFormat="1" ht="15.75" customHeight="1">
      <c r="C662" s="9"/>
      <c r="N662" s="9"/>
      <c r="O662" s="9"/>
    </row>
    <row r="663" spans="3:15" customFormat="1" ht="15.75" customHeight="1">
      <c r="C663" s="9"/>
      <c r="N663" s="9"/>
      <c r="O663" s="9"/>
    </row>
    <row r="664" spans="3:15" customFormat="1" ht="15.75" customHeight="1">
      <c r="C664" s="9"/>
      <c r="N664" s="9"/>
      <c r="O664" s="9"/>
    </row>
    <row r="665" spans="3:15" customFormat="1" ht="15.75" customHeight="1">
      <c r="C665" s="9"/>
      <c r="N665" s="9"/>
      <c r="O665" s="9"/>
    </row>
    <row r="666" spans="3:15" customFormat="1" ht="15.75" customHeight="1">
      <c r="C666" s="9"/>
      <c r="N666" s="9"/>
      <c r="O666" s="9"/>
    </row>
    <row r="667" spans="3:15" customFormat="1" ht="15.75" customHeight="1">
      <c r="C667" s="9"/>
      <c r="N667" s="9"/>
      <c r="O667" s="9"/>
    </row>
    <row r="668" spans="3:15" customFormat="1" ht="15.75" customHeight="1">
      <c r="C668" s="9"/>
      <c r="N668" s="9"/>
      <c r="O668" s="9"/>
    </row>
    <row r="669" spans="3:15" customFormat="1" ht="15.75" customHeight="1">
      <c r="C669" s="9"/>
      <c r="N669" s="9"/>
      <c r="O669" s="9"/>
    </row>
    <row r="670" spans="3:15" customFormat="1" ht="15.75" customHeight="1">
      <c r="C670" s="9"/>
      <c r="N670" s="9"/>
      <c r="O670" s="9"/>
    </row>
    <row r="671" spans="3:15" customFormat="1" ht="15.75" customHeight="1">
      <c r="C671" s="9"/>
      <c r="N671" s="9"/>
      <c r="O671" s="9"/>
    </row>
    <row r="672" spans="3:15" customFormat="1" ht="15.75" customHeight="1">
      <c r="C672" s="9"/>
      <c r="N672" s="9"/>
      <c r="O672" s="9"/>
    </row>
    <row r="673" spans="3:15" customFormat="1" ht="15.75" customHeight="1">
      <c r="C673" s="9"/>
      <c r="N673" s="9"/>
      <c r="O673" s="9"/>
    </row>
    <row r="674" spans="3:15" customFormat="1" ht="15.75" customHeight="1">
      <c r="C674" s="9"/>
      <c r="N674" s="9"/>
      <c r="O674" s="9"/>
    </row>
    <row r="675" spans="3:15" customFormat="1" ht="15.75" customHeight="1">
      <c r="C675" s="9"/>
      <c r="N675" s="9"/>
      <c r="O675" s="9"/>
    </row>
    <row r="676" spans="3:15" customFormat="1" ht="15.75" customHeight="1">
      <c r="C676" s="9"/>
      <c r="N676" s="9"/>
      <c r="O676" s="9"/>
    </row>
    <row r="677" spans="3:15" customFormat="1" ht="15.75" customHeight="1">
      <c r="C677" s="9"/>
      <c r="N677" s="9"/>
      <c r="O677" s="9"/>
    </row>
    <row r="678" spans="3:15" customFormat="1" ht="15.75" customHeight="1">
      <c r="C678" s="9"/>
      <c r="N678" s="9"/>
      <c r="O678" s="9"/>
    </row>
    <row r="679" spans="3:15" customFormat="1" ht="15.75" customHeight="1">
      <c r="C679" s="9"/>
      <c r="N679" s="9"/>
      <c r="O679" s="9"/>
    </row>
    <row r="680" spans="3:15" customFormat="1" ht="15.75" customHeight="1">
      <c r="C680" s="9"/>
      <c r="N680" s="9"/>
      <c r="O680" s="9"/>
    </row>
    <row r="681" spans="3:15" customFormat="1" ht="15.75" customHeight="1">
      <c r="C681" s="9"/>
      <c r="N681" s="9"/>
      <c r="O681" s="9"/>
    </row>
    <row r="682" spans="3:15" customFormat="1" ht="15.75" customHeight="1">
      <c r="C682" s="9"/>
      <c r="N682" s="9"/>
      <c r="O682" s="9"/>
    </row>
    <row r="683" spans="3:15" customFormat="1" ht="15.75" customHeight="1">
      <c r="C683" s="9"/>
      <c r="N683" s="9"/>
      <c r="O683" s="9"/>
    </row>
    <row r="684" spans="3:15" customFormat="1" ht="15.75" customHeight="1">
      <c r="C684" s="9"/>
      <c r="N684" s="9"/>
      <c r="O684" s="9"/>
    </row>
    <row r="685" spans="3:15" customFormat="1" ht="15.75" customHeight="1">
      <c r="C685" s="9"/>
      <c r="N685" s="9"/>
      <c r="O685" s="9"/>
    </row>
    <row r="686" spans="3:15" customFormat="1" ht="15.75" customHeight="1">
      <c r="C686" s="9"/>
      <c r="N686" s="9"/>
      <c r="O686" s="9"/>
    </row>
    <row r="687" spans="3:15" customFormat="1" ht="15.75" customHeight="1">
      <c r="C687" s="9"/>
      <c r="N687" s="9"/>
      <c r="O687" s="9"/>
    </row>
    <row r="688" spans="3:15" customFormat="1" ht="15.75" customHeight="1">
      <c r="C688" s="9"/>
      <c r="N688" s="9"/>
      <c r="O688" s="9"/>
    </row>
    <row r="689" spans="3:15" customFormat="1" ht="15.75" customHeight="1">
      <c r="C689" s="9"/>
      <c r="N689" s="9"/>
      <c r="O689" s="9"/>
    </row>
    <row r="690" spans="3:15" customFormat="1" ht="15.75" customHeight="1">
      <c r="C690" s="9"/>
      <c r="N690" s="9"/>
      <c r="O690" s="9"/>
    </row>
    <row r="691" spans="3:15" customFormat="1" ht="15.75" customHeight="1">
      <c r="C691" s="9"/>
      <c r="N691" s="9"/>
      <c r="O691" s="9"/>
    </row>
    <row r="692" spans="3:15" customFormat="1" ht="15.75" customHeight="1">
      <c r="C692" s="9"/>
      <c r="N692" s="9"/>
      <c r="O692" s="9"/>
    </row>
    <row r="693" spans="3:15" customFormat="1" ht="15.75" customHeight="1">
      <c r="C693" s="9"/>
      <c r="N693" s="9"/>
      <c r="O693" s="9"/>
    </row>
    <row r="694" spans="3:15" customFormat="1" ht="15.75" customHeight="1">
      <c r="C694" s="9"/>
      <c r="N694" s="9"/>
      <c r="O694" s="9"/>
    </row>
    <row r="695" spans="3:15" customFormat="1" ht="15.75" customHeight="1">
      <c r="C695" s="9"/>
      <c r="N695" s="9"/>
      <c r="O695" s="9"/>
    </row>
    <row r="696" spans="3:15" customFormat="1" ht="15.75" customHeight="1">
      <c r="C696" s="9"/>
      <c r="N696" s="9"/>
      <c r="O696" s="9"/>
    </row>
    <row r="697" spans="3:15" customFormat="1" ht="15.75" customHeight="1">
      <c r="C697" s="9"/>
      <c r="N697" s="9"/>
      <c r="O697" s="9"/>
    </row>
    <row r="698" spans="3:15" customFormat="1" ht="15.75" customHeight="1">
      <c r="C698" s="9"/>
      <c r="N698" s="9"/>
      <c r="O698" s="9"/>
    </row>
    <row r="699" spans="3:15" customFormat="1" ht="15.75" customHeight="1">
      <c r="C699" s="9"/>
      <c r="N699" s="9"/>
      <c r="O699" s="9"/>
    </row>
    <row r="700" spans="3:15" customFormat="1" ht="15.75" customHeight="1">
      <c r="C700" s="9"/>
      <c r="N700" s="9"/>
      <c r="O700" s="9"/>
    </row>
    <row r="701" spans="3:15" customFormat="1" ht="15.75" customHeight="1">
      <c r="C701" s="9"/>
      <c r="N701" s="9"/>
      <c r="O701" s="9"/>
    </row>
    <row r="702" spans="3:15" customFormat="1" ht="15.75" customHeight="1">
      <c r="C702" s="9"/>
      <c r="N702" s="9"/>
      <c r="O702" s="9"/>
    </row>
    <row r="703" spans="3:15" customFormat="1" ht="15.75" customHeight="1">
      <c r="C703" s="9"/>
      <c r="N703" s="9"/>
      <c r="O703" s="9"/>
    </row>
    <row r="704" spans="3:15" customFormat="1" ht="15.75" customHeight="1">
      <c r="C704" s="9"/>
      <c r="N704" s="9"/>
      <c r="O704" s="9"/>
    </row>
    <row r="705" spans="3:15" customFormat="1" ht="15.75" customHeight="1">
      <c r="C705" s="9"/>
      <c r="N705" s="9"/>
      <c r="O705" s="9"/>
    </row>
    <row r="706" spans="3:15" customFormat="1" ht="15.75" customHeight="1">
      <c r="C706" s="9"/>
      <c r="N706" s="9"/>
      <c r="O706" s="9"/>
    </row>
    <row r="707" spans="3:15" customFormat="1" ht="15.75" customHeight="1">
      <c r="C707" s="9"/>
      <c r="N707" s="9"/>
      <c r="O707" s="9"/>
    </row>
    <row r="708" spans="3:15" customFormat="1" ht="15.75" customHeight="1">
      <c r="C708" s="9"/>
      <c r="N708" s="9"/>
      <c r="O708" s="9"/>
    </row>
    <row r="709" spans="3:15" customFormat="1" ht="15.75" customHeight="1">
      <c r="C709" s="9"/>
      <c r="N709" s="9"/>
      <c r="O709" s="9"/>
    </row>
    <row r="710" spans="3:15" customFormat="1" ht="15.75" customHeight="1">
      <c r="C710" s="9"/>
      <c r="N710" s="9"/>
      <c r="O710" s="9"/>
    </row>
    <row r="711" spans="3:15" customFormat="1" ht="15.75" customHeight="1">
      <c r="C711" s="9"/>
      <c r="N711" s="9"/>
      <c r="O711" s="9"/>
    </row>
    <row r="712" spans="3:15" customFormat="1" ht="15.75" customHeight="1">
      <c r="C712" s="9"/>
      <c r="N712" s="9"/>
      <c r="O712" s="9"/>
    </row>
    <row r="713" spans="3:15" customFormat="1" ht="15.75" customHeight="1">
      <c r="C713" s="9"/>
      <c r="N713" s="9"/>
      <c r="O713" s="9"/>
    </row>
    <row r="714" spans="3:15" customFormat="1" ht="15.75" customHeight="1">
      <c r="C714" s="9"/>
      <c r="N714" s="9"/>
      <c r="O714" s="9"/>
    </row>
    <row r="715" spans="3:15" customFormat="1" ht="15.75" customHeight="1">
      <c r="C715" s="9"/>
      <c r="N715" s="9"/>
      <c r="O715" s="9"/>
    </row>
    <row r="716" spans="3:15" customFormat="1" ht="15.75" customHeight="1">
      <c r="C716" s="9"/>
      <c r="N716" s="9"/>
      <c r="O716" s="9"/>
    </row>
    <row r="717" spans="3:15" customFormat="1" ht="15.75" customHeight="1">
      <c r="C717" s="9"/>
      <c r="N717" s="9"/>
      <c r="O717" s="9"/>
    </row>
    <row r="718" spans="3:15" customFormat="1" ht="15.75" customHeight="1">
      <c r="C718" s="9"/>
      <c r="N718" s="9"/>
      <c r="O718" s="9"/>
    </row>
    <row r="719" spans="3:15" customFormat="1" ht="15.75" customHeight="1">
      <c r="C719" s="9"/>
      <c r="N719" s="9"/>
      <c r="O719" s="9"/>
    </row>
    <row r="720" spans="3:15" customFormat="1" ht="15.75" customHeight="1">
      <c r="C720" s="9"/>
      <c r="N720" s="9"/>
      <c r="O720" s="9"/>
    </row>
    <row r="721" spans="3:15" customFormat="1" ht="15.75" customHeight="1">
      <c r="C721" s="9"/>
      <c r="N721" s="9"/>
      <c r="O721" s="9"/>
    </row>
    <row r="722" spans="3:15" customFormat="1" ht="15.75" customHeight="1">
      <c r="C722" s="9"/>
      <c r="N722" s="9"/>
      <c r="O722" s="9"/>
    </row>
    <row r="723" spans="3:15" customFormat="1" ht="15.75" customHeight="1">
      <c r="C723" s="9"/>
      <c r="N723" s="9"/>
      <c r="O723" s="9"/>
    </row>
    <row r="724" spans="3:15" customFormat="1" ht="15.75" customHeight="1">
      <c r="C724" s="9"/>
      <c r="N724" s="9"/>
      <c r="O724" s="9"/>
    </row>
    <row r="725" spans="3:15" customFormat="1" ht="15.75" customHeight="1">
      <c r="C725" s="9"/>
      <c r="N725" s="9"/>
      <c r="O725" s="9"/>
    </row>
    <row r="726" spans="3:15" customFormat="1" ht="15.75" customHeight="1">
      <c r="C726" s="9"/>
      <c r="N726" s="9"/>
      <c r="O726" s="9"/>
    </row>
    <row r="727" spans="3:15" customFormat="1" ht="15.75" customHeight="1">
      <c r="C727" s="9"/>
      <c r="N727" s="9"/>
      <c r="O727" s="9"/>
    </row>
    <row r="728" spans="3:15" customFormat="1" ht="15.75" customHeight="1">
      <c r="C728" s="9"/>
      <c r="N728" s="9"/>
      <c r="O728" s="9"/>
    </row>
    <row r="729" spans="3:15" customFormat="1" ht="15.75" customHeight="1">
      <c r="C729" s="9"/>
      <c r="N729" s="9"/>
      <c r="O729" s="9"/>
    </row>
    <row r="730" spans="3:15" customFormat="1" ht="15.75" customHeight="1">
      <c r="C730" s="9"/>
      <c r="N730" s="9"/>
      <c r="O730" s="9"/>
    </row>
    <row r="731" spans="3:15" customFormat="1" ht="15.75" customHeight="1">
      <c r="C731" s="9"/>
      <c r="N731" s="9"/>
      <c r="O731" s="9"/>
    </row>
    <row r="732" spans="3:15" customFormat="1" ht="15.75" customHeight="1">
      <c r="C732" s="9"/>
      <c r="N732" s="9"/>
      <c r="O732" s="9"/>
    </row>
    <row r="733" spans="3:15" customFormat="1" ht="15.75" customHeight="1">
      <c r="C733" s="9"/>
      <c r="N733" s="9"/>
      <c r="O733" s="9"/>
    </row>
    <row r="734" spans="3:15" customFormat="1" ht="15.75" customHeight="1">
      <c r="C734" s="9"/>
      <c r="N734" s="9"/>
      <c r="O734" s="9"/>
    </row>
    <row r="735" spans="3:15" customFormat="1" ht="15.75" customHeight="1">
      <c r="C735" s="9"/>
      <c r="N735" s="9"/>
      <c r="O735" s="9"/>
    </row>
    <row r="736" spans="3:15" customFormat="1" ht="15.75" customHeight="1">
      <c r="C736" s="9"/>
      <c r="N736" s="9"/>
      <c r="O736" s="9"/>
    </row>
    <row r="737" spans="3:15" customFormat="1" ht="15.75" customHeight="1">
      <c r="C737" s="9"/>
      <c r="N737" s="9"/>
      <c r="O737" s="9"/>
    </row>
    <row r="738" spans="3:15" customFormat="1" ht="15.75" customHeight="1">
      <c r="C738" s="9"/>
      <c r="N738" s="9"/>
      <c r="O738" s="9"/>
    </row>
    <row r="739" spans="3:15" customFormat="1" ht="15.75" customHeight="1">
      <c r="C739" s="9"/>
      <c r="N739" s="9"/>
      <c r="O739" s="9"/>
    </row>
    <row r="740" spans="3:15" customFormat="1" ht="15.75" customHeight="1">
      <c r="C740" s="9"/>
      <c r="N740" s="9"/>
      <c r="O740" s="9"/>
    </row>
    <row r="741" spans="3:15" customFormat="1" ht="15.75" customHeight="1">
      <c r="C741" s="9"/>
      <c r="N741" s="9"/>
      <c r="O741" s="9"/>
    </row>
    <row r="742" spans="3:15" customFormat="1" ht="15.75" customHeight="1">
      <c r="C742" s="9"/>
      <c r="N742" s="9"/>
      <c r="O742" s="9"/>
    </row>
    <row r="743" spans="3:15" customFormat="1" ht="15.75" customHeight="1">
      <c r="C743" s="9"/>
      <c r="N743" s="9"/>
      <c r="O743" s="9"/>
    </row>
    <row r="744" spans="3:15" customFormat="1" ht="15.75" customHeight="1">
      <c r="C744" s="9"/>
      <c r="N744" s="9"/>
      <c r="O744" s="9"/>
    </row>
    <row r="745" spans="3:15" customFormat="1" ht="15.75" customHeight="1">
      <c r="C745" s="9"/>
      <c r="N745" s="9"/>
      <c r="O745" s="9"/>
    </row>
    <row r="746" spans="3:15" customFormat="1" ht="15.75" customHeight="1">
      <c r="C746" s="9"/>
      <c r="N746" s="9"/>
      <c r="O746" s="9"/>
    </row>
    <row r="747" spans="3:15" customFormat="1" ht="15.75" customHeight="1">
      <c r="C747" s="9"/>
      <c r="N747" s="9"/>
      <c r="O747" s="9"/>
    </row>
    <row r="748" spans="3:15" customFormat="1" ht="15.75" customHeight="1">
      <c r="C748" s="9"/>
      <c r="N748" s="9"/>
      <c r="O748" s="9"/>
    </row>
    <row r="749" spans="3:15" customFormat="1" ht="15.75" customHeight="1">
      <c r="C749" s="9"/>
      <c r="N749" s="9"/>
      <c r="O749" s="9"/>
    </row>
    <row r="750" spans="3:15" customFormat="1" ht="15.75" customHeight="1">
      <c r="C750" s="9"/>
      <c r="N750" s="9"/>
      <c r="O750" s="9"/>
    </row>
    <row r="751" spans="3:15" customFormat="1" ht="15.75" customHeight="1">
      <c r="C751" s="9"/>
      <c r="N751" s="9"/>
      <c r="O751" s="9"/>
    </row>
    <row r="752" spans="3:15" customFormat="1" ht="15.75" customHeight="1">
      <c r="C752" s="9"/>
      <c r="N752" s="9"/>
      <c r="O752" s="9"/>
    </row>
    <row r="753" spans="3:15" customFormat="1" ht="15.75" customHeight="1">
      <c r="C753" s="9"/>
      <c r="N753" s="9"/>
      <c r="O753" s="9"/>
    </row>
    <row r="754" spans="3:15" customFormat="1" ht="15.75" customHeight="1">
      <c r="C754" s="9"/>
      <c r="N754" s="9"/>
      <c r="O754" s="9"/>
    </row>
    <row r="755" spans="3:15" customFormat="1" ht="15.75" customHeight="1">
      <c r="C755" s="9"/>
      <c r="N755" s="9"/>
      <c r="O755" s="9"/>
    </row>
    <row r="756" spans="3:15" customFormat="1" ht="15.75" customHeight="1">
      <c r="C756" s="9"/>
      <c r="N756" s="9"/>
      <c r="O756" s="9"/>
    </row>
    <row r="757" spans="3:15" customFormat="1" ht="15.75" customHeight="1">
      <c r="C757" s="9"/>
      <c r="N757" s="9"/>
      <c r="O757" s="9"/>
    </row>
    <row r="758" spans="3:15" customFormat="1" ht="15.75" customHeight="1">
      <c r="C758" s="9"/>
      <c r="N758" s="9"/>
      <c r="O758" s="9"/>
    </row>
    <row r="759" spans="3:15" customFormat="1" ht="15.75" customHeight="1">
      <c r="C759" s="9"/>
      <c r="N759" s="9"/>
      <c r="O759" s="9"/>
    </row>
    <row r="760" spans="3:15" customFormat="1" ht="15.75" customHeight="1">
      <c r="C760" s="9"/>
      <c r="N760" s="9"/>
      <c r="O760" s="9"/>
    </row>
    <row r="761" spans="3:15" customFormat="1" ht="15.75" customHeight="1">
      <c r="C761" s="9"/>
      <c r="N761" s="9"/>
      <c r="O761" s="9"/>
    </row>
    <row r="762" spans="3:15" customFormat="1" ht="15.75" customHeight="1">
      <c r="C762" s="9"/>
      <c r="N762" s="9"/>
      <c r="O762" s="9"/>
    </row>
    <row r="763" spans="3:15" customFormat="1" ht="15.75" customHeight="1">
      <c r="C763" s="9"/>
      <c r="N763" s="9"/>
      <c r="O763" s="9"/>
    </row>
    <row r="764" spans="3:15" customFormat="1" ht="15.75" customHeight="1">
      <c r="C764" s="9"/>
      <c r="N764" s="9"/>
      <c r="O764" s="9"/>
    </row>
    <row r="765" spans="3:15" customFormat="1" ht="15.75" customHeight="1">
      <c r="C765" s="9"/>
      <c r="N765" s="9"/>
      <c r="O765" s="9"/>
    </row>
    <row r="766" spans="3:15" customFormat="1" ht="15.75" customHeight="1">
      <c r="C766" s="9"/>
      <c r="N766" s="9"/>
      <c r="O766" s="9"/>
    </row>
    <row r="767" spans="3:15" customFormat="1" ht="15.75" customHeight="1">
      <c r="C767" s="9"/>
      <c r="N767" s="9"/>
      <c r="O767" s="9"/>
    </row>
    <row r="768" spans="3:15" customFormat="1" ht="15.75" customHeight="1">
      <c r="C768" s="9"/>
      <c r="N768" s="9"/>
      <c r="O768" s="9"/>
    </row>
    <row r="769" spans="3:15" customFormat="1" ht="15.75" customHeight="1">
      <c r="C769" s="9"/>
      <c r="N769" s="9"/>
      <c r="O769" s="9"/>
    </row>
    <row r="770" spans="3:15" customFormat="1" ht="15.75" customHeight="1">
      <c r="C770" s="9"/>
      <c r="N770" s="9"/>
      <c r="O770" s="9"/>
    </row>
    <row r="771" spans="3:15" customFormat="1" ht="15.75" customHeight="1">
      <c r="C771" s="9"/>
      <c r="N771" s="9"/>
      <c r="O771" s="9"/>
    </row>
    <row r="772" spans="3:15" customFormat="1" ht="15.75" customHeight="1">
      <c r="C772" s="9"/>
      <c r="N772" s="9"/>
      <c r="O772" s="9"/>
    </row>
    <row r="773" spans="3:15" customFormat="1" ht="15.75" customHeight="1">
      <c r="C773" s="9"/>
      <c r="N773" s="9"/>
      <c r="O773" s="9"/>
    </row>
    <row r="774" spans="3:15" customFormat="1" ht="15.75" customHeight="1">
      <c r="C774" s="9"/>
      <c r="N774" s="9"/>
      <c r="O774" s="9"/>
    </row>
    <row r="775" spans="3:15" customFormat="1" ht="15.75" customHeight="1">
      <c r="C775" s="9"/>
      <c r="N775" s="9"/>
      <c r="O775" s="9"/>
    </row>
    <row r="776" spans="3:15" customFormat="1" ht="15.75" customHeight="1">
      <c r="C776" s="9"/>
      <c r="N776" s="9"/>
      <c r="O776" s="9"/>
    </row>
    <row r="777" spans="3:15" customFormat="1" ht="15.75" customHeight="1">
      <c r="C777" s="9"/>
      <c r="N777" s="9"/>
      <c r="O777" s="9"/>
    </row>
    <row r="778" spans="3:15" customFormat="1" ht="15.75" customHeight="1">
      <c r="C778" s="9"/>
      <c r="N778" s="9"/>
      <c r="O778" s="9"/>
    </row>
    <row r="779" spans="3:15" customFormat="1" ht="15.75" customHeight="1">
      <c r="C779" s="9"/>
      <c r="N779" s="9"/>
      <c r="O779" s="9"/>
    </row>
    <row r="780" spans="3:15" customFormat="1" ht="15.75" customHeight="1">
      <c r="C780" s="9"/>
      <c r="N780" s="9"/>
      <c r="O780" s="9"/>
    </row>
    <row r="781" spans="3:15" customFormat="1" ht="15.75" customHeight="1">
      <c r="C781" s="9"/>
      <c r="N781" s="9"/>
      <c r="O781" s="9"/>
    </row>
    <row r="782" spans="3:15" customFormat="1" ht="15.75" customHeight="1">
      <c r="C782" s="9"/>
      <c r="N782" s="9"/>
      <c r="O782" s="9"/>
    </row>
    <row r="783" spans="3:15" customFormat="1" ht="15.75" customHeight="1">
      <c r="C783" s="9"/>
      <c r="N783" s="9"/>
      <c r="O783" s="9"/>
    </row>
    <row r="784" spans="3:15" customFormat="1" ht="15.75" customHeight="1">
      <c r="C784" s="9"/>
      <c r="N784" s="9"/>
      <c r="O784" s="9"/>
    </row>
    <row r="785" spans="3:15" customFormat="1" ht="15.75" customHeight="1">
      <c r="C785" s="9"/>
      <c r="N785" s="9"/>
      <c r="O785" s="9"/>
    </row>
    <row r="786" spans="3:15" customFormat="1" ht="15.75" customHeight="1">
      <c r="C786" s="9"/>
      <c r="N786" s="9"/>
      <c r="O786" s="9"/>
    </row>
    <row r="787" spans="3:15" customFormat="1" ht="15.75" customHeight="1">
      <c r="C787" s="9"/>
      <c r="N787" s="9"/>
      <c r="O787" s="9"/>
    </row>
    <row r="788" spans="3:15" customFormat="1" ht="15.75" customHeight="1">
      <c r="C788" s="9"/>
      <c r="N788" s="9"/>
      <c r="O788" s="9"/>
    </row>
    <row r="789" spans="3:15" customFormat="1" ht="15.75" customHeight="1">
      <c r="C789" s="9"/>
      <c r="N789" s="9"/>
      <c r="O789" s="9"/>
    </row>
    <row r="790" spans="3:15" customFormat="1" ht="15.75" customHeight="1">
      <c r="C790" s="9"/>
      <c r="N790" s="9"/>
      <c r="O790" s="9"/>
    </row>
    <row r="791" spans="3:15" customFormat="1" ht="15.75" customHeight="1">
      <c r="C791" s="9"/>
      <c r="N791" s="9"/>
      <c r="O791" s="9"/>
    </row>
    <row r="792" spans="3:15" customFormat="1" ht="15.75" customHeight="1">
      <c r="C792" s="9"/>
      <c r="N792" s="9"/>
      <c r="O792" s="9"/>
    </row>
    <row r="793" spans="3:15" customFormat="1" ht="15.75" customHeight="1">
      <c r="C793" s="9"/>
      <c r="N793" s="9"/>
      <c r="O793" s="9"/>
    </row>
    <row r="794" spans="3:15" customFormat="1" ht="15.75" customHeight="1">
      <c r="C794" s="9"/>
      <c r="N794" s="9"/>
      <c r="O794" s="9"/>
    </row>
    <row r="795" spans="3:15" customFormat="1" ht="15.75" customHeight="1">
      <c r="C795" s="9"/>
      <c r="N795" s="9"/>
      <c r="O795" s="9"/>
    </row>
    <row r="796" spans="3:15" customFormat="1" ht="15.75" customHeight="1">
      <c r="C796" s="9"/>
      <c r="N796" s="9"/>
      <c r="O796" s="9"/>
    </row>
    <row r="797" spans="3:15" customFormat="1" ht="15.75" customHeight="1">
      <c r="C797" s="9"/>
      <c r="N797" s="9"/>
      <c r="O797" s="9"/>
    </row>
    <row r="798" spans="3:15" customFormat="1" ht="15.75" customHeight="1">
      <c r="C798" s="9"/>
      <c r="N798" s="9"/>
      <c r="O798" s="9"/>
    </row>
    <row r="799" spans="3:15" customFormat="1" ht="15.75" customHeight="1">
      <c r="C799" s="9"/>
      <c r="N799" s="9"/>
      <c r="O799" s="9"/>
    </row>
    <row r="800" spans="3:15" customFormat="1" ht="15.75" customHeight="1">
      <c r="C800" s="9"/>
      <c r="N800" s="9"/>
      <c r="O800" s="9"/>
    </row>
    <row r="801" spans="3:15" customFormat="1" ht="15.75" customHeight="1">
      <c r="C801" s="9"/>
      <c r="N801" s="9"/>
      <c r="O801" s="9"/>
    </row>
    <row r="802" spans="3:15" customFormat="1" ht="15.75" customHeight="1">
      <c r="C802" s="9"/>
      <c r="N802" s="9"/>
      <c r="O802" s="9"/>
    </row>
    <row r="803" spans="3:15" customFormat="1" ht="15.75" customHeight="1">
      <c r="C803" s="9"/>
      <c r="N803" s="9"/>
      <c r="O803" s="9"/>
    </row>
    <row r="804" spans="3:15" customFormat="1" ht="15.75" customHeight="1">
      <c r="C804" s="9"/>
      <c r="N804" s="9"/>
      <c r="O804" s="9"/>
    </row>
    <row r="805" spans="3:15" customFormat="1" ht="15.75" customHeight="1">
      <c r="C805" s="9"/>
      <c r="N805" s="9"/>
      <c r="O805" s="9"/>
    </row>
    <row r="806" spans="3:15" customFormat="1" ht="15.75" customHeight="1">
      <c r="C806" s="9"/>
      <c r="N806" s="9"/>
      <c r="O806" s="9"/>
    </row>
    <row r="807" spans="3:15" customFormat="1" ht="15.75" customHeight="1">
      <c r="C807" s="9"/>
      <c r="N807" s="9"/>
      <c r="O807" s="9"/>
    </row>
    <row r="808" spans="3:15" customFormat="1" ht="15.75" customHeight="1">
      <c r="C808" s="9"/>
      <c r="N808" s="9"/>
      <c r="O808" s="9"/>
    </row>
    <row r="809" spans="3:15" customFormat="1" ht="15.75" customHeight="1">
      <c r="C809" s="9"/>
      <c r="N809" s="9"/>
      <c r="O809" s="9"/>
    </row>
    <row r="810" spans="3:15" customFormat="1" ht="15.75" customHeight="1">
      <c r="C810" s="9"/>
      <c r="N810" s="9"/>
      <c r="O810" s="9"/>
    </row>
    <row r="811" spans="3:15" customFormat="1" ht="15.75" customHeight="1">
      <c r="C811" s="9"/>
      <c r="N811" s="9"/>
      <c r="O811" s="9"/>
    </row>
    <row r="812" spans="3:15" customFormat="1" ht="15.75" customHeight="1">
      <c r="C812" s="9"/>
      <c r="N812" s="9"/>
      <c r="O812" s="9"/>
    </row>
    <row r="813" spans="3:15" customFormat="1" ht="15.75" customHeight="1">
      <c r="C813" s="9"/>
      <c r="N813" s="9"/>
      <c r="O813" s="9"/>
    </row>
    <row r="814" spans="3:15" customFormat="1" ht="15.75" customHeight="1">
      <c r="C814" s="9"/>
      <c r="N814" s="9"/>
      <c r="O814" s="9"/>
    </row>
    <row r="815" spans="3:15" customFormat="1" ht="15.75" customHeight="1">
      <c r="C815" s="9"/>
      <c r="N815" s="9"/>
      <c r="O815" s="9"/>
    </row>
    <row r="816" spans="3:15" customFormat="1" ht="15.75" customHeight="1">
      <c r="C816" s="9"/>
      <c r="N816" s="9"/>
      <c r="O816" s="9"/>
    </row>
    <row r="817" spans="3:15" customFormat="1" ht="15.75" customHeight="1">
      <c r="C817" s="9"/>
      <c r="N817" s="9"/>
      <c r="O817" s="9"/>
    </row>
    <row r="818" spans="3:15" customFormat="1" ht="15.75" customHeight="1">
      <c r="C818" s="9"/>
      <c r="N818" s="9"/>
      <c r="O818" s="9"/>
    </row>
    <row r="819" spans="3:15" customFormat="1" ht="15.75" customHeight="1">
      <c r="C819" s="9"/>
      <c r="N819" s="9"/>
      <c r="O819" s="9"/>
    </row>
    <row r="820" spans="3:15" customFormat="1" ht="15.75" customHeight="1">
      <c r="C820" s="9"/>
      <c r="N820" s="9"/>
      <c r="O820" s="9"/>
    </row>
    <row r="821" spans="3:15" customFormat="1" ht="15.75" customHeight="1">
      <c r="C821" s="9"/>
      <c r="N821" s="9"/>
      <c r="O821" s="9"/>
    </row>
    <row r="822" spans="3:15" customFormat="1" ht="15.75" customHeight="1">
      <c r="C822" s="9"/>
      <c r="N822" s="9"/>
      <c r="O822" s="9"/>
    </row>
    <row r="823" spans="3:15" customFormat="1" ht="15.75" customHeight="1">
      <c r="C823" s="9"/>
      <c r="N823" s="9"/>
      <c r="O823" s="9"/>
    </row>
    <row r="824" spans="3:15" customFormat="1" ht="15.75" customHeight="1">
      <c r="C824" s="9"/>
      <c r="N824" s="9"/>
      <c r="O824" s="9"/>
    </row>
    <row r="825" spans="3:15" customFormat="1" ht="15.75" customHeight="1">
      <c r="C825" s="9"/>
      <c r="N825" s="9"/>
      <c r="O825" s="9"/>
    </row>
    <row r="826" spans="3:15" customFormat="1" ht="15.75" customHeight="1">
      <c r="C826" s="9"/>
      <c r="N826" s="9"/>
      <c r="O826" s="9"/>
    </row>
    <row r="827" spans="3:15" customFormat="1" ht="15.75" customHeight="1">
      <c r="C827" s="9"/>
      <c r="N827" s="9"/>
      <c r="O827" s="9"/>
    </row>
    <row r="828" spans="3:15" customFormat="1" ht="15.75" customHeight="1">
      <c r="C828" s="9"/>
      <c r="N828" s="9"/>
      <c r="O828" s="9"/>
    </row>
    <row r="829" spans="3:15" customFormat="1" ht="15.75" customHeight="1">
      <c r="C829" s="9"/>
      <c r="N829" s="9"/>
      <c r="O829" s="9"/>
    </row>
    <row r="830" spans="3:15" customFormat="1" ht="15.75" customHeight="1">
      <c r="C830" s="9"/>
      <c r="N830" s="9"/>
      <c r="O830" s="9"/>
    </row>
    <row r="831" spans="3:15" customFormat="1" ht="15.75" customHeight="1">
      <c r="C831" s="9"/>
      <c r="N831" s="9"/>
      <c r="O831" s="9"/>
    </row>
    <row r="832" spans="3:15" customFormat="1" ht="15.75" customHeight="1">
      <c r="C832" s="9"/>
      <c r="N832" s="9"/>
      <c r="O832" s="9"/>
    </row>
    <row r="833" spans="3:15" customFormat="1" ht="15.75" customHeight="1">
      <c r="C833" s="9"/>
      <c r="N833" s="9"/>
      <c r="O833" s="9"/>
    </row>
    <row r="834" spans="3:15" customFormat="1" ht="15.75" customHeight="1">
      <c r="C834" s="9"/>
      <c r="N834" s="9"/>
      <c r="O834" s="9"/>
    </row>
    <row r="835" spans="3:15" customFormat="1" ht="15.75" customHeight="1">
      <c r="C835" s="9"/>
      <c r="N835" s="9"/>
      <c r="O835" s="9"/>
    </row>
    <row r="836" spans="3:15" customFormat="1" ht="15.75" customHeight="1">
      <c r="C836" s="9"/>
      <c r="N836" s="9"/>
      <c r="O836" s="9"/>
    </row>
    <row r="837" spans="3:15" customFormat="1" ht="15.75" customHeight="1">
      <c r="C837" s="9"/>
      <c r="N837" s="9"/>
      <c r="O837" s="9"/>
    </row>
    <row r="838" spans="3:15" customFormat="1" ht="15.75" customHeight="1">
      <c r="C838" s="9"/>
      <c r="N838" s="9"/>
      <c r="O838" s="9"/>
    </row>
    <row r="839" spans="3:15" customFormat="1" ht="15.75" customHeight="1">
      <c r="C839" s="9"/>
      <c r="N839" s="9"/>
      <c r="O839" s="9"/>
    </row>
    <row r="840" spans="3:15" customFormat="1" ht="15.75" customHeight="1">
      <c r="C840" s="9"/>
      <c r="N840" s="9"/>
      <c r="O840" s="9"/>
    </row>
    <row r="841" spans="3:15" customFormat="1" ht="15.75" customHeight="1">
      <c r="C841" s="9"/>
      <c r="N841" s="9"/>
      <c r="O841" s="9"/>
    </row>
    <row r="842" spans="3:15" customFormat="1" ht="15.75" customHeight="1">
      <c r="C842" s="9"/>
      <c r="N842" s="9"/>
      <c r="O842" s="9"/>
    </row>
    <row r="843" spans="3:15" customFormat="1" ht="15.75" customHeight="1">
      <c r="C843" s="9"/>
      <c r="N843" s="9"/>
      <c r="O843" s="9"/>
    </row>
    <row r="844" spans="3:15" customFormat="1" ht="15.75" customHeight="1">
      <c r="C844" s="9"/>
      <c r="N844" s="9"/>
      <c r="O844" s="9"/>
    </row>
    <row r="845" spans="3:15" customFormat="1" ht="15.75" customHeight="1">
      <c r="C845" s="9"/>
      <c r="N845" s="9"/>
      <c r="O845" s="9"/>
    </row>
    <row r="846" spans="3:15" customFormat="1" ht="15.75" customHeight="1">
      <c r="C846" s="9"/>
      <c r="N846" s="9"/>
      <c r="O846" s="9"/>
    </row>
    <row r="847" spans="3:15" customFormat="1" ht="15.75" customHeight="1">
      <c r="C847" s="9"/>
      <c r="N847" s="9"/>
      <c r="O847" s="9"/>
    </row>
    <row r="848" spans="3:15" customFormat="1" ht="15.75" customHeight="1">
      <c r="C848" s="9"/>
      <c r="N848" s="9"/>
      <c r="O848" s="9"/>
    </row>
    <row r="849" spans="3:15" customFormat="1" ht="15.75" customHeight="1">
      <c r="C849" s="9"/>
      <c r="N849" s="9"/>
      <c r="O849" s="9"/>
    </row>
    <row r="850" spans="3:15" customFormat="1" ht="15.75" customHeight="1">
      <c r="C850" s="9"/>
      <c r="N850" s="9"/>
      <c r="O850" s="9"/>
    </row>
    <row r="851" spans="3:15" customFormat="1" ht="15.75" customHeight="1">
      <c r="C851" s="9"/>
      <c r="N851" s="9"/>
      <c r="O851" s="9"/>
    </row>
    <row r="852" spans="3:15" customFormat="1" ht="15.75" customHeight="1">
      <c r="C852" s="9"/>
      <c r="N852" s="9"/>
      <c r="O852" s="9"/>
    </row>
    <row r="853" spans="3:15" customFormat="1" ht="15.75" customHeight="1">
      <c r="C853" s="9"/>
      <c r="N853" s="9"/>
      <c r="O853" s="9"/>
    </row>
    <row r="854" spans="3:15" customFormat="1" ht="15.75" customHeight="1">
      <c r="C854" s="9"/>
      <c r="N854" s="9"/>
      <c r="O854" s="9"/>
    </row>
    <row r="855" spans="3:15" customFormat="1" ht="15.75" customHeight="1">
      <c r="C855" s="9"/>
      <c r="N855" s="9"/>
      <c r="O855" s="9"/>
    </row>
    <row r="856" spans="3:15" customFormat="1" ht="15.75" customHeight="1">
      <c r="C856" s="9"/>
      <c r="N856" s="9"/>
      <c r="O856" s="9"/>
    </row>
    <row r="857" spans="3:15" customFormat="1" ht="15.75" customHeight="1">
      <c r="C857" s="9"/>
      <c r="N857" s="9"/>
      <c r="O857" s="9"/>
    </row>
    <row r="858" spans="3:15" customFormat="1" ht="15.75" customHeight="1">
      <c r="C858" s="9"/>
      <c r="N858" s="9"/>
      <c r="O858" s="9"/>
    </row>
    <row r="859" spans="3:15" customFormat="1" ht="15.75" customHeight="1">
      <c r="C859" s="9"/>
      <c r="N859" s="9"/>
      <c r="O859" s="9"/>
    </row>
    <row r="860" spans="3:15" customFormat="1" ht="15.75" customHeight="1">
      <c r="C860" s="9"/>
      <c r="N860" s="9"/>
      <c r="O860" s="9"/>
    </row>
    <row r="861" spans="3:15" customFormat="1" ht="15.75" customHeight="1">
      <c r="C861" s="9"/>
      <c r="N861" s="9"/>
      <c r="O861" s="9"/>
    </row>
    <row r="862" spans="3:15" customFormat="1" ht="15.75" customHeight="1">
      <c r="C862" s="9"/>
      <c r="N862" s="9"/>
      <c r="O862" s="9"/>
    </row>
    <row r="863" spans="3:15" customFormat="1" ht="15.75" customHeight="1">
      <c r="C863" s="9"/>
      <c r="N863" s="9"/>
      <c r="O863" s="9"/>
    </row>
    <row r="864" spans="3:15" customFormat="1" ht="15.75" customHeight="1">
      <c r="C864" s="9"/>
      <c r="N864" s="9"/>
      <c r="O864" s="9"/>
    </row>
    <row r="865" spans="3:15" customFormat="1" ht="15.75" customHeight="1">
      <c r="C865" s="9"/>
      <c r="N865" s="9"/>
      <c r="O865" s="9"/>
    </row>
    <row r="866" spans="3:15" customFormat="1" ht="15.75" customHeight="1">
      <c r="C866" s="9"/>
      <c r="N866" s="9"/>
      <c r="O866" s="9"/>
    </row>
    <row r="867" spans="3:15" customFormat="1" ht="15.75" customHeight="1">
      <c r="C867" s="9"/>
      <c r="N867" s="9"/>
      <c r="O867" s="9"/>
    </row>
    <row r="868" spans="3:15" customFormat="1" ht="15.75" customHeight="1">
      <c r="C868" s="9"/>
      <c r="N868" s="9"/>
      <c r="O868" s="9"/>
    </row>
    <row r="869" spans="3:15" customFormat="1" ht="15.75" customHeight="1">
      <c r="C869" s="9"/>
      <c r="N869" s="9"/>
      <c r="O869" s="9"/>
    </row>
    <row r="870" spans="3:15" customFormat="1" ht="15.75" customHeight="1">
      <c r="C870" s="9"/>
      <c r="N870" s="9"/>
      <c r="O870" s="9"/>
    </row>
    <row r="871" spans="3:15" customFormat="1" ht="15.75" customHeight="1">
      <c r="C871" s="9"/>
      <c r="N871" s="9"/>
      <c r="O871" s="9"/>
    </row>
    <row r="872" spans="3:15" customFormat="1" ht="15.75" customHeight="1">
      <c r="C872" s="9"/>
      <c r="N872" s="9"/>
      <c r="O872" s="9"/>
    </row>
    <row r="873" spans="3:15" customFormat="1" ht="15.75" customHeight="1">
      <c r="C873" s="9"/>
      <c r="N873" s="9"/>
      <c r="O873" s="9"/>
    </row>
    <row r="874" spans="3:15" customFormat="1" ht="15.75" customHeight="1">
      <c r="C874" s="9"/>
      <c r="N874" s="9"/>
      <c r="O874" s="9"/>
    </row>
    <row r="875" spans="3:15" customFormat="1" ht="15.75" customHeight="1">
      <c r="C875" s="9"/>
      <c r="N875" s="9"/>
      <c r="O875" s="9"/>
    </row>
    <row r="876" spans="3:15" customFormat="1" ht="15.75" customHeight="1">
      <c r="C876" s="9"/>
      <c r="N876" s="9"/>
      <c r="O876" s="9"/>
    </row>
    <row r="877" spans="3:15" customFormat="1" ht="15.75" customHeight="1">
      <c r="C877" s="9"/>
      <c r="N877" s="9"/>
      <c r="O877" s="9"/>
    </row>
    <row r="878" spans="3:15" customFormat="1" ht="15.75" customHeight="1">
      <c r="C878" s="9"/>
      <c r="N878" s="9"/>
      <c r="O878" s="9"/>
    </row>
    <row r="879" spans="3:15" customFormat="1" ht="15.75" customHeight="1">
      <c r="C879" s="9"/>
      <c r="N879" s="9"/>
      <c r="O879" s="9"/>
    </row>
    <row r="880" spans="3:15" customFormat="1" ht="15.75" customHeight="1">
      <c r="C880" s="9"/>
      <c r="N880" s="9"/>
      <c r="O880" s="9"/>
    </row>
    <row r="881" spans="3:15" customFormat="1" ht="15.75" customHeight="1">
      <c r="C881" s="9"/>
      <c r="N881" s="9"/>
      <c r="O881" s="9"/>
    </row>
    <row r="882" spans="3:15" customFormat="1" ht="15.75" customHeight="1">
      <c r="C882" s="9"/>
      <c r="N882" s="9"/>
      <c r="O882" s="9"/>
    </row>
    <row r="883" spans="3:15" customFormat="1" ht="15.75" customHeight="1">
      <c r="C883" s="9"/>
      <c r="N883" s="9"/>
      <c r="O883" s="9"/>
    </row>
    <row r="884" spans="3:15" customFormat="1" ht="15.75" customHeight="1">
      <c r="C884" s="9"/>
      <c r="N884" s="9"/>
      <c r="O884" s="9"/>
    </row>
    <row r="885" spans="3:15" customFormat="1" ht="15.75" customHeight="1">
      <c r="C885" s="9"/>
      <c r="N885" s="9"/>
      <c r="O885" s="9"/>
    </row>
    <row r="886" spans="3:15" customFormat="1" ht="15.75" customHeight="1">
      <c r="C886" s="9"/>
      <c r="N886" s="9"/>
      <c r="O886" s="9"/>
    </row>
    <row r="887" spans="3:15" customFormat="1" ht="15.75" customHeight="1">
      <c r="C887" s="9"/>
      <c r="N887" s="9"/>
      <c r="O887" s="9"/>
    </row>
    <row r="888" spans="3:15" customFormat="1" ht="15.75" customHeight="1">
      <c r="C888" s="9"/>
      <c r="N888" s="9"/>
      <c r="O888" s="9"/>
    </row>
    <row r="889" spans="3:15" customFormat="1" ht="15.75" customHeight="1">
      <c r="C889" s="9"/>
      <c r="N889" s="9"/>
      <c r="O889" s="9"/>
    </row>
    <row r="890" spans="3:15" customFormat="1" ht="15.75" customHeight="1">
      <c r="C890" s="9"/>
      <c r="N890" s="9"/>
      <c r="O890" s="9"/>
    </row>
    <row r="891" spans="3:15" customFormat="1" ht="15.75" customHeight="1">
      <c r="C891" s="9"/>
      <c r="N891" s="9"/>
      <c r="O891" s="9"/>
    </row>
    <row r="892" spans="3:15" customFormat="1" ht="15.75" customHeight="1">
      <c r="C892" s="9"/>
      <c r="N892" s="9"/>
      <c r="O892" s="9"/>
    </row>
    <row r="893" spans="3:15" customFormat="1" ht="15.75" customHeight="1">
      <c r="C893" s="9"/>
      <c r="N893" s="9"/>
      <c r="O893" s="9"/>
    </row>
    <row r="894" spans="3:15" customFormat="1" ht="15.75" customHeight="1">
      <c r="C894" s="9"/>
      <c r="N894" s="9"/>
      <c r="O894" s="9"/>
    </row>
    <row r="895" spans="3:15" customFormat="1" ht="15.75" customHeight="1">
      <c r="C895" s="9"/>
      <c r="N895" s="9"/>
      <c r="O895" s="9"/>
    </row>
    <row r="896" spans="3:15" customFormat="1" ht="15.75" customHeight="1">
      <c r="C896" s="9"/>
      <c r="N896" s="9"/>
      <c r="O896" s="9"/>
    </row>
    <row r="897" spans="3:15" customFormat="1" ht="15.75" customHeight="1">
      <c r="C897" s="9"/>
      <c r="N897" s="9"/>
      <c r="O897" s="9"/>
    </row>
    <row r="898" spans="3:15" customFormat="1" ht="15.75" customHeight="1">
      <c r="C898" s="9"/>
      <c r="N898" s="9"/>
      <c r="O898" s="9"/>
    </row>
    <row r="899" spans="3:15" customFormat="1" ht="15.75" customHeight="1">
      <c r="C899" s="9"/>
      <c r="N899" s="9"/>
      <c r="O899" s="9"/>
    </row>
    <row r="900" spans="3:15" customFormat="1" ht="15.75" customHeight="1">
      <c r="C900" s="9"/>
      <c r="N900" s="9"/>
      <c r="O900" s="9"/>
    </row>
    <row r="901" spans="3:15" customFormat="1" ht="15.75" customHeight="1">
      <c r="C901" s="9"/>
      <c r="N901" s="9"/>
      <c r="O901" s="9"/>
    </row>
    <row r="902" spans="3:15" customFormat="1" ht="15.75" customHeight="1">
      <c r="C902" s="9"/>
      <c r="N902" s="9"/>
      <c r="O902" s="9"/>
    </row>
    <row r="903" spans="3:15" customFormat="1" ht="15.75" customHeight="1">
      <c r="C903" s="9"/>
      <c r="N903" s="9"/>
      <c r="O903" s="9"/>
    </row>
    <row r="904" spans="3:15" customFormat="1" ht="15.75" customHeight="1">
      <c r="C904" s="9"/>
      <c r="N904" s="9"/>
      <c r="O904" s="9"/>
    </row>
    <row r="905" spans="3:15" customFormat="1" ht="15.75" customHeight="1">
      <c r="C905" s="9"/>
      <c r="N905" s="9"/>
      <c r="O905" s="9"/>
    </row>
    <row r="906" spans="3:15" customFormat="1" ht="15.75" customHeight="1">
      <c r="C906" s="9"/>
      <c r="N906" s="9"/>
      <c r="O906" s="9"/>
    </row>
    <row r="907" spans="3:15" customFormat="1" ht="15.75" customHeight="1">
      <c r="C907" s="9"/>
      <c r="N907" s="9"/>
      <c r="O907" s="9"/>
    </row>
    <row r="908" spans="3:15" customFormat="1" ht="15.75" customHeight="1">
      <c r="C908" s="9"/>
      <c r="N908" s="9"/>
      <c r="O908" s="9"/>
    </row>
    <row r="909" spans="3:15" customFormat="1" ht="15.75" customHeight="1">
      <c r="C909" s="9"/>
      <c r="N909" s="9"/>
      <c r="O909" s="9"/>
    </row>
    <row r="910" spans="3:15" customFormat="1" ht="15.75" customHeight="1">
      <c r="C910" s="9"/>
      <c r="N910" s="9"/>
      <c r="O910" s="9"/>
    </row>
    <row r="911" spans="3:15" customFormat="1" ht="15.75" customHeight="1">
      <c r="C911" s="9"/>
      <c r="N911" s="9"/>
      <c r="O911" s="9"/>
    </row>
    <row r="912" spans="3:15" customFormat="1" ht="15.75" customHeight="1">
      <c r="C912" s="9"/>
      <c r="N912" s="9"/>
      <c r="O912" s="9"/>
    </row>
    <row r="913" spans="3:15" customFormat="1" ht="15.75" customHeight="1">
      <c r="C913" s="9"/>
      <c r="N913" s="9"/>
      <c r="O913" s="9"/>
    </row>
    <row r="914" spans="3:15" customFormat="1" ht="15.75" customHeight="1">
      <c r="C914" s="9"/>
      <c r="N914" s="9"/>
      <c r="O914" s="9"/>
    </row>
    <row r="915" spans="3:15" customFormat="1" ht="15.75" customHeight="1">
      <c r="C915" s="9"/>
      <c r="N915" s="9"/>
      <c r="O915" s="9"/>
    </row>
    <row r="916" spans="3:15" customFormat="1" ht="15.75" customHeight="1">
      <c r="C916" s="9"/>
      <c r="N916" s="9"/>
      <c r="O916" s="9"/>
    </row>
    <row r="917" spans="3:15" customFormat="1" ht="15.75" customHeight="1">
      <c r="C917" s="9"/>
      <c r="N917" s="9"/>
      <c r="O917" s="9"/>
    </row>
    <row r="918" spans="3:15" customFormat="1" ht="15.75" customHeight="1">
      <c r="C918" s="9"/>
      <c r="N918" s="9"/>
      <c r="O918" s="9"/>
    </row>
    <row r="919" spans="3:15" customFormat="1" ht="15.75" customHeight="1">
      <c r="C919" s="9"/>
      <c r="N919" s="9"/>
      <c r="O919" s="9"/>
    </row>
    <row r="920" spans="3:15" customFormat="1" ht="15.75" customHeight="1">
      <c r="C920" s="9"/>
      <c r="N920" s="9"/>
      <c r="O920" s="9"/>
    </row>
    <row r="921" spans="3:15" customFormat="1" ht="15.75" customHeight="1">
      <c r="C921" s="9"/>
      <c r="N921" s="9"/>
      <c r="O921" s="9"/>
    </row>
    <row r="922" spans="3:15" customFormat="1" ht="15.75" customHeight="1">
      <c r="C922" s="9"/>
      <c r="N922" s="9"/>
      <c r="O922" s="9"/>
    </row>
    <row r="923" spans="3:15" customFormat="1" ht="15.75" customHeight="1">
      <c r="C923" s="9"/>
      <c r="N923" s="9"/>
      <c r="O923" s="9"/>
    </row>
    <row r="924" spans="3:15" customFormat="1" ht="15.75" customHeight="1">
      <c r="C924" s="9"/>
      <c r="N924" s="9"/>
      <c r="O924" s="9"/>
    </row>
    <row r="925" spans="3:15" customFormat="1" ht="15.75" customHeight="1">
      <c r="C925" s="9"/>
      <c r="N925" s="9"/>
      <c r="O925" s="9"/>
    </row>
    <row r="926" spans="3:15" customFormat="1" ht="15.75" customHeight="1">
      <c r="C926" s="9"/>
      <c r="N926" s="9"/>
      <c r="O926" s="9"/>
    </row>
    <row r="927" spans="3:15" customFormat="1" ht="15.75" customHeight="1">
      <c r="C927" s="9"/>
      <c r="N927" s="9"/>
      <c r="O927" s="9"/>
    </row>
    <row r="928" spans="3:15" customFormat="1" ht="15.75" customHeight="1">
      <c r="C928" s="9"/>
      <c r="N928" s="9"/>
      <c r="O928" s="9"/>
    </row>
    <row r="929" spans="3:15" customFormat="1" ht="15.75" customHeight="1">
      <c r="C929" s="9"/>
      <c r="N929" s="9"/>
      <c r="O929" s="9"/>
    </row>
    <row r="930" spans="3:15" customFormat="1" ht="15.75" customHeight="1">
      <c r="C930" s="9"/>
      <c r="N930" s="9"/>
      <c r="O930" s="9"/>
    </row>
    <row r="931" spans="3:15" customFormat="1" ht="15.75" customHeight="1">
      <c r="C931" s="9"/>
      <c r="N931" s="9"/>
      <c r="O931" s="9"/>
    </row>
    <row r="932" spans="3:15" customFormat="1" ht="15.75" customHeight="1">
      <c r="C932" s="9"/>
      <c r="N932" s="9"/>
      <c r="O932" s="9"/>
    </row>
    <row r="933" spans="3:15" customFormat="1" ht="15.75" customHeight="1">
      <c r="C933" s="9"/>
      <c r="N933" s="9"/>
      <c r="O933" s="9"/>
    </row>
    <row r="934" spans="3:15" customFormat="1" ht="15.75" customHeight="1">
      <c r="C934" s="9"/>
      <c r="N934" s="9"/>
      <c r="O934" s="9"/>
    </row>
    <row r="935" spans="3:15" customFormat="1" ht="15.75" customHeight="1">
      <c r="C935" s="9"/>
      <c r="N935" s="9"/>
      <c r="O935" s="9"/>
    </row>
    <row r="936" spans="3:15" customFormat="1" ht="15.75" customHeight="1">
      <c r="C936" s="9"/>
      <c r="N936" s="9"/>
      <c r="O936" s="9"/>
    </row>
    <row r="937" spans="3:15" customFormat="1" ht="15.75" customHeight="1">
      <c r="C937" s="9"/>
      <c r="N937" s="9"/>
      <c r="O937" s="9"/>
    </row>
    <row r="938" spans="3:15" customFormat="1" ht="15.75" customHeight="1">
      <c r="C938" s="9"/>
      <c r="N938" s="9"/>
      <c r="O938" s="9"/>
    </row>
    <row r="939" spans="3:15" customFormat="1" ht="15.75" customHeight="1">
      <c r="C939" s="9"/>
      <c r="N939" s="9"/>
      <c r="O939" s="9"/>
    </row>
    <row r="940" spans="3:15" customFormat="1" ht="15.75" customHeight="1">
      <c r="C940" s="9"/>
      <c r="N940" s="9"/>
      <c r="O940" s="9"/>
    </row>
    <row r="941" spans="3:15" customFormat="1" ht="15.75" customHeight="1">
      <c r="C941" s="9"/>
      <c r="N941" s="9"/>
      <c r="O941" s="9"/>
    </row>
    <row r="942" spans="3:15" customFormat="1" ht="15.75" customHeight="1">
      <c r="C942" s="9"/>
      <c r="N942" s="9"/>
      <c r="O942" s="9"/>
    </row>
    <row r="943" spans="3:15" customFormat="1" ht="15.75" customHeight="1">
      <c r="C943" s="9"/>
      <c r="N943" s="9"/>
      <c r="O943" s="9"/>
    </row>
    <row r="944" spans="3:15" customFormat="1" ht="15.75" customHeight="1">
      <c r="C944" s="9"/>
      <c r="N944" s="9"/>
      <c r="O944" s="9"/>
    </row>
    <row r="945" spans="3:15" customFormat="1" ht="15.75" customHeight="1">
      <c r="C945" s="9"/>
      <c r="N945" s="9"/>
      <c r="O945" s="9"/>
    </row>
    <row r="946" spans="3:15" customFormat="1" ht="15.75" customHeight="1">
      <c r="C946" s="9"/>
      <c r="N946" s="9"/>
      <c r="O946" s="9"/>
    </row>
    <row r="947" spans="3:15" customFormat="1" ht="15.75" customHeight="1">
      <c r="C947" s="9"/>
      <c r="N947" s="9"/>
      <c r="O947" s="9"/>
    </row>
    <row r="948" spans="3:15" customFormat="1" ht="15.75" customHeight="1">
      <c r="C948" s="9"/>
      <c r="N948" s="9"/>
      <c r="O948" s="9"/>
    </row>
    <row r="949" spans="3:15" customFormat="1" ht="15.75" customHeight="1">
      <c r="C949" s="9"/>
      <c r="N949" s="9"/>
      <c r="O949" s="9"/>
    </row>
    <row r="950" spans="3:15" customFormat="1" ht="15.75" customHeight="1">
      <c r="C950" s="9"/>
      <c r="N950" s="9"/>
      <c r="O950" s="9"/>
    </row>
    <row r="951" spans="3:15" customFormat="1" ht="15.75" customHeight="1">
      <c r="C951" s="9"/>
      <c r="N951" s="9"/>
      <c r="O951" s="9"/>
    </row>
    <row r="952" spans="3:15" customFormat="1" ht="15.75" customHeight="1">
      <c r="C952" s="9"/>
      <c r="N952" s="9"/>
      <c r="O952" s="9"/>
    </row>
    <row r="953" spans="3:15" customFormat="1" ht="15.75" customHeight="1">
      <c r="C953" s="9"/>
      <c r="N953" s="9"/>
      <c r="O953" s="9"/>
    </row>
    <row r="954" spans="3:15" customFormat="1" ht="15.75" customHeight="1">
      <c r="C954" s="9"/>
      <c r="N954" s="9"/>
      <c r="O954" s="9"/>
    </row>
    <row r="955" spans="3:15" customFormat="1" ht="15.75" customHeight="1">
      <c r="C955" s="9"/>
      <c r="N955" s="9"/>
      <c r="O955" s="9"/>
    </row>
    <row r="956" spans="3:15" customFormat="1" ht="15.75" customHeight="1">
      <c r="C956" s="9"/>
      <c r="N956" s="9"/>
      <c r="O956" s="9"/>
    </row>
    <row r="957" spans="3:15" customFormat="1" ht="15.75" customHeight="1">
      <c r="C957" s="9"/>
      <c r="N957" s="9"/>
      <c r="O957" s="9"/>
    </row>
    <row r="958" spans="3:15" customFormat="1" ht="15.75" customHeight="1">
      <c r="C958" s="9"/>
      <c r="N958" s="9"/>
      <c r="O958" s="9"/>
    </row>
    <row r="959" spans="3:15" customFormat="1" ht="15.75" customHeight="1">
      <c r="C959" s="9"/>
      <c r="N959" s="9"/>
      <c r="O959" s="9"/>
    </row>
    <row r="960" spans="3:15" customFormat="1" ht="15.75" customHeight="1">
      <c r="C960" s="9"/>
      <c r="N960" s="9"/>
      <c r="O960" s="9"/>
    </row>
    <row r="961" spans="3:15" customFormat="1" ht="15.75" customHeight="1">
      <c r="C961" s="9"/>
      <c r="N961" s="9"/>
      <c r="O961" s="9"/>
    </row>
    <row r="962" spans="3:15" customFormat="1" ht="15.75" customHeight="1">
      <c r="C962" s="9"/>
      <c r="N962" s="9"/>
      <c r="O962" s="9"/>
    </row>
    <row r="963" spans="3:15" customFormat="1" ht="15.75" customHeight="1">
      <c r="C963" s="9"/>
      <c r="N963" s="9"/>
      <c r="O963" s="9"/>
    </row>
    <row r="964" spans="3:15" customFormat="1" ht="15.75" customHeight="1">
      <c r="C964" s="9"/>
      <c r="N964" s="9"/>
      <c r="O964" s="9"/>
    </row>
    <row r="965" spans="3:15" customFormat="1" ht="15.75" customHeight="1">
      <c r="C965" s="9"/>
      <c r="N965" s="9"/>
      <c r="O965" s="9"/>
    </row>
    <row r="966" spans="3:15" customFormat="1" ht="15.75" customHeight="1">
      <c r="C966" s="9"/>
      <c r="N966" s="9"/>
      <c r="O966" s="9"/>
    </row>
    <row r="967" spans="3:15" customFormat="1" ht="15.75" customHeight="1">
      <c r="C967" s="9"/>
      <c r="N967" s="9"/>
      <c r="O967" s="9"/>
    </row>
    <row r="968" spans="3:15" customFormat="1" ht="15.75" customHeight="1">
      <c r="C968" s="9"/>
      <c r="N968" s="9"/>
      <c r="O968" s="9"/>
    </row>
    <row r="969" spans="3:15" customFormat="1" ht="15.75" customHeight="1">
      <c r="C969" s="9"/>
      <c r="N969" s="9"/>
      <c r="O969" s="9"/>
    </row>
    <row r="970" spans="3:15" customFormat="1" ht="15.75" customHeight="1">
      <c r="C970" s="9"/>
      <c r="N970" s="9"/>
      <c r="O970" s="9"/>
    </row>
    <row r="971" spans="3:15" customFormat="1" ht="15.75" customHeight="1">
      <c r="C971" s="9"/>
      <c r="N971" s="9"/>
      <c r="O971" s="9"/>
    </row>
    <row r="972" spans="3:15" customFormat="1" ht="15.75" customHeight="1">
      <c r="C972" s="9"/>
      <c r="N972" s="9"/>
      <c r="O972" s="9"/>
    </row>
    <row r="973" spans="3:15" customFormat="1" ht="15.75" customHeight="1">
      <c r="C973" s="9"/>
      <c r="N973" s="9"/>
      <c r="O973" s="9"/>
    </row>
    <row r="974" spans="3:15" customFormat="1" ht="15.75" customHeight="1">
      <c r="C974" s="9"/>
      <c r="N974" s="9"/>
      <c r="O974" s="9"/>
    </row>
    <row r="975" spans="3:15" customFormat="1" ht="15.75" customHeight="1">
      <c r="C975" s="9"/>
      <c r="N975" s="9"/>
      <c r="O975" s="9"/>
    </row>
    <row r="976" spans="3:15" customFormat="1" ht="15.75" customHeight="1">
      <c r="C976" s="9"/>
      <c r="N976" s="9"/>
      <c r="O976" s="9"/>
    </row>
    <row r="977" spans="3:15" customFormat="1" ht="15.75" customHeight="1">
      <c r="C977" s="9"/>
      <c r="N977" s="9"/>
      <c r="O977" s="9"/>
    </row>
    <row r="978" spans="3:15" customFormat="1" ht="15.75" customHeight="1">
      <c r="C978" s="9"/>
      <c r="N978" s="9"/>
      <c r="O978" s="9"/>
    </row>
    <row r="979" spans="3:15" customFormat="1" ht="15.75" customHeight="1">
      <c r="C979" s="9"/>
      <c r="N979" s="9"/>
      <c r="O979" s="9"/>
    </row>
    <row r="980" spans="3:15" customFormat="1" ht="15.75" customHeight="1">
      <c r="C980" s="9"/>
      <c r="N980" s="9"/>
      <c r="O980" s="9"/>
    </row>
    <row r="981" spans="3:15" customFormat="1" ht="15.75" customHeight="1">
      <c r="C981" s="9"/>
      <c r="N981" s="9"/>
      <c r="O981" s="9"/>
    </row>
    <row r="982" spans="3:15" customFormat="1" ht="15.75" customHeight="1">
      <c r="C982" s="9"/>
      <c r="N982" s="9"/>
      <c r="O982" s="9"/>
    </row>
    <row r="983" spans="3:15" customFormat="1" ht="15.75" customHeight="1">
      <c r="C983" s="9"/>
      <c r="N983" s="9"/>
      <c r="O983" s="9"/>
    </row>
    <row r="984" spans="3:15" customFormat="1" ht="15.75" customHeight="1">
      <c r="C984" s="9"/>
      <c r="N984" s="9"/>
      <c r="O984" s="9"/>
    </row>
    <row r="985" spans="3:15" customFormat="1" ht="15.75" customHeight="1">
      <c r="C985" s="9"/>
      <c r="N985" s="9"/>
      <c r="O985" s="9"/>
    </row>
    <row r="986" spans="3:15" customFormat="1" ht="15.75" customHeight="1">
      <c r="C986" s="9"/>
      <c r="N986" s="9"/>
      <c r="O986" s="9"/>
    </row>
    <row r="987" spans="3:15" customFormat="1" ht="15.75" customHeight="1">
      <c r="C987" s="9"/>
      <c r="N987" s="9"/>
      <c r="O987" s="9"/>
    </row>
    <row r="988" spans="3:15" customFormat="1" ht="15.75" customHeight="1">
      <c r="C988" s="9"/>
      <c r="N988" s="9"/>
      <c r="O988" s="9"/>
    </row>
    <row r="989" spans="3:15" customFormat="1" ht="15.75" customHeight="1">
      <c r="C989" s="9"/>
      <c r="N989" s="9"/>
      <c r="O989" s="9"/>
    </row>
    <row r="990" spans="3:15" customFormat="1" ht="15.75" customHeight="1">
      <c r="C990" s="9"/>
      <c r="N990" s="9"/>
      <c r="O990" s="9"/>
    </row>
    <row r="991" spans="3:15" customFormat="1" ht="15.75" customHeight="1">
      <c r="C991" s="9"/>
      <c r="N991" s="9"/>
      <c r="O991" s="9"/>
    </row>
    <row r="992" spans="3:15" customFormat="1" ht="15.75" customHeight="1">
      <c r="C992" s="9"/>
      <c r="N992" s="9"/>
      <c r="O992" s="9"/>
    </row>
    <row r="993" spans="3:15" customFormat="1" ht="15.75" customHeight="1">
      <c r="C993" s="9"/>
      <c r="N993" s="9"/>
      <c r="O993" s="9"/>
    </row>
    <row r="994" spans="3:15" customFormat="1" ht="15.75" customHeight="1">
      <c r="C994" s="9"/>
      <c r="N994" s="9"/>
      <c r="O994" s="9"/>
    </row>
    <row r="995" spans="3:15" customFormat="1" ht="15.75" customHeight="1">
      <c r="C995" s="9"/>
      <c r="N995" s="9"/>
      <c r="O995" s="9"/>
    </row>
    <row r="996" spans="3:15" customFormat="1" ht="15.75" customHeight="1">
      <c r="C996" s="9"/>
      <c r="N996" s="9"/>
      <c r="O996" s="9"/>
    </row>
    <row r="997" spans="3:15" customFormat="1" ht="15.75" customHeight="1">
      <c r="C997" s="9"/>
      <c r="N997" s="9"/>
      <c r="O997" s="9"/>
    </row>
    <row r="998" spans="3:15" customFormat="1" ht="15.75" customHeight="1">
      <c r="C998" s="9"/>
      <c r="N998" s="9"/>
      <c r="O998" s="9"/>
    </row>
    <row r="999" spans="3:15" customFormat="1" ht="15.75" customHeight="1">
      <c r="C999" s="9"/>
      <c r="N999" s="9"/>
      <c r="O999" s="9"/>
    </row>
    <row r="1000" spans="3:15" customFormat="1" ht="15.75" customHeight="1">
      <c r="C1000" s="9"/>
      <c r="N1000" s="9"/>
      <c r="O1000" s="9"/>
    </row>
  </sheetData>
  <pageMargins left="0.7" right="0.7" top="0.75" bottom="0.75" header="0" footer="0"/>
  <pageSetup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228E6-C494-44E8-A51D-2DE9A6FEACF9}">
  <dimension ref="A1:N35"/>
  <sheetViews>
    <sheetView tabSelected="1" topLeftCell="A21" zoomScale="70" zoomScaleNormal="70" workbookViewId="0">
      <selection activeCell="D24" sqref="D24"/>
    </sheetView>
  </sheetViews>
  <sheetFormatPr defaultRowHeight="15"/>
  <cols>
    <col min="1" max="1" width="17.85546875" bestFit="1" customWidth="1"/>
    <col min="2" max="2" width="17.140625" bestFit="1" customWidth="1"/>
    <col min="3" max="3" width="21.7109375" bestFit="1" customWidth="1"/>
    <col min="4" max="4" width="23.85546875" bestFit="1" customWidth="1"/>
    <col min="5" max="5" width="28.5703125" bestFit="1" customWidth="1"/>
    <col min="6" max="6" width="16" bestFit="1" customWidth="1"/>
    <col min="7" max="7" width="20.7109375" bestFit="1" customWidth="1"/>
    <col min="11" max="11" width="18.7109375" bestFit="1" customWidth="1"/>
    <col min="12" max="12" width="16.42578125" bestFit="1" customWidth="1"/>
    <col min="13" max="13" width="19.5703125" bestFit="1" customWidth="1"/>
  </cols>
  <sheetData>
    <row r="1" spans="1:14">
      <c r="A1" s="46" t="s">
        <v>392</v>
      </c>
      <c r="B1" s="47"/>
      <c r="C1" s="47"/>
      <c r="D1" s="47"/>
      <c r="E1" s="47"/>
      <c r="F1" s="47"/>
      <c r="G1" s="47"/>
      <c r="J1" s="46" t="s">
        <v>395</v>
      </c>
      <c r="K1" s="47"/>
      <c r="L1" s="47"/>
      <c r="M1" s="47"/>
      <c r="N1" s="47"/>
    </row>
    <row r="2" spans="1:14">
      <c r="A2" s="47"/>
      <c r="B2" s="47"/>
      <c r="C2" s="47"/>
      <c r="D2" s="47"/>
      <c r="E2" s="47"/>
      <c r="F2" s="47"/>
      <c r="G2" s="47"/>
      <c r="J2" s="47"/>
      <c r="K2" s="47"/>
      <c r="L2" s="47"/>
      <c r="M2" s="47"/>
      <c r="N2" s="47"/>
    </row>
    <row r="3" spans="1:14">
      <c r="A3" s="2" t="s">
        <v>4</v>
      </c>
      <c r="B3" t="s">
        <v>374</v>
      </c>
      <c r="C3" t="s">
        <v>375</v>
      </c>
      <c r="D3" t="s">
        <v>373</v>
      </c>
      <c r="E3" t="s">
        <v>376</v>
      </c>
      <c r="F3" t="s">
        <v>372</v>
      </c>
      <c r="G3" t="s">
        <v>377</v>
      </c>
      <c r="J3" s="48"/>
      <c r="K3" s="48" t="s">
        <v>387</v>
      </c>
      <c r="L3" s="48" t="s">
        <v>382</v>
      </c>
      <c r="M3" s="48" t="s">
        <v>386</v>
      </c>
      <c r="N3" s="48"/>
    </row>
    <row r="4" spans="1:14">
      <c r="A4" s="3" t="s">
        <v>2</v>
      </c>
      <c r="B4" s="57">
        <v>28708</v>
      </c>
      <c r="C4" s="1">
        <v>186.41558441558442</v>
      </c>
      <c r="D4" s="57">
        <v>6331868</v>
      </c>
      <c r="E4" s="1">
        <v>41116.025974025972</v>
      </c>
      <c r="F4" s="57">
        <v>471034</v>
      </c>
      <c r="G4" s="1">
        <v>3058.6623376623374</v>
      </c>
      <c r="J4" s="48"/>
      <c r="K4" s="49" t="s">
        <v>2</v>
      </c>
      <c r="L4" s="48">
        <v>77499</v>
      </c>
      <c r="M4" s="48">
        <v>200000</v>
      </c>
      <c r="N4" s="48"/>
    </row>
    <row r="5" spans="1:14">
      <c r="A5" s="3" t="s">
        <v>3</v>
      </c>
      <c r="B5" s="57">
        <v>18717</v>
      </c>
      <c r="C5" s="1">
        <v>199.11702127659575</v>
      </c>
      <c r="D5" s="57">
        <v>4039305</v>
      </c>
      <c r="E5" s="1">
        <v>42971.329787234041</v>
      </c>
      <c r="F5" s="57">
        <v>274455</v>
      </c>
      <c r="G5" s="1">
        <v>2919.7340425531916</v>
      </c>
      <c r="J5" s="48"/>
      <c r="K5" s="49" t="s">
        <v>3</v>
      </c>
      <c r="L5" s="48">
        <v>50687</v>
      </c>
      <c r="M5" s="48">
        <v>160000</v>
      </c>
      <c r="N5" s="48"/>
    </row>
    <row r="6" spans="1:14">
      <c r="A6" s="3" t="s">
        <v>0</v>
      </c>
      <c r="B6" s="57">
        <v>5557</v>
      </c>
      <c r="C6" s="1">
        <v>191.62068965517241</v>
      </c>
      <c r="D6" s="57">
        <v>1233853</v>
      </c>
      <c r="E6" s="1">
        <v>42546.65517241379</v>
      </c>
      <c r="F6" s="57">
        <v>89871</v>
      </c>
      <c r="G6" s="1">
        <v>3099</v>
      </c>
      <c r="J6" s="48"/>
      <c r="K6" s="49" t="s">
        <v>0</v>
      </c>
      <c r="L6" s="48">
        <v>61565</v>
      </c>
      <c r="M6" s="48">
        <v>175000</v>
      </c>
      <c r="N6" s="48"/>
    </row>
    <row r="7" spans="1:14">
      <c r="A7" s="3" t="s">
        <v>1</v>
      </c>
      <c r="B7" s="57">
        <v>4614</v>
      </c>
      <c r="C7" s="1">
        <v>200.60869565217391</v>
      </c>
      <c r="D7" s="57">
        <v>865406</v>
      </c>
      <c r="E7" s="1">
        <v>37626.34782608696</v>
      </c>
      <c r="F7" s="57">
        <v>61815</v>
      </c>
      <c r="G7" s="1">
        <v>2687.608695652174</v>
      </c>
      <c r="J7" s="48"/>
      <c r="K7" s="49" t="s">
        <v>1</v>
      </c>
      <c r="L7" s="48">
        <v>66315</v>
      </c>
      <c r="M7" s="48">
        <v>225000</v>
      </c>
      <c r="N7" s="48"/>
    </row>
    <row r="8" spans="1:14">
      <c r="A8" s="3" t="s">
        <v>371</v>
      </c>
      <c r="B8" s="57"/>
      <c r="C8" s="1"/>
      <c r="D8" s="57"/>
      <c r="E8" s="1"/>
      <c r="F8" s="57"/>
      <c r="G8" s="1"/>
      <c r="J8" s="48"/>
      <c r="K8" s="49" t="s">
        <v>5</v>
      </c>
      <c r="L8" s="48">
        <v>256066</v>
      </c>
      <c r="M8" s="48">
        <v>760000</v>
      </c>
      <c r="N8" s="48"/>
    </row>
    <row r="9" spans="1:14">
      <c r="A9" s="3" t="s">
        <v>5</v>
      </c>
      <c r="B9" s="57">
        <v>57596</v>
      </c>
      <c r="C9" s="1">
        <v>191.98666666666668</v>
      </c>
      <c r="D9" s="57">
        <v>12470432</v>
      </c>
      <c r="E9" s="1">
        <v>41568.106666666667</v>
      </c>
      <c r="F9" s="57">
        <v>897175</v>
      </c>
      <c r="G9" s="1">
        <v>2990.5833333333335</v>
      </c>
      <c r="J9" s="48"/>
      <c r="K9" s="48"/>
      <c r="L9" s="48"/>
      <c r="M9" s="48"/>
      <c r="N9" s="48"/>
    </row>
    <row r="10" spans="1:14">
      <c r="J10" s="48"/>
      <c r="K10" s="48"/>
      <c r="L10" s="48"/>
      <c r="M10" s="48"/>
      <c r="N10" s="48"/>
    </row>
    <row r="11" spans="1:14" ht="15.75">
      <c r="J11" s="48"/>
      <c r="K11" s="50" t="s">
        <v>387</v>
      </c>
      <c r="L11" s="50" t="s">
        <v>382</v>
      </c>
      <c r="M11" s="50" t="s">
        <v>386</v>
      </c>
      <c r="N11" s="50" t="s">
        <v>388</v>
      </c>
    </row>
    <row r="12" spans="1:14">
      <c r="J12" s="48"/>
      <c r="K12" s="48" t="s">
        <v>2</v>
      </c>
      <c r="L12" s="48">
        <v>77499</v>
      </c>
      <c r="M12" s="48">
        <v>200000</v>
      </c>
      <c r="N12" s="51">
        <f>L12/M12</f>
        <v>0.38749499999999998</v>
      </c>
    </row>
    <row r="13" spans="1:14">
      <c r="A13" s="46" t="s">
        <v>394</v>
      </c>
      <c r="B13" s="47"/>
      <c r="C13" s="47"/>
      <c r="D13" s="47"/>
      <c r="E13" s="47"/>
      <c r="J13" s="48"/>
      <c r="K13" s="48" t="s">
        <v>3</v>
      </c>
      <c r="L13" s="48">
        <v>50687</v>
      </c>
      <c r="M13" s="48">
        <v>160000</v>
      </c>
      <c r="N13" s="51">
        <f t="shared" ref="N13:N15" si="0">L13/M13</f>
        <v>0.31679374999999999</v>
      </c>
    </row>
    <row r="14" spans="1:14">
      <c r="A14" s="47"/>
      <c r="B14" s="47"/>
      <c r="C14" s="47"/>
      <c r="D14" s="47"/>
      <c r="E14" s="47"/>
      <c r="J14" s="48"/>
      <c r="K14" s="48" t="s">
        <v>0</v>
      </c>
      <c r="L14" s="48">
        <v>61565</v>
      </c>
      <c r="M14" s="48">
        <v>175000</v>
      </c>
      <c r="N14" s="51">
        <f t="shared" si="0"/>
        <v>0.3518</v>
      </c>
    </row>
    <row r="15" spans="1:14">
      <c r="A15" s="52" t="s">
        <v>389</v>
      </c>
      <c r="B15" s="52" t="s">
        <v>379</v>
      </c>
      <c r="C15" s="52"/>
      <c r="D15" s="52"/>
      <c r="E15" s="52"/>
      <c r="J15" s="48"/>
      <c r="K15" s="48" t="s">
        <v>1</v>
      </c>
      <c r="L15" s="48">
        <v>66315</v>
      </c>
      <c r="M15" s="48">
        <v>225000</v>
      </c>
      <c r="N15" s="51">
        <f t="shared" si="0"/>
        <v>0.29473333333333335</v>
      </c>
    </row>
    <row r="16" spans="1:14">
      <c r="A16" s="52" t="s">
        <v>4</v>
      </c>
      <c r="B16" s="52" t="s">
        <v>380</v>
      </c>
      <c r="C16" s="52" t="s">
        <v>381</v>
      </c>
      <c r="D16" s="52"/>
      <c r="E16" s="52"/>
      <c r="J16" s="48"/>
      <c r="K16" s="48"/>
      <c r="L16" s="48"/>
      <c r="M16" s="48"/>
      <c r="N16" s="48"/>
    </row>
    <row r="17" spans="1:14">
      <c r="A17" s="53" t="s">
        <v>2</v>
      </c>
      <c r="B17" s="54">
        <v>3528.0970873786409</v>
      </c>
      <c r="C17" s="54">
        <v>3670.2727272727275</v>
      </c>
      <c r="D17" s="52"/>
      <c r="E17" s="52"/>
      <c r="J17" s="48"/>
      <c r="K17" s="48"/>
      <c r="L17" s="48"/>
      <c r="M17" s="48"/>
      <c r="N17" s="48"/>
    </row>
    <row r="18" spans="1:14">
      <c r="A18" s="53" t="s">
        <v>3</v>
      </c>
      <c r="B18" s="54">
        <v>3320.1428571428573</v>
      </c>
      <c r="C18" s="54">
        <v>4512.166666666667</v>
      </c>
      <c r="D18" s="52"/>
      <c r="E18" s="52"/>
      <c r="J18" s="48"/>
      <c r="K18" s="48"/>
      <c r="L18" s="48"/>
      <c r="M18" s="48"/>
      <c r="N18" s="48"/>
    </row>
    <row r="19" spans="1:14">
      <c r="A19" s="53" t="s">
        <v>0</v>
      </c>
      <c r="B19" s="54">
        <v>3718.4285714285716</v>
      </c>
      <c r="C19" s="54">
        <v>3669</v>
      </c>
      <c r="D19" s="52"/>
      <c r="E19" s="52"/>
    </row>
    <row r="20" spans="1:14">
      <c r="A20" s="53" t="s">
        <v>1</v>
      </c>
      <c r="B20" s="54">
        <v>2757.909090909091</v>
      </c>
      <c r="C20" s="54">
        <v>4773</v>
      </c>
      <c r="D20" s="52"/>
      <c r="E20" s="52"/>
    </row>
    <row r="21" spans="1:14">
      <c r="A21" s="53" t="s">
        <v>5</v>
      </c>
      <c r="B21" s="54">
        <v>3421.6585365853657</v>
      </c>
      <c r="C21" s="54">
        <v>4015.7142857142858</v>
      </c>
      <c r="D21" s="52"/>
      <c r="E21" s="52"/>
      <c r="I21" s="58" t="s">
        <v>396</v>
      </c>
      <c r="J21" s="47"/>
      <c r="K21" s="47"/>
      <c r="L21" s="47"/>
      <c r="M21" s="47"/>
    </row>
    <row r="22" spans="1:14">
      <c r="A22" s="52"/>
      <c r="B22" s="52"/>
      <c r="C22" s="52"/>
      <c r="D22" s="52"/>
      <c r="E22" s="52"/>
      <c r="I22" s="47"/>
      <c r="J22" s="47"/>
      <c r="K22" s="47"/>
      <c r="L22" s="47"/>
      <c r="M22" s="47"/>
    </row>
    <row r="23" spans="1:14" ht="15.75">
      <c r="A23" s="55" t="s">
        <v>393</v>
      </c>
      <c r="B23" s="55" t="s">
        <v>380</v>
      </c>
      <c r="C23" s="55" t="s">
        <v>381</v>
      </c>
      <c r="D23" s="55" t="s">
        <v>390</v>
      </c>
      <c r="E23" s="52"/>
      <c r="K23" s="2" t="s">
        <v>387</v>
      </c>
      <c r="L23" t="s">
        <v>391</v>
      </c>
    </row>
    <row r="24" spans="1:14">
      <c r="A24" s="52" t="s">
        <v>2</v>
      </c>
      <c r="B24" s="54">
        <v>3528.0970873786409</v>
      </c>
      <c r="C24" s="54">
        <v>3670.2727272727275</v>
      </c>
      <c r="D24" s="56">
        <f>(C24-B24)/B24</f>
        <v>4.0298108689441524E-2</v>
      </c>
      <c r="E24" s="52"/>
      <c r="K24" s="3" t="s">
        <v>0</v>
      </c>
      <c r="L24" s="57">
        <v>13558</v>
      </c>
    </row>
    <row r="25" spans="1:14">
      <c r="A25" s="52" t="s">
        <v>3</v>
      </c>
      <c r="B25" s="54">
        <v>3320.1428571428573</v>
      </c>
      <c r="C25" s="54">
        <v>4512.166666666667</v>
      </c>
      <c r="D25" s="56">
        <f t="shared" ref="D25:D27" si="1">(C25-B25)/B25</f>
        <v>0.35902786741821208</v>
      </c>
      <c r="E25" s="52"/>
      <c r="K25" s="3" t="s">
        <v>3</v>
      </c>
      <c r="L25" s="57">
        <v>12726</v>
      </c>
    </row>
    <row r="26" spans="1:14">
      <c r="A26" s="52" t="s">
        <v>0</v>
      </c>
      <c r="B26" s="54">
        <v>3718.4285714285716</v>
      </c>
      <c r="C26" s="54">
        <v>3669</v>
      </c>
      <c r="D26" s="56">
        <f t="shared" si="1"/>
        <v>-1.3292865649852123E-2</v>
      </c>
      <c r="E26" s="52"/>
      <c r="K26" s="3" t="s">
        <v>1</v>
      </c>
      <c r="L26" s="57">
        <v>11361</v>
      </c>
    </row>
    <row r="27" spans="1:14">
      <c r="A27" s="52" t="s">
        <v>1</v>
      </c>
      <c r="B27" s="54">
        <v>2757.909090909091</v>
      </c>
      <c r="C27" s="54">
        <v>4773</v>
      </c>
      <c r="D27" s="56">
        <f t="shared" si="1"/>
        <v>0.73065893133797011</v>
      </c>
      <c r="E27" s="52"/>
      <c r="K27" s="3" t="s">
        <v>2</v>
      </c>
      <c r="L27" s="57">
        <v>10142</v>
      </c>
    </row>
    <row r="28" spans="1:14">
      <c r="K28" s="3" t="s">
        <v>5</v>
      </c>
      <c r="L28" s="57">
        <v>47787</v>
      </c>
    </row>
    <row r="31" spans="1:14">
      <c r="A31" s="59" t="s">
        <v>397</v>
      </c>
      <c r="B31" s="47"/>
      <c r="C31" s="47"/>
      <c r="D31" s="47"/>
      <c r="E31" s="45"/>
    </row>
    <row r="32" spans="1:14">
      <c r="A32" s="47"/>
      <c r="B32" s="47"/>
      <c r="C32" s="47"/>
      <c r="D32" s="47"/>
      <c r="E32" s="45"/>
    </row>
    <row r="33" spans="1:5">
      <c r="A33" s="47"/>
      <c r="B33" s="47"/>
      <c r="C33" s="47"/>
      <c r="D33" s="47"/>
      <c r="E33" s="45"/>
    </row>
    <row r="34" spans="1:5">
      <c r="A34" s="45"/>
      <c r="B34" s="45"/>
      <c r="C34" s="45"/>
      <c r="D34" s="45"/>
      <c r="E34" s="45"/>
    </row>
    <row r="35" spans="1:5">
      <c r="A35" s="45"/>
      <c r="B35" s="45"/>
      <c r="C35" s="45"/>
      <c r="D35" s="45"/>
      <c r="E35" s="45"/>
    </row>
  </sheetData>
  <mergeCells count="5">
    <mergeCell ref="A1:G2"/>
    <mergeCell ref="A13:E14"/>
    <mergeCell ref="J1:N2"/>
    <mergeCell ref="I21:M22"/>
    <mergeCell ref="A31:D33"/>
  </mergeCells>
  <pageMargins left="0.7" right="0.7" top="0.75" bottom="0.75" header="0.3" footer="0.3"/>
  <pageSetup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AEC0E65D-6DBD-475F-934E-4B0E72C86C6C}">
  <ds:schemaRefs>
    <ds:schemaRef ds:uri="http://schemas.microsoft.com/DataMashup"/>
  </ds:schemaRefs>
</ds:datastoreItem>
</file>

<file path=customXml/itemProps2.xml><?xml version="1.0" encoding="utf-8"?>
<ds:datastoreItem xmlns:ds="http://schemas.openxmlformats.org/officeDocument/2006/customXml" ds:itemID="{0BB461F7-C760-457D-963C-B4D127CC6E50}">
  <ds:schemaRefs/>
</ds:datastoreItem>
</file>

<file path=customXml/itemProps3.xml><?xml version="1.0" encoding="utf-8"?>
<ds:datastoreItem xmlns:ds="http://schemas.openxmlformats.org/officeDocument/2006/customXml" ds:itemID="{AFBAD71C-8EFE-4810-B415-F1861C96C836}">
  <ds:schemaRefs/>
</ds:datastoreItem>
</file>

<file path=customXml/itemProps4.xml><?xml version="1.0" encoding="utf-8"?>
<ds:datastoreItem xmlns:ds="http://schemas.openxmlformats.org/officeDocument/2006/customXml" ds:itemID="{463A2C98-8651-442A-A8FC-9815AA07FA6A}">
  <ds:schemaRefs/>
</ds:datastoreItem>
</file>

<file path=customXml/itemProps5.xml><?xml version="1.0" encoding="utf-8"?>
<ds:datastoreItem xmlns:ds="http://schemas.openxmlformats.org/officeDocument/2006/customXml" ds:itemID="{84558C0B-A9CB-406A-8CEE-093BDAA3EB44}">
  <ds:schemaRefs/>
</ds:datastoreItem>
</file>

<file path=customXml/itemProps6.xml><?xml version="1.0" encoding="utf-8"?>
<ds:datastoreItem xmlns:ds="http://schemas.openxmlformats.org/officeDocument/2006/customXml" ds:itemID="{8A086CEB-07D6-4500-AE8F-164AFEBDCB8D}">
  <ds:schemaRefs/>
</ds:datastoreItem>
</file>

<file path=customXml/itemProps7.xml><?xml version="1.0" encoding="utf-8"?>
<ds:datastoreItem xmlns:ds="http://schemas.openxmlformats.org/officeDocument/2006/customXml" ds:itemID="{CB464200-06C3-4380-979B-578274768F80}">
  <ds:schemaRefs/>
</ds:datastoreItem>
</file>

<file path=customXml/itemProps8.xml><?xml version="1.0" encoding="utf-8"?>
<ds:datastoreItem xmlns:ds="http://schemas.openxmlformats.org/officeDocument/2006/customXml" ds:itemID="{3BF719AC-6366-46BA-840F-611A6E248859}">
  <ds:schemaRefs/>
</ds:datastoreItem>
</file>

<file path=customXml/itemProps9.xml><?xml version="1.0" encoding="utf-8"?>
<ds:datastoreItem xmlns:ds="http://schemas.openxmlformats.org/officeDocument/2006/customXml" ds:itemID="{C39514CA-4B3E-4B96-A491-DF6837C75837}">
  <ds:schemaRefs/>
</ds:datastoreItem>
</file>

<file path=customXml/itemProps10.xml><?xml version="1.0" encoding="utf-8"?>
<ds:datastoreItem xmlns:ds="http://schemas.openxmlformats.org/officeDocument/2006/customXml" ds:itemID="{45684576-622C-4DDB-AA88-F8852CE8628E}">
  <ds:schemaRefs/>
</ds:datastoreItem>
</file>

<file path=customXml/itemProps11.xml><?xml version="1.0" encoding="utf-8"?>
<ds:datastoreItem xmlns:ds="http://schemas.openxmlformats.org/officeDocument/2006/customXml" ds:itemID="{1C1FEC9A-2EE6-4B08-B599-3A8DF8E20E77}">
  <ds:schemaRefs/>
</ds:datastoreItem>
</file>

<file path=customXml/itemProps12.xml><?xml version="1.0" encoding="utf-8"?>
<ds:datastoreItem xmlns:ds="http://schemas.openxmlformats.org/officeDocument/2006/customXml" ds:itemID="{8F5D4786-3B59-40DC-B9CD-A4F069B85FE3}">
  <ds:schemaRefs/>
</ds:datastoreItem>
</file>

<file path=customXml/itemProps13.xml><?xml version="1.0" encoding="utf-8"?>
<ds:datastoreItem xmlns:ds="http://schemas.openxmlformats.org/officeDocument/2006/customXml" ds:itemID="{F00D8377-A70F-4BE4-B1FF-630142466257}">
  <ds:schemaRefs/>
</ds:datastoreItem>
</file>

<file path=customXml/itemProps14.xml><?xml version="1.0" encoding="utf-8"?>
<ds:datastoreItem xmlns:ds="http://schemas.openxmlformats.org/officeDocument/2006/customXml" ds:itemID="{1B4C52A8-2D3C-40DB-8210-F801EF1B8894}">
  <ds:schemaRefs/>
</ds:datastoreItem>
</file>

<file path=customXml/itemProps15.xml><?xml version="1.0" encoding="utf-8"?>
<ds:datastoreItem xmlns:ds="http://schemas.openxmlformats.org/officeDocument/2006/customXml" ds:itemID="{2DF17C2C-3304-4603-8985-585AA9D95175}">
  <ds:schemaRefs/>
</ds:datastoreItem>
</file>

<file path=customXml/itemProps16.xml><?xml version="1.0" encoding="utf-8"?>
<ds:datastoreItem xmlns:ds="http://schemas.openxmlformats.org/officeDocument/2006/customXml" ds:itemID="{2EDC8BAF-D129-41B6-BFB9-FA8A68CBAEF5}">
  <ds:schemaRefs/>
</ds:datastoreItem>
</file>

<file path=customXml/itemProps17.xml><?xml version="1.0" encoding="utf-8"?>
<ds:datastoreItem xmlns:ds="http://schemas.openxmlformats.org/officeDocument/2006/customXml" ds:itemID="{B82138EA-29A4-4455-844E-85024D0D5662}">
  <ds:schemaRefs/>
</ds:datastoreItem>
</file>

<file path=customXml/itemProps18.xml><?xml version="1.0" encoding="utf-8"?>
<ds:datastoreItem xmlns:ds="http://schemas.openxmlformats.org/officeDocument/2006/customXml" ds:itemID="{F2F73A7C-A312-41AB-BFDB-F0EFB6F6CF59}">
  <ds:schemaRefs/>
</ds:datastoreItem>
</file>

<file path=customXml/itemProps19.xml><?xml version="1.0" encoding="utf-8"?>
<ds:datastoreItem xmlns:ds="http://schemas.openxmlformats.org/officeDocument/2006/customXml" ds:itemID="{63EC1F26-7B9D-4B18-95BB-54C5B93C81D2}">
  <ds:schemaRefs/>
</ds:datastoreItem>
</file>

<file path=customXml/itemProps20.xml><?xml version="1.0" encoding="utf-8"?>
<ds:datastoreItem xmlns:ds="http://schemas.openxmlformats.org/officeDocument/2006/customXml" ds:itemID="{F8E16392-AA1F-4BF1-823F-0F101E04864F}">
  <ds:schemaRefs/>
</ds:datastoreItem>
</file>

<file path=customXml/itemProps21.xml><?xml version="1.0" encoding="utf-8"?>
<ds:datastoreItem xmlns:ds="http://schemas.openxmlformats.org/officeDocument/2006/customXml" ds:itemID="{F1191B3C-E120-49C0-B15B-8C10231163C1}">
  <ds:schemaRefs/>
</ds:datastoreItem>
</file>

<file path=customXml/itemProps22.xml><?xml version="1.0" encoding="utf-8"?>
<ds:datastoreItem xmlns:ds="http://schemas.openxmlformats.org/officeDocument/2006/customXml" ds:itemID="{C4A2C456-C5E3-4D1C-874C-C67650DAA418}">
  <ds:schemaRefs/>
</ds:datastoreItem>
</file>

<file path=customXml/itemProps23.xml><?xml version="1.0" encoding="utf-8"?>
<ds:datastoreItem xmlns:ds="http://schemas.openxmlformats.org/officeDocument/2006/customXml" ds:itemID="{4A6BB3BA-3D1F-434A-AC86-06AC1008E317}">
  <ds:schemaRefs/>
</ds:datastoreItem>
</file>

<file path=customXml/itemProps24.xml><?xml version="1.0" encoding="utf-8"?>
<ds:datastoreItem xmlns:ds="http://schemas.openxmlformats.org/officeDocument/2006/customXml" ds:itemID="{67E5414F-6C44-4ECD-A210-638B2BCC0CEF}">
  <ds:schemaRefs/>
</ds:datastoreItem>
</file>

<file path=customXml/itemProps25.xml><?xml version="1.0" encoding="utf-8"?>
<ds:datastoreItem xmlns:ds="http://schemas.openxmlformats.org/officeDocument/2006/customXml" ds:itemID="{AB44EAF5-F640-43F8-996B-92ACFC6FD9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Engagement Summary</vt:lpstr>
      <vt:lpstr>Campaign Metadata </vt:lpstr>
      <vt:lpstr>Posts</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Mudabir Lateef</dc:creator>
  <cp:lastModifiedBy>Mudabir Lateef</cp:lastModifiedBy>
  <dcterms:created xsi:type="dcterms:W3CDTF">2015-06-05T18:17:20Z</dcterms:created>
  <dcterms:modified xsi:type="dcterms:W3CDTF">2026-02-21T04:07:25Z</dcterms:modified>
</cp:coreProperties>
</file>