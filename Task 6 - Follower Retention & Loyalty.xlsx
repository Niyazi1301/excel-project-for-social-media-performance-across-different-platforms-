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udab\AppData\Local\Temp\Rar$DIa5340.47893.rartemp\"/>
    </mc:Choice>
  </mc:AlternateContent>
  <xr:revisionPtr revIDLastSave="0" documentId="13_ncr:1_{D6D4058A-EAE9-4E35-88D4-BC2CD073CFD6}" xr6:coauthVersionLast="47" xr6:coauthVersionMax="47" xr10:uidLastSave="{00000000-0000-0000-0000-000000000000}"/>
  <bookViews>
    <workbookView xWindow="-120" yWindow="-120" windowWidth="20730" windowHeight="11760" activeTab="1" xr2:uid="{00000000-000D-0000-FFFF-FFFF00000000}"/>
  </bookViews>
  <sheets>
    <sheet name="Follower growth analysis" sheetId="5" r:id="rId1"/>
    <sheet name="video link " sheetId="6" r:id="rId2"/>
    <sheet name="Engagement Summary" sheetId="3" r:id="rId3"/>
  </sheets>
  <calcPr calcId="191029"/>
  <pivotCaches>
    <pivotCache cacheId="0"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gagement Summary_7a183cea-c26c-4d99-8bf4-691f7fd588f0" name="Engagement Summary" connection="Excel Task 1 - Data Cleaning.xlsx"/>
          <x15:modelTable id="Calendar" name="Date Table" connection="Connection"/>
        </x15:modelTables>
        <x15:modelRelationships>
          <x15:modelRelationship fromTable="Engagement Summary" fromColumn="Week_Start_Date" toTable="Date Table" toColumn="Date"/>
        </x15:modelRelationships>
        <x15:extLst>
          <ext xmlns:x16="http://schemas.microsoft.com/office/spreadsheetml/2014/11/main" uri="{9835A34E-60A6-4A7C-AAB8-D5F71C897F49}">
            <x16:modelTimeGroupings>
              <x16:modelTimeGrouping tableName="Engagement Summary" columnName="Week_Start_Date" columnId="Week_Start_Date">
                <x16:calculatedTimeColumn columnName="Week_Start_Date (Year)" columnId="Week_Start_Date (Year)" contentType="years" isSelected="0"/>
                <x16:calculatedTimeColumn columnName="Week_Start_Date (Quarter)" columnId="Week_Start_Date (Quarter)" contentType="quarters" isSelected="1"/>
                <x16:calculatedTimeColumn columnName="Week_Start_Date (Month Index)" columnId="Week_Start_Date (Month Index)" contentType="monthsindex" isSelected="0"/>
                <x16:calculatedTimeColumn columnName="Week_Start_Date (Month)" columnId="Week_Start_Date (Month)" contentType="months" isSelected="0"/>
                <x16:calculatedTimeColumn columnName="Week_Start_Date (Day Index)" columnId="Week_Start_Date (Day Index)" contentType="daysindex" isSelected="1"/>
                <x16:calculatedTimeColumn columnName="Week_Start_Date (Day)" columnId="Week_Start_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5" l="1"/>
  <c r="H202" i="3"/>
  <c r="I202" i="3" s="1"/>
  <c r="I201" i="3"/>
  <c r="H201" i="3"/>
  <c r="H200" i="3"/>
  <c r="I200" i="3" s="1"/>
  <c r="I199" i="3"/>
  <c r="H199" i="3"/>
  <c r="H198" i="3"/>
  <c r="I198" i="3" s="1"/>
  <c r="I197" i="3"/>
  <c r="H197" i="3"/>
  <c r="H196" i="3"/>
  <c r="I196" i="3" s="1"/>
  <c r="I195" i="3"/>
  <c r="H195" i="3"/>
  <c r="H194" i="3"/>
  <c r="I194" i="3" s="1"/>
  <c r="I193" i="3"/>
  <c r="H193" i="3"/>
  <c r="H192" i="3"/>
  <c r="I192" i="3" s="1"/>
  <c r="I191" i="3"/>
  <c r="H191" i="3"/>
  <c r="H190" i="3"/>
  <c r="I190" i="3" s="1"/>
  <c r="I189" i="3"/>
  <c r="H189" i="3"/>
  <c r="H188" i="3"/>
  <c r="I188" i="3" s="1"/>
  <c r="I187" i="3"/>
  <c r="H187" i="3"/>
  <c r="H186" i="3"/>
  <c r="I186" i="3" s="1"/>
  <c r="I185" i="3"/>
  <c r="H185" i="3"/>
  <c r="H184" i="3"/>
  <c r="I184" i="3" s="1"/>
  <c r="I183" i="3"/>
  <c r="H183" i="3"/>
  <c r="H182" i="3"/>
  <c r="I182" i="3" s="1"/>
  <c r="I181" i="3"/>
  <c r="H181" i="3"/>
  <c r="H180" i="3"/>
  <c r="I180" i="3" s="1"/>
  <c r="I179" i="3"/>
  <c r="H179" i="3"/>
  <c r="H178" i="3"/>
  <c r="I178" i="3" s="1"/>
  <c r="I177" i="3"/>
  <c r="H177" i="3"/>
  <c r="H176" i="3"/>
  <c r="I176" i="3" s="1"/>
  <c r="I175" i="3"/>
  <c r="H175" i="3"/>
  <c r="H174" i="3"/>
  <c r="I174" i="3" s="1"/>
  <c r="I173" i="3"/>
  <c r="H173" i="3"/>
  <c r="H172" i="3"/>
  <c r="I172" i="3" s="1"/>
  <c r="I171" i="3"/>
  <c r="H171" i="3"/>
  <c r="H170" i="3"/>
  <c r="I170" i="3" s="1"/>
  <c r="I169" i="3"/>
  <c r="H169" i="3"/>
  <c r="H168" i="3"/>
  <c r="I168" i="3" s="1"/>
  <c r="I167" i="3"/>
  <c r="H167" i="3"/>
  <c r="H166" i="3"/>
  <c r="I166" i="3" s="1"/>
  <c r="I165" i="3"/>
  <c r="H165" i="3"/>
  <c r="H164" i="3"/>
  <c r="I164" i="3" s="1"/>
  <c r="I163" i="3"/>
  <c r="H163" i="3"/>
  <c r="H162" i="3"/>
  <c r="I162" i="3" s="1"/>
  <c r="I161" i="3"/>
  <c r="H161" i="3"/>
  <c r="H160" i="3"/>
  <c r="I160" i="3" s="1"/>
  <c r="I159" i="3"/>
  <c r="H159" i="3"/>
  <c r="H158" i="3"/>
  <c r="I158" i="3" s="1"/>
  <c r="I157" i="3"/>
  <c r="H157" i="3"/>
  <c r="H156" i="3"/>
  <c r="I156" i="3" s="1"/>
  <c r="I155" i="3"/>
  <c r="H155" i="3"/>
  <c r="H154" i="3"/>
  <c r="I154" i="3" s="1"/>
  <c r="I153" i="3"/>
  <c r="H153" i="3"/>
  <c r="H152" i="3"/>
  <c r="I152" i="3" s="1"/>
  <c r="I151" i="3"/>
  <c r="H151" i="3"/>
  <c r="H150" i="3"/>
  <c r="I150" i="3" s="1"/>
  <c r="I149" i="3"/>
  <c r="H149" i="3"/>
  <c r="H148" i="3"/>
  <c r="I148" i="3" s="1"/>
  <c r="I147" i="3"/>
  <c r="H147" i="3"/>
  <c r="H146" i="3"/>
  <c r="I146" i="3" s="1"/>
  <c r="I145" i="3"/>
  <c r="H145" i="3"/>
  <c r="H144" i="3"/>
  <c r="I144" i="3" s="1"/>
  <c r="I143" i="3"/>
  <c r="H143" i="3"/>
  <c r="H142" i="3"/>
  <c r="I142" i="3" s="1"/>
  <c r="I141" i="3"/>
  <c r="H141" i="3"/>
  <c r="H140" i="3"/>
  <c r="I140" i="3" s="1"/>
  <c r="I139" i="3"/>
  <c r="H139" i="3"/>
  <c r="H138" i="3"/>
  <c r="I138" i="3" s="1"/>
  <c r="I137" i="3"/>
  <c r="H137" i="3"/>
  <c r="H136" i="3"/>
  <c r="I136" i="3" s="1"/>
  <c r="I135" i="3"/>
  <c r="H135" i="3"/>
  <c r="H134" i="3"/>
  <c r="I134" i="3" s="1"/>
  <c r="I133" i="3"/>
  <c r="H133" i="3"/>
  <c r="H132" i="3"/>
  <c r="I132" i="3" s="1"/>
  <c r="I131" i="3"/>
  <c r="H131" i="3"/>
  <c r="H130" i="3"/>
  <c r="I130" i="3" s="1"/>
  <c r="H129" i="3"/>
  <c r="I129" i="3" s="1"/>
  <c r="H128" i="3"/>
  <c r="I128" i="3" s="1"/>
  <c r="H127" i="3"/>
  <c r="I127" i="3" s="1"/>
  <c r="H126" i="3"/>
  <c r="I126" i="3" s="1"/>
  <c r="I125" i="3"/>
  <c r="H125" i="3"/>
  <c r="H124" i="3"/>
  <c r="I124" i="3" s="1"/>
  <c r="H123" i="3"/>
  <c r="I123" i="3" s="1"/>
  <c r="H122" i="3"/>
  <c r="I122" i="3" s="1"/>
  <c r="H121" i="3"/>
  <c r="I121" i="3" s="1"/>
  <c r="H120" i="3"/>
  <c r="I120" i="3" s="1"/>
  <c r="H119" i="3"/>
  <c r="I119" i="3" s="1"/>
  <c r="H118" i="3"/>
  <c r="I118" i="3" s="1"/>
  <c r="I117" i="3"/>
  <c r="H117" i="3"/>
  <c r="H116" i="3"/>
  <c r="I116" i="3" s="1"/>
  <c r="H115" i="3"/>
  <c r="I115" i="3" s="1"/>
  <c r="H114" i="3"/>
  <c r="I114" i="3" s="1"/>
  <c r="H113" i="3"/>
  <c r="I113" i="3" s="1"/>
  <c r="H112" i="3"/>
  <c r="I112" i="3" s="1"/>
  <c r="H111" i="3"/>
  <c r="I111" i="3" s="1"/>
  <c r="H110" i="3"/>
  <c r="I110" i="3" s="1"/>
  <c r="I109" i="3"/>
  <c r="H109" i="3"/>
  <c r="H108" i="3"/>
  <c r="I108" i="3" s="1"/>
  <c r="H107" i="3"/>
  <c r="I107" i="3" s="1"/>
  <c r="H106" i="3"/>
  <c r="I106" i="3" s="1"/>
  <c r="H105" i="3"/>
  <c r="I105" i="3" s="1"/>
  <c r="H104" i="3"/>
  <c r="I104" i="3" s="1"/>
  <c r="H103" i="3"/>
  <c r="I103" i="3" s="1"/>
  <c r="H102" i="3"/>
  <c r="I102" i="3" s="1"/>
  <c r="I101" i="3"/>
  <c r="H101" i="3"/>
  <c r="H100" i="3"/>
  <c r="I100" i="3" s="1"/>
  <c r="H99" i="3"/>
  <c r="I99" i="3" s="1"/>
  <c r="H98" i="3"/>
  <c r="I98" i="3" s="1"/>
  <c r="H97" i="3"/>
  <c r="I97" i="3" s="1"/>
  <c r="H96" i="3"/>
  <c r="I96" i="3" s="1"/>
  <c r="H95" i="3"/>
  <c r="I95" i="3" s="1"/>
  <c r="H94" i="3"/>
  <c r="I94" i="3" s="1"/>
  <c r="I93" i="3"/>
  <c r="H93" i="3"/>
  <c r="H92" i="3"/>
  <c r="I92" i="3" s="1"/>
  <c r="H91" i="3"/>
  <c r="I91" i="3" s="1"/>
  <c r="H90" i="3"/>
  <c r="I90" i="3" s="1"/>
  <c r="H89" i="3"/>
  <c r="I89" i="3" s="1"/>
  <c r="H88" i="3"/>
  <c r="I88" i="3" s="1"/>
  <c r="H87" i="3"/>
  <c r="I87" i="3" s="1"/>
  <c r="H86" i="3"/>
  <c r="I86" i="3" s="1"/>
  <c r="I85" i="3"/>
  <c r="H85" i="3"/>
  <c r="H84" i="3"/>
  <c r="I84" i="3" s="1"/>
  <c r="H83" i="3"/>
  <c r="I83" i="3" s="1"/>
  <c r="H82" i="3"/>
  <c r="I82" i="3" s="1"/>
  <c r="H81" i="3"/>
  <c r="I81" i="3" s="1"/>
  <c r="H80" i="3"/>
  <c r="I80" i="3" s="1"/>
  <c r="H79" i="3"/>
  <c r="I79" i="3" s="1"/>
  <c r="H78" i="3"/>
  <c r="I78" i="3" s="1"/>
  <c r="I77" i="3"/>
  <c r="H77" i="3"/>
  <c r="H76" i="3"/>
  <c r="I76" i="3" s="1"/>
  <c r="H75" i="3"/>
  <c r="I75" i="3" s="1"/>
  <c r="H74" i="3"/>
  <c r="I74" i="3" s="1"/>
  <c r="H73" i="3"/>
  <c r="I73" i="3" s="1"/>
  <c r="H72" i="3"/>
  <c r="I72" i="3" s="1"/>
  <c r="H71" i="3"/>
  <c r="I71" i="3" s="1"/>
  <c r="H70" i="3"/>
  <c r="I70" i="3" s="1"/>
  <c r="I69" i="3"/>
  <c r="H69" i="3"/>
  <c r="H68" i="3"/>
  <c r="I68" i="3" s="1"/>
  <c r="H67" i="3"/>
  <c r="I67" i="3" s="1"/>
  <c r="H66" i="3"/>
  <c r="I66" i="3" s="1"/>
  <c r="H65" i="3"/>
  <c r="I65" i="3" s="1"/>
  <c r="H64" i="3"/>
  <c r="I64" i="3" s="1"/>
  <c r="H63" i="3"/>
  <c r="I63" i="3" s="1"/>
  <c r="H62" i="3"/>
  <c r="I62" i="3" s="1"/>
  <c r="I61" i="3"/>
  <c r="H61" i="3"/>
  <c r="H60" i="3"/>
  <c r="I60" i="3" s="1"/>
  <c r="H59" i="3"/>
  <c r="I59" i="3" s="1"/>
  <c r="H58" i="3"/>
  <c r="I58" i="3" s="1"/>
  <c r="H57" i="3"/>
  <c r="I57" i="3" s="1"/>
  <c r="H56" i="3"/>
  <c r="I56" i="3" s="1"/>
  <c r="H55" i="3"/>
  <c r="I55" i="3" s="1"/>
  <c r="H54" i="3"/>
  <c r="I54" i="3" s="1"/>
  <c r="I53" i="3"/>
  <c r="H53" i="3"/>
  <c r="H52" i="3"/>
  <c r="I52" i="3" s="1"/>
  <c r="H51" i="3"/>
  <c r="I51" i="3" s="1"/>
  <c r="H50" i="3"/>
  <c r="I50" i="3" s="1"/>
  <c r="H49" i="3"/>
  <c r="I49" i="3" s="1"/>
  <c r="H48" i="3"/>
  <c r="I48" i="3" s="1"/>
  <c r="I47" i="3"/>
  <c r="H47" i="3"/>
  <c r="H46" i="3"/>
  <c r="I46" i="3" s="1"/>
  <c r="H45" i="3"/>
  <c r="I45" i="3" s="1"/>
  <c r="H44" i="3"/>
  <c r="I44" i="3" s="1"/>
  <c r="H43" i="3"/>
  <c r="I43" i="3" s="1"/>
  <c r="H42" i="3"/>
  <c r="I42" i="3" s="1"/>
  <c r="H41" i="3"/>
  <c r="I41" i="3" s="1"/>
  <c r="H40" i="3"/>
  <c r="I40" i="3" s="1"/>
  <c r="I39" i="3"/>
  <c r="H39" i="3"/>
  <c r="H38" i="3"/>
  <c r="I38" i="3" s="1"/>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H8" i="3"/>
  <c r="I8" i="3" s="1"/>
  <c r="H7" i="3"/>
  <c r="I7" i="3" s="1"/>
  <c r="H6" i="3"/>
  <c r="I6" i="3" s="1"/>
  <c r="H5" i="3"/>
  <c r="I5" i="3" s="1"/>
  <c r="H4" i="3"/>
  <c r="I4" i="3" s="1"/>
  <c r="H3" i="3"/>
  <c r="I3" i="3" s="1"/>
  <c r="H2" i="3"/>
  <c r="I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4932D2-ED44-40B9-B3EA-E92F2A9F77C5}" name="Connection" type="104" refreshedVersion="0" background="1">
    <extLst>
      <ext xmlns:x15="http://schemas.microsoft.com/office/spreadsheetml/2010/11/main" uri="{DE250136-89BD-433C-8126-D09CA5730AF9}">
        <x15:connection id="Calendar"/>
      </ext>
    </extLst>
  </connection>
  <connection id="2" xr16:uid="{1D1765FB-EE26-45F9-94B9-CA8A5CF84DFE}" name="Excel Task 1 - Data Cleaning.xlsx" type="100" refreshedVersion="0">
    <extLst>
      <ext xmlns:x15="http://schemas.microsoft.com/office/spreadsheetml/2010/11/main" uri="{DE250136-89BD-433C-8126-D09CA5730AF9}">
        <x15:connection id="7d8a8e0e-3667-4f58-8c6a-1a37e19422e6"/>
      </ext>
    </extLst>
  </connection>
  <connection id="3" xr16:uid="{C1C03BEE-8808-4D9E-A34B-EF764BE72C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<sst xmlns="http://schemas.openxmlformats.org/spreadsheetml/2006/main" count="360" uniqueCount="91">
  <si>
    <t>Row Labels</t>
  </si>
  <si>
    <t>Grand Total</t>
  </si>
  <si>
    <t>Key Highlights</t>
  </si>
  <si>
    <t>Week_Start_Date</t>
  </si>
  <si>
    <t>Platform</t>
  </si>
  <si>
    <t>New_Followers</t>
  </si>
  <si>
    <t>Unfollows</t>
  </si>
  <si>
    <t>Total_Followers</t>
  </si>
  <si>
    <t>Engagement_Rate</t>
  </si>
  <si>
    <t>Ad_Spend</t>
  </si>
  <si>
    <t>follower gain</t>
  </si>
  <si>
    <t>Follower Growth Rate</t>
  </si>
  <si>
    <t>Instagram</t>
  </si>
  <si>
    <t>Twitter</t>
  </si>
  <si>
    <t>Youtube</t>
  </si>
  <si>
    <t>(blank)</t>
  </si>
  <si>
    <t>&lt;03-06-2024</t>
  </si>
  <si>
    <t>Sum of follower gain</t>
  </si>
  <si>
    <t>03-06-2024 - 09-06-2024</t>
  </si>
  <si>
    <t>10-06-2024 - 16-06-2024</t>
  </si>
  <si>
    <t>17-06-2024 - 23-06-2024</t>
  </si>
  <si>
    <t>24-06-2024 - 30-06-2024</t>
  </si>
  <si>
    <t>01-07-2024 - 07-07-2024</t>
  </si>
  <si>
    <t>08-07-2024 - 14-07-2024</t>
  </si>
  <si>
    <t>15-07-2024 - 21-07-2024</t>
  </si>
  <si>
    <t>22-07-2024 - 28-07-2024</t>
  </si>
  <si>
    <t>29-07-2024 - 04-08-2024</t>
  </si>
  <si>
    <t>05-08-2024 - 11-08-2024</t>
  </si>
  <si>
    <t>12-08-2024 - 18-08-2024</t>
  </si>
  <si>
    <t>19-08-2024 - 25-08-2024</t>
  </si>
  <si>
    <t>26-08-2024 - 01-09-2024</t>
  </si>
  <si>
    <t>02-09-2024 - 08-09-2024</t>
  </si>
  <si>
    <t>09-09-2024 - 15-09-2024</t>
  </si>
  <si>
    <t>16-09-2024 - 22-09-2024</t>
  </si>
  <si>
    <t>23-09-2024 - 29-09-2024</t>
  </si>
  <si>
    <t>30-09-2024 - 06-10-2024</t>
  </si>
  <si>
    <t>07-10-2024 - 13-10-2024</t>
  </si>
  <si>
    <t>14-10-2024 - 20-10-2024</t>
  </si>
  <si>
    <t>21-10-2024 - 27-10-2024</t>
  </si>
  <si>
    <t>28-10-2024 - 03-11-2024</t>
  </si>
  <si>
    <t>04-11-2024 - 10-11-2024</t>
  </si>
  <si>
    <t>11-11-2024 - 17-11-2024</t>
  </si>
  <si>
    <t>18-11-2024 - 24-11-2024</t>
  </si>
  <si>
    <t>25-11-2024 - 01-12-2024</t>
  </si>
  <si>
    <t>02-12-2024 - 08-12-2024</t>
  </si>
  <si>
    <t>09-12-2024 - 15-12-2024</t>
  </si>
  <si>
    <t>16-12-2024 - 22-12-2024</t>
  </si>
  <si>
    <t>23-12-2024 - 29-12-2024</t>
  </si>
  <si>
    <t>30-12-2024 - 05-01-2025</t>
  </si>
  <si>
    <t>06-01-2025 - 12-01-2025</t>
  </si>
  <si>
    <t>13-01-2025 - 19-01-2025</t>
  </si>
  <si>
    <t>20-01-2025 - 26-01-2025</t>
  </si>
  <si>
    <t>27-01-2025 - 02-02-2025</t>
  </si>
  <si>
    <t>03-02-2025 - 09-02-2025</t>
  </si>
  <si>
    <t>10-02-2025 - 16-02-2025</t>
  </si>
  <si>
    <t>17-02-2025 - 23-02-2025</t>
  </si>
  <si>
    <t>24-02-2025 - 02-03-2025</t>
  </si>
  <si>
    <t>03-03-2025 - 09-03-2025</t>
  </si>
  <si>
    <t>10-03-2025 - 16-03-2025</t>
  </si>
  <si>
    <t>17-03-2025 - 23-03-2025</t>
  </si>
  <si>
    <t>24-03-2025 - 30-03-2025</t>
  </si>
  <si>
    <t>31-03-2025 - 06-04-2025</t>
  </si>
  <si>
    <t>07-04-2025 - 13-04-2025</t>
  </si>
  <si>
    <t>14-04-2025 - 20-04-2025</t>
  </si>
  <si>
    <t>21-04-2025 - 27-04-2025</t>
  </si>
  <si>
    <t>28-04-2025 - 04-05-2025</t>
  </si>
  <si>
    <t>05-05-2025 - 11-05-2025</t>
  </si>
  <si>
    <t>12-05-2025 - 18-05-2025</t>
  </si>
  <si>
    <t>19-05-2025 - 25-05-2025</t>
  </si>
  <si>
    <t>26-05-2025 - 01-06-2025</t>
  </si>
  <si>
    <t>02-06-2025 - 08-06-2025</t>
  </si>
  <si>
    <t>09-06-2025 - 15-06-2025</t>
  </si>
  <si>
    <t>16-06-2025 - 22-06-2025</t>
  </si>
  <si>
    <t>23-06-2025 - 29-06-2025</t>
  </si>
  <si>
    <t>30-06-2025 - 06-07-2025</t>
  </si>
  <si>
    <t>07-07-2025 - 13-07-2025</t>
  </si>
  <si>
    <t>14-07-2025 - 20-07-2025</t>
  </si>
  <si>
    <t>21-07-2025 - 27-07-2025</t>
  </si>
  <si>
    <t>28-07-2025 - 03-08-2025</t>
  </si>
  <si>
    <t>04-08-2025 - 10-08-2025</t>
  </si>
  <si>
    <t>11-08-2025 - 17-08-2025</t>
  </si>
  <si>
    <t>18-08-2025 - 24-08-2025</t>
  </si>
  <si>
    <t>25-08-2025 - 31-08-2025</t>
  </si>
  <si>
    <t>01-09-2025 - 07-09-2025</t>
  </si>
  <si>
    <t>08-09-2025 - 09-09-2025</t>
  </si>
  <si>
    <t>Ad Spend</t>
  </si>
  <si>
    <t xml:space="preserve">Correlation </t>
  </si>
  <si>
    <t xml:space="preserve"> week with highest net follower gain</t>
  </si>
  <si>
    <t>Weeks</t>
  </si>
  <si>
    <t>Moving Average Of Follower Gain (Weekly)</t>
  </si>
  <si>
    <t>Correlation Between Ad spend vs Follower 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</si>
</sst>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b/>
      <sz val="12"/>
      <color theme="1"/>
      <name val="Calibri"/>
      <family val="2"/>
      <scheme val="minor"/>
    </font>
    <font>
      <b/>
      <sz val="18"/>
      <color theme="1"/>
      <name val="Calibri"/>
      <family val="2"/>
      <scheme val="minor"/>
    </font>
    <font>
      <b/>
      <sz val="20"/>
      <color theme="1"/>
      <name val="Calibri"/>
      <family val="2"/>
      <scheme val="minor"/>
    </font>
    <font>
      <b/>
      <sz val="11"/>
      <color theme="1"/>
      <name val="Calibri"/>
      <family val="2"/>
      <scheme val="minor"/>
    </font>
    <font>
      <sz val="11"/>
      <color rgb="FF000000"/>
      <name val="&quot;Aptos Narrow&quot;"/>
    </font>
    <font>
      <sz val="18"/>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5FC6D1"/>
        <bgColor indexed="64"/>
      </patternFill>
    </fill>
    <fill>
      <patternFill patternType="solid">
        <fgColor rgb="FF92D050"/>
        <bgColor indexed="64"/>
      </patternFill>
    </fill>
    <fill>
      <patternFill patternType="solid">
        <fgColor rgb="FF99FF99"/>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1" fontId="0" fillId="0" borderId="0" xfId="0" applyNumberFormat="1"/>
    <xf numFmtId="14" fontId="5" fillId="0" borderId="0" xfId="0" applyNumberFormat="1" applyFont="1" applyAlignment="1">
      <alignment horizontal="center"/>
    </xf>
    <xf numFmtId="49" fontId="5" fillId="0" borderId="0" xfId="0" applyNumberFormat="1" applyFont="1" applyAlignment="1">
      <alignment horizontal="left"/>
    </xf>
    <xf numFmtId="1" fontId="5" fillId="0" borderId="0" xfId="0" applyNumberFormat="1" applyFont="1"/>
    <xf numFmtId="2" fontId="5" fillId="0" borderId="0" xfId="0" applyNumberFormat="1" applyFont="1"/>
    <xf numFmtId="14" fontId="5" fillId="0" borderId="0" xfId="0" applyNumberFormat="1" applyFont="1" applyAlignment="1">
      <alignment horizontal="right"/>
    </xf>
    <xf numFmtId="1" fontId="5" fillId="0" borderId="0" xfId="0" applyNumberFormat="1" applyFont="1" applyAlignment="1">
      <alignment horizontal="right"/>
    </xf>
    <xf numFmtId="2" fontId="5" fillId="0" borderId="0" xfId="0" applyNumberFormat="1" applyFont="1" applyAlignment="1">
      <alignment horizontal="right"/>
    </xf>
    <xf numFmtId="10" fontId="0" fillId="0" borderId="0" xfId="0" applyNumberFormat="1"/>
    <xf numFmtId="14" fontId="0" fillId="0" borderId="0" xfId="0" applyNumberFormat="1" applyAlignment="1">
      <alignment horizontal="right"/>
    </xf>
    <xf numFmtId="49" fontId="0" fillId="0" borderId="0" xfId="0" applyNumberFormat="1" applyAlignment="1">
      <alignment horizontal="left"/>
    </xf>
    <xf numFmtId="2" fontId="0" fillId="0" borderId="0" xfId="0" applyNumberFormat="1"/>
    <xf numFmtId="14" fontId="0" fillId="0" borderId="0" xfId="0" applyNumberFormat="1"/>
    <xf numFmtId="0" fontId="0" fillId="2" borderId="0" xfId="0" applyFill="1" applyAlignment="1">
      <alignment horizontal="left"/>
    </xf>
    <xf numFmtId="1" fontId="0" fillId="2" borderId="0" xfId="0" applyNumberFormat="1" applyFill="1"/>
    <xf numFmtId="0" fontId="3" fillId="4" borderId="0" xfId="0" applyFont="1" applyFill="1" applyAlignment="1">
      <alignment horizontal="center"/>
    </xf>
    <xf numFmtId="0" fontId="0" fillId="4" borderId="0" xfId="0" applyFill="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1" fillId="0" borderId="0" xfId="0" applyFont="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6" fillId="3" borderId="0" xfId="0" applyFont="1" applyFill="1" applyAlignment="1">
      <alignment horizontal="center"/>
    </xf>
    <xf numFmtId="0" fontId="0" fillId="3" borderId="0" xfId="0" applyFill="1" applyAlignment="1">
      <alignment horizontal="center"/>
    </xf>
    <xf numFmtId="0" fontId="7" fillId="3" borderId="0" xfId="0" applyFont="1" applyFill="1" applyAlignment="1">
      <alignment horizontal="center"/>
    </xf>
  </cellXfs>
  <cellStyles count="1">
    <cellStyle name="Normal" xfId="0" builtinId="0"/>
  </cellStyles>
  <dxfs count="12">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30" formatCode="@"/>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fill>
        <patternFill patternType="none">
          <fgColor indexed="64"/>
          <bgColor auto="1"/>
        </patternFill>
      </fill>
    </dxf>
    <dxf>
      <fill>
        <patternFill patternType="solid">
          <bgColor rgb="FFFFC000"/>
        </patternFill>
      </fill>
    </dxf>
    <dxf>
      <font>
        <color theme="1"/>
      </font>
    </dxf>
  </dxfs>
  <tableStyles count="1" defaultTableStyle="TableStyleMedium2" defaultPivotStyle="PivotStyleLight16">
    <tableStyle name="Invisible" pivot="0" table="0" count="0" xr9:uid="{ADC996D1-5DAA-4014-8DFC-7DAC88EF0C81}"/>
  </tableStyles>
  <colors>
    <mruColors>
      <color rgb="FFFF0000"/>
      <color rgb="FF99FF99"/>
      <color rgb="FF5FC6D1"/>
      <color rgb="FF78E795"/>
      <color rgb="FFE3F5F7"/>
      <color rgb="FF99FFCC"/>
      <color rgb="FFFF99FF"/>
      <color rgb="FFFFC9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calcChain" Target="calcChain.xml"/><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owerPivotData" Target="model/item.data"/><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 Follower Retention &amp; Loyalty.xlsx.xlsx]Follower growth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Moving</a:t>
            </a:r>
            <a:r>
              <a:rPr lang="en-IN" baseline="0"/>
              <a:t> Average of Follower Gain</a:t>
            </a:r>
          </a:p>
          <a:p>
            <a:pPr>
              <a:defRPr/>
            </a:pPr>
            <a:endParaRPr lang="en-IN"/>
          </a:p>
        </c:rich>
      </c:tx>
      <c:layout>
        <c:manualLayout>
          <c:xMode val="edge"/>
          <c:yMode val="edge"/>
          <c:x val="0.30270122484689416"/>
          <c:y val="2.6757072032662588E-2"/>
        </c:manualLayout>
      </c:layout>
      <c:overlay val="0"/>
      <c:spPr>
        <a:solidFill>
          <a:srgbClr val="78E795"/>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growth analysis'!$H$4</c:f>
              <c:strCache>
                <c:ptCount val="1"/>
                <c:pt idx="0">
                  <c:v>Total</c:v>
                </c:pt>
              </c:strCache>
            </c:strRef>
          </c:tx>
          <c:spPr>
            <a:ln w="28575" cap="rnd">
              <a:solidFill>
                <a:schemeClr val="accent1"/>
              </a:solidFill>
              <a:round/>
            </a:ln>
            <a:effectLst/>
          </c:spPr>
          <c:marker>
            <c:symbol val="none"/>
          </c:marker>
          <c:trendline>
            <c:spPr>
              <a:ln w="41275" cap="rnd">
                <a:solidFill>
                  <a:schemeClr val="tx1">
                    <a:lumMod val="85000"/>
                    <a:lumOff val="15000"/>
                    <a:alpha val="86000"/>
                  </a:schemeClr>
                </a:solidFill>
                <a:prstDash val="sysDot"/>
              </a:ln>
              <a:effectLst/>
            </c:spPr>
            <c:trendlineType val="movingAvg"/>
            <c:period val="4"/>
            <c:dispRSqr val="0"/>
            <c:dispEq val="0"/>
          </c:trendline>
          <c:cat>
            <c:strRef>
              <c:f>'Follower growth analysis'!$G$5:$G$72</c:f>
              <c:strCache>
                <c:ptCount val="67"/>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12-05-2025 - 18-05-2025</c:v>
                </c:pt>
                <c:pt idx="50">
                  <c:v>19-05-2025 - 25-05-2025</c:v>
                </c:pt>
                <c:pt idx="51">
                  <c:v>26-05-2025 - 01-06-2025</c:v>
                </c:pt>
                <c:pt idx="52">
                  <c:v>02-06-2025 - 08-06-2025</c:v>
                </c:pt>
                <c:pt idx="53">
                  <c:v>09-06-2025 - 15-06-2025</c:v>
                </c:pt>
                <c:pt idx="54">
                  <c:v>16-06-2025 - 22-06-2025</c:v>
                </c:pt>
                <c:pt idx="55">
                  <c:v>23-06-2025 - 29-06-2025</c:v>
                </c:pt>
                <c:pt idx="56">
                  <c:v>30-06-2025 - 06-07-2025</c:v>
                </c:pt>
                <c:pt idx="57">
                  <c:v>07-07-2025 - 13-07-2025</c:v>
                </c:pt>
                <c:pt idx="58">
                  <c:v>14-07-2025 - 20-07-2025</c:v>
                </c:pt>
                <c:pt idx="59">
                  <c:v>21-07-2025 - 27-07-2025</c:v>
                </c:pt>
                <c:pt idx="60">
                  <c:v>28-07-2025 - 03-08-2025</c:v>
                </c:pt>
                <c:pt idx="61">
                  <c:v>04-08-2025 - 10-08-2025</c:v>
                </c:pt>
                <c:pt idx="62">
                  <c:v>11-08-2025 - 17-08-2025</c:v>
                </c:pt>
                <c:pt idx="63">
                  <c:v>18-08-2025 - 24-08-2025</c:v>
                </c:pt>
                <c:pt idx="64">
                  <c:v>25-08-2025 - 31-08-2025</c:v>
                </c:pt>
                <c:pt idx="65">
                  <c:v>01-09-2025 - 07-09-2025</c:v>
                </c:pt>
                <c:pt idx="66">
                  <c:v>08-09-2025 - 09-09-2025</c:v>
                </c:pt>
              </c:strCache>
            </c:strRef>
          </c:cat>
          <c:val>
            <c:numRef>
              <c:f>'Follower growth analysis'!$H$5:$H$72</c:f>
              <c:numCache>
                <c:formatCode>0</c:formatCode>
                <c:ptCount val="67"/>
                <c:pt idx="0">
                  <c:v>3419</c:v>
                </c:pt>
                <c:pt idx="1">
                  <c:v>2777</c:v>
                </c:pt>
                <c:pt idx="2">
                  <c:v>3175</c:v>
                </c:pt>
                <c:pt idx="3">
                  <c:v>2433</c:v>
                </c:pt>
                <c:pt idx="4">
                  <c:v>2426</c:v>
                </c:pt>
                <c:pt idx="5">
                  <c:v>3155</c:v>
                </c:pt>
                <c:pt idx="6">
                  <c:v>2369</c:v>
                </c:pt>
                <c:pt idx="7">
                  <c:v>2281</c:v>
                </c:pt>
                <c:pt idx="8">
                  <c:v>2132</c:v>
                </c:pt>
                <c:pt idx="9">
                  <c:v>2693</c:v>
                </c:pt>
                <c:pt idx="10">
                  <c:v>3072</c:v>
                </c:pt>
                <c:pt idx="11">
                  <c:v>2300</c:v>
                </c:pt>
                <c:pt idx="12">
                  <c:v>2450</c:v>
                </c:pt>
                <c:pt idx="13">
                  <c:v>2502</c:v>
                </c:pt>
                <c:pt idx="14">
                  <c:v>2630</c:v>
                </c:pt>
                <c:pt idx="15">
                  <c:v>2162</c:v>
                </c:pt>
                <c:pt idx="16">
                  <c:v>2785</c:v>
                </c:pt>
                <c:pt idx="17">
                  <c:v>3151</c:v>
                </c:pt>
                <c:pt idx="18">
                  <c:v>2338</c:v>
                </c:pt>
                <c:pt idx="19">
                  <c:v>2670</c:v>
                </c:pt>
                <c:pt idx="20">
                  <c:v>2792</c:v>
                </c:pt>
                <c:pt idx="21">
                  <c:v>2181</c:v>
                </c:pt>
                <c:pt idx="22">
                  <c:v>3576</c:v>
                </c:pt>
                <c:pt idx="23">
                  <c:v>2794</c:v>
                </c:pt>
                <c:pt idx="24">
                  <c:v>1935</c:v>
                </c:pt>
                <c:pt idx="25">
                  <c:v>2287</c:v>
                </c:pt>
                <c:pt idx="26">
                  <c:v>2383</c:v>
                </c:pt>
                <c:pt idx="27">
                  <c:v>1398</c:v>
                </c:pt>
                <c:pt idx="28">
                  <c:v>2693</c:v>
                </c:pt>
                <c:pt idx="29">
                  <c:v>2550</c:v>
                </c:pt>
                <c:pt idx="30">
                  <c:v>2337</c:v>
                </c:pt>
                <c:pt idx="31">
                  <c:v>2451</c:v>
                </c:pt>
                <c:pt idx="32">
                  <c:v>2341</c:v>
                </c:pt>
                <c:pt idx="33">
                  <c:v>1832</c:v>
                </c:pt>
                <c:pt idx="34">
                  <c:v>1928</c:v>
                </c:pt>
                <c:pt idx="35">
                  <c:v>1680</c:v>
                </c:pt>
                <c:pt idx="36">
                  <c:v>2361</c:v>
                </c:pt>
                <c:pt idx="37">
                  <c:v>1543</c:v>
                </c:pt>
                <c:pt idx="38">
                  <c:v>1713</c:v>
                </c:pt>
                <c:pt idx="39">
                  <c:v>2763</c:v>
                </c:pt>
                <c:pt idx="40">
                  <c:v>2315</c:v>
                </c:pt>
                <c:pt idx="41">
                  <c:v>2188</c:v>
                </c:pt>
                <c:pt idx="42">
                  <c:v>2679</c:v>
                </c:pt>
                <c:pt idx="43">
                  <c:v>2781</c:v>
                </c:pt>
                <c:pt idx="44">
                  <c:v>3291</c:v>
                </c:pt>
                <c:pt idx="45">
                  <c:v>3216</c:v>
                </c:pt>
                <c:pt idx="46">
                  <c:v>1728</c:v>
                </c:pt>
                <c:pt idx="47">
                  <c:v>2378</c:v>
                </c:pt>
                <c:pt idx="48">
                  <c:v>2054</c:v>
                </c:pt>
                <c:pt idx="49">
                  <c:v>1400</c:v>
                </c:pt>
                <c:pt idx="50">
                  <c:v>3569</c:v>
                </c:pt>
                <c:pt idx="51">
                  <c:v>2909</c:v>
                </c:pt>
                <c:pt idx="52">
                  <c:v>2049</c:v>
                </c:pt>
                <c:pt idx="53">
                  <c:v>2243</c:v>
                </c:pt>
                <c:pt idx="54">
                  <c:v>2017</c:v>
                </c:pt>
                <c:pt idx="55">
                  <c:v>1384</c:v>
                </c:pt>
                <c:pt idx="56">
                  <c:v>2315</c:v>
                </c:pt>
                <c:pt idx="57">
                  <c:v>2669</c:v>
                </c:pt>
                <c:pt idx="58">
                  <c:v>2654</c:v>
                </c:pt>
                <c:pt idx="59">
                  <c:v>2694</c:v>
                </c:pt>
                <c:pt idx="60">
                  <c:v>3236</c:v>
                </c:pt>
                <c:pt idx="61">
                  <c:v>1689</c:v>
                </c:pt>
                <c:pt idx="62">
                  <c:v>2347</c:v>
                </c:pt>
                <c:pt idx="63">
                  <c:v>1819</c:v>
                </c:pt>
                <c:pt idx="64">
                  <c:v>2646</c:v>
                </c:pt>
                <c:pt idx="65">
                  <c:v>1424</c:v>
                </c:pt>
                <c:pt idx="66">
                  <c:v>1436</c:v>
                </c:pt>
              </c:numCache>
            </c:numRef>
          </c:val>
          <c:smooth val="0"/>
          <c:extLst>
            <c:ext xmlns:c16="http://schemas.microsoft.com/office/drawing/2014/chart" uri="{C3380CC4-5D6E-409C-BE32-E72D297353CC}">
              <c16:uniqueId val="{00000000-90FD-4C41-91D4-D887427C5702}"/>
            </c:ext>
          </c:extLst>
        </c:ser>
        <c:dLbls>
          <c:showLegendKey val="0"/>
          <c:showVal val="0"/>
          <c:showCatName val="0"/>
          <c:showSerName val="0"/>
          <c:showPercent val="0"/>
          <c:showBubbleSize val="0"/>
        </c:dLbls>
        <c:smooth val="0"/>
        <c:axId val="1648038495"/>
        <c:axId val="1124099247"/>
      </c:lineChart>
      <c:catAx>
        <c:axId val="164803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4099247"/>
        <c:crosses val="autoZero"/>
        <c:auto val="1"/>
        <c:lblAlgn val="ctr"/>
        <c:lblOffset val="100"/>
        <c:noMultiLvlLbl val="0"/>
      </c:catAx>
      <c:valAx>
        <c:axId val="1124099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803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https://drive.google.com/file/d/1H4y5bNuOUjuCp39ttQk3kQ8m0sNSr6Qv/view?usp=sharing" TargetMode="External"/></Relationships>
</file>

<file path=xl/drawings/drawing1.xml><?xml version="1.0" encoding="utf-8"?>
<xdr:wsDr xmlns:xdr="http://schemas.openxmlformats.org/drawingml/2006/spreadsheetDrawing" xmlns:a="http://schemas.openxmlformats.org/drawingml/2006/main">
  <xdr:twoCellAnchor>
    <xdr:from>
      <xdr:col>9</xdr:col>
      <xdr:colOff>9525</xdr:colOff>
      <xdr:row>3</xdr:row>
      <xdr:rowOff>19050</xdr:rowOff>
    </xdr:from>
    <xdr:to>
      <xdr:col>18</xdr:col>
      <xdr:colOff>9525</xdr:colOff>
      <xdr:row>21</xdr:row>
      <xdr:rowOff>76200</xdr:rowOff>
    </xdr:to>
    <xdr:graphicFrame macro="">
      <xdr:nvGraphicFramePr>
        <xdr:cNvPr id="3" name="Chart 2">
          <a:extLst>
            <a:ext uri="{FF2B5EF4-FFF2-40B4-BE49-F238E27FC236}">
              <a16:creationId xmlns:a16="http://schemas.microsoft.com/office/drawing/2014/main" id="{72907CB6-6DE6-043F-2963-C75E123F5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26</xdr:row>
      <xdr:rowOff>23814</xdr:rowOff>
    </xdr:from>
    <xdr:ext cx="6679406" cy="1869280"/>
    <xdr:sp macro="" textlink="">
      <xdr:nvSpPr>
        <xdr:cNvPr id="4" name="TextBox 3">
          <a:extLst>
            <a:ext uri="{FF2B5EF4-FFF2-40B4-BE49-F238E27FC236}">
              <a16:creationId xmlns:a16="http://schemas.microsoft.com/office/drawing/2014/main" id="{90D27305-B0BD-9817-405E-027B97B23B72}"/>
            </a:ext>
          </a:extLst>
        </xdr:cNvPr>
        <xdr:cNvSpPr txBox="1"/>
      </xdr:nvSpPr>
      <xdr:spPr>
        <a:xfrm>
          <a:off x="8084344" y="4988720"/>
          <a:ext cx="6679406" cy="186928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Over time, the moving average shows a generally steady growth trend in followers. It also smoothes out weekly fluctuations. While there are short-term changes, there is no long-term decline, which suggests steady audience growth. Instead of isolated spikes, we see periodic upward movements that indicate times of improved performance</a:t>
          </a:r>
          <a:r>
            <a:rPr lang="en-IN" sz="1100"/>
            <a:t>.</a:t>
          </a:r>
        </a:p>
      </xdr:txBody>
    </xdr:sp>
    <xdr:clientData/>
  </xdr:oneCellAnchor>
  <xdr:twoCellAnchor>
    <xdr:from>
      <xdr:col>28</xdr:col>
      <xdr:colOff>11906</xdr:colOff>
      <xdr:row>3</xdr:row>
      <xdr:rowOff>178595</xdr:rowOff>
    </xdr:from>
    <xdr:to>
      <xdr:col>41</xdr:col>
      <xdr:colOff>11906</xdr:colOff>
      <xdr:row>11</xdr:row>
      <xdr:rowOff>178594</xdr:rowOff>
    </xdr:to>
    <xdr:sp macro="" textlink="">
      <xdr:nvSpPr>
        <xdr:cNvPr id="5" name="TextBox 4">
          <a:extLst>
            <a:ext uri="{FF2B5EF4-FFF2-40B4-BE49-F238E27FC236}">
              <a16:creationId xmlns:a16="http://schemas.microsoft.com/office/drawing/2014/main" id="{DBCE203C-D97D-8AD4-EAC5-D41448F01366}"/>
            </a:ext>
          </a:extLst>
        </xdr:cNvPr>
        <xdr:cNvSpPr txBox="1"/>
      </xdr:nvSpPr>
      <xdr:spPr>
        <a:xfrm>
          <a:off x="20609719" y="750095"/>
          <a:ext cx="7893843" cy="153590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There is no clear linear relationship between the two variables. The correlation between ad spend and follower gain is close to zero (≈ –0.036). This suggests that spending more on advertising does not always lead to an increase in followers. Ad spending alone does not seem to affect follower growth as much as other factors like audience engagement, campaign strategy, and content quality.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466725</xdr:colOff>
      <xdr:row>2</xdr:row>
      <xdr:rowOff>133350</xdr:rowOff>
    </xdr:from>
    <xdr:to>
      <xdr:col>9</xdr:col>
      <xdr:colOff>466725</xdr:colOff>
      <xdr:row>9</xdr:row>
      <xdr:rowOff>95250</xdr:rowOff>
    </xdr:to>
    <xdr:sp macro="" textlink="">
      <xdr:nvSpPr>
        <xdr:cNvPr id="7" name="Oval 6">
          <a:hlinkClick xmlns:r="http://schemas.openxmlformats.org/officeDocument/2006/relationships" r:id="rId1"/>
          <a:extLst>
            <a:ext uri="{FF2B5EF4-FFF2-40B4-BE49-F238E27FC236}">
              <a16:creationId xmlns:a16="http://schemas.microsoft.com/office/drawing/2014/main" id="{C3C176B0-6A1F-05A7-02F5-EFE1354CB5E2}"/>
            </a:ext>
          </a:extLst>
        </xdr:cNvPr>
        <xdr:cNvSpPr/>
      </xdr:nvSpPr>
      <xdr:spPr>
        <a:xfrm>
          <a:off x="1685925" y="514350"/>
          <a:ext cx="4267200" cy="1295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rgbClr val="FF0000"/>
            </a:solidFill>
          </a:endParaRPr>
        </a:p>
        <a:p>
          <a:pPr algn="l"/>
          <a:r>
            <a:rPr lang="en-IN" sz="1400" baseline="0">
              <a:solidFill>
                <a:schemeClr val="tx1"/>
              </a:solidFill>
            </a:rPr>
            <a:t>             </a:t>
          </a:r>
          <a:r>
            <a:rPr lang="en-IN" sz="1400">
              <a:solidFill>
                <a:schemeClr val="tx1"/>
              </a:solidFill>
            </a:rPr>
            <a:t>view interactive</a:t>
          </a:r>
          <a:r>
            <a:rPr lang="en-IN" sz="1400" baseline="0">
              <a:solidFill>
                <a:schemeClr val="tx1"/>
              </a:solidFill>
            </a:rPr>
            <a:t> dashboards</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3.743833449073" createdVersion="8" refreshedVersion="8" minRefreshableVersion="3" recordCount="201" xr:uid="{09AB082E-5E43-4C73-989B-CCDB93567EF5}">
  <cacheSource type="worksheet">
    <worksheetSource name="Table2"/>
  </cacheSource>
  <cacheFields count="10">
    <cacheField name="Week_Start_Date" numFmtId="14">
      <sharedItems containsNonDate="0" containsDate="1" containsString="0" containsBlank="1" minDate="2024-06-03T00:00:00" maxDate="2025-09-09T00:00:00" count="68">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m/>
      </sharedItems>
      <fieldGroup par="9"/>
    </cacheField>
    <cacheField name="Platform" numFmtId="49">
      <sharedItems containsBlank="1"/>
    </cacheField>
    <cacheField name="New_Followers" numFmtId="1">
      <sharedItems containsString="0" containsBlank="1" containsNumber="1" containsInteger="1" minValue="503" maxValue="1490"/>
    </cacheField>
    <cacheField name="Unfollows" numFmtId="1">
      <sharedItems containsString="0" containsBlank="1" containsNumber="1" containsInteger="1" minValue="50" maxValue="296"/>
    </cacheField>
    <cacheField name="Total_Followers" numFmtId="1">
      <sharedItems containsString="0" containsBlank="1" containsNumber="1" containsInteger="1" minValue="61445" maxValue="397607"/>
    </cacheField>
    <cacheField name="Engagement_Rate" numFmtId="2">
      <sharedItems containsString="0" containsBlank="1" containsNumber="1" minValue="3.08" maxValue="9.99"/>
    </cacheField>
    <cacheField name="Ad_Spend" numFmtId="1">
      <sharedItems containsString="0" containsBlank="1" containsNumber="1" containsInteger="1" minValue="5281" maxValue="27829" count="199">
        <n v="23125"/>
        <n v="22788"/>
        <n v="7810"/>
        <n v="11966"/>
        <n v="26298"/>
        <n v="22029"/>
        <n v="12391"/>
        <n v="14477"/>
        <n v="25040"/>
        <n v="22619"/>
        <n v="12399"/>
        <n v="22456"/>
        <n v="19328"/>
        <n v="21107"/>
        <n v="12277"/>
        <n v="11684"/>
        <n v="14412"/>
        <n v="15924"/>
        <n v="12390"/>
        <n v="25742"/>
        <n v="10495"/>
        <n v="7797"/>
        <n v="15595"/>
        <n v="24617"/>
        <n v="9847"/>
        <n v="13644"/>
        <n v="11421"/>
        <n v="15613"/>
        <n v="23900"/>
        <n v="5836"/>
        <n v="5624"/>
        <n v="10311"/>
        <n v="8274"/>
        <n v="6031"/>
        <n v="27829"/>
        <n v="18267"/>
        <n v="26624"/>
        <n v="26644"/>
        <n v="13051"/>
        <n v="14217"/>
        <n v="16385"/>
        <n v="24548"/>
        <n v="9195"/>
        <n v="18071"/>
        <n v="16875"/>
        <n v="9567"/>
        <n v="20306"/>
        <n v="21134"/>
        <n v="26872"/>
        <n v="10253"/>
        <n v="23963"/>
        <n v="11335"/>
        <n v="12115"/>
        <n v="24358"/>
        <n v="12181"/>
        <n v="17729"/>
        <n v="10881"/>
        <n v="18576"/>
        <n v="9383"/>
        <n v="14178"/>
        <n v="21254"/>
        <n v="14215"/>
        <n v="16921"/>
        <n v="25130"/>
        <n v="25537"/>
        <n v="24943"/>
        <n v="14563"/>
        <n v="26273"/>
        <n v="10858"/>
        <n v="25038"/>
        <n v="9092"/>
        <n v="17662"/>
        <n v="5924"/>
        <n v="25347"/>
        <n v="8910"/>
        <n v="20438"/>
        <n v="8760"/>
        <n v="6625"/>
        <n v="23329"/>
        <n v="7299"/>
        <n v="14496"/>
        <n v="25703"/>
        <n v="15108"/>
        <n v="18867"/>
        <n v="17574"/>
        <n v="12840"/>
        <n v="21079"/>
        <n v="23486"/>
        <n v="5960"/>
        <n v="13301"/>
        <n v="10563"/>
        <n v="19949"/>
        <n v="14273"/>
        <n v="9247"/>
        <n v="11972"/>
        <n v="13314"/>
        <n v="14749"/>
        <n v="6868"/>
        <n v="6027"/>
        <n v="25267"/>
        <n v="5900"/>
        <n v="11181"/>
        <n v="9592"/>
        <n v="5291"/>
        <n v="22244"/>
        <n v="6824"/>
        <n v="24112"/>
        <n v="25478"/>
        <n v="11235"/>
        <n v="6120"/>
        <n v="20572"/>
        <n v="14975"/>
        <n v="22234"/>
        <n v="6532"/>
        <n v="24858"/>
        <n v="13883"/>
        <n v="18654"/>
        <n v="25234"/>
        <n v="6772"/>
        <n v="22428"/>
        <n v="11911"/>
        <n v="21900"/>
        <n v="25542"/>
        <n v="7140"/>
        <n v="20474"/>
        <n v="8698"/>
        <n v="10402"/>
        <n v="26618"/>
        <n v="7975"/>
        <n v="19054"/>
        <n v="13740"/>
        <n v="18442"/>
        <n v="10104"/>
        <n v="21771"/>
        <n v="22191"/>
        <n v="27753"/>
        <n v="23736"/>
        <n v="27393"/>
        <n v="10343"/>
        <n v="25259"/>
        <n v="24827"/>
        <n v="11908"/>
        <n v="11005"/>
        <n v="26333"/>
        <n v="5495"/>
        <n v="15655"/>
        <n v="13763"/>
        <n v="26073"/>
        <n v="12774"/>
        <n v="19000"/>
        <n v="14051"/>
        <n v="27782"/>
        <n v="7859"/>
        <n v="15773"/>
        <n v="20595"/>
        <n v="12031"/>
        <n v="15128"/>
        <n v="11826"/>
        <n v="12562"/>
        <n v="13013"/>
        <n v="12937"/>
        <n v="14534"/>
        <n v="8182"/>
        <n v="10615"/>
        <n v="20109"/>
        <n v="26024"/>
        <n v="26730"/>
        <n v="27575"/>
        <n v="14479"/>
        <n v="15915"/>
        <n v="12767"/>
        <n v="12170"/>
        <n v="7245"/>
        <n v="12985"/>
        <n v="16377"/>
        <n v="11453"/>
        <n v="12323"/>
        <n v="27809"/>
        <n v="21464"/>
        <n v="27126"/>
        <n v="10681"/>
        <n v="5413"/>
        <n v="25058"/>
        <n v="18303"/>
        <n v="5526"/>
        <n v="17460"/>
        <n v="14475"/>
        <n v="20162"/>
        <n v="17103"/>
        <n v="15461"/>
        <n v="22103"/>
        <n v="11625"/>
        <n v="5281"/>
        <n v="13424"/>
        <n v="13140"/>
        <n v="19538"/>
        <n v="7881"/>
        <n v="11418"/>
        <m/>
      </sharedItems>
    </cacheField>
    <cacheField name="follower gain" numFmtId="1">
      <sharedItems containsSemiMixedTypes="0" containsString="0" containsNumber="1" containsInteger="1" minValue="0" maxValue="1397"/>
    </cacheField>
    <cacheField name="Follower Growth Rate" numFmtId="10">
      <sharedItems containsMixedTypes="1" containsNumber="1" minValue="7.9729048800556188E-2" maxValue="1.7836234485988602"/>
    </cacheField>
    <cacheField name="Days (Week_Start_Date)" numFmtId="0" databaseField="0">
      <fieldGroup base="0">
        <rangePr groupBy="days" startDate="2024-06-03T00:00:00" endDate="2025-09-09T00:00:00" groupInterval="7"/>
        <groupItems count="69">
          <s v="&lt;03-06-2024"/>
          <s v="03-06-2024 - 09-06-2024"/>
          <s v="10-06-2024 - 16-06-2024"/>
          <s v="17-06-2024 - 23-06-2024"/>
          <s v="24-06-2024 - 30-06-2024"/>
          <s v="01-07-2024 - 07-07-2024"/>
          <s v="08-07-2024 - 14-07-2024"/>
          <s v="15-07-2024 - 21-07-2024"/>
          <s v="22-07-2024 - 28-07-2024"/>
          <s v="29-07-2024 - 04-08-2024"/>
          <s v="05-08-2024 - 11-08-2024"/>
          <s v="12-08-2024 - 18-08-2024"/>
          <s v="19-08-2024 - 25-08-2024"/>
          <s v="26-08-2024 - 01-09-2024"/>
          <s v="02-09-2024 - 08-09-2024"/>
          <s v="09-09-2024 - 15-09-2024"/>
          <s v="16-09-2024 - 22-09-2024"/>
          <s v="23-09-2024 - 29-09-2024"/>
          <s v="30-09-2024 - 06-10-2024"/>
          <s v="07-10-2024 - 13-10-2024"/>
          <s v="14-10-2024 - 20-10-2024"/>
          <s v="21-10-2024 - 27-10-2024"/>
          <s v="28-10-2024 - 03-11-2024"/>
          <s v="04-11-2024 - 10-11-2024"/>
          <s v="11-11-2024 - 17-11-2024"/>
          <s v="18-11-2024 - 24-11-2024"/>
          <s v="25-11-2024 - 01-12-2024"/>
          <s v="02-12-2024 - 08-12-2024"/>
          <s v="09-12-2024 - 15-12-2024"/>
          <s v="16-12-2024 - 22-12-2024"/>
          <s v="23-12-2024 - 29-12-2024"/>
          <s v="30-12-2024 - 05-01-2025"/>
          <s v="06-01-2025 - 12-01-2025"/>
          <s v="13-01-2025 - 19-01-2025"/>
          <s v="20-01-2025 - 26-01-2025"/>
          <s v="27-01-2025 - 02-02-2025"/>
          <s v="03-02-2025 - 09-02-2025"/>
          <s v="10-02-2025 - 16-02-2025"/>
          <s v="17-02-2025 - 23-02-2025"/>
          <s v="24-02-2025 - 02-03-2025"/>
          <s v="03-03-2025 - 09-03-2025"/>
          <s v="10-03-2025 - 16-03-2025"/>
          <s v="17-03-2025 - 23-03-2025"/>
          <s v="24-03-2025 - 30-03-2025"/>
          <s v="31-03-2025 - 06-04-2025"/>
          <s v="07-04-2025 - 13-04-2025"/>
          <s v="14-04-2025 - 20-04-2025"/>
          <s v="21-04-2025 - 27-04-2025"/>
          <s v="28-04-2025 - 04-05-2025"/>
          <s v="05-05-2025 - 11-05-2025"/>
          <s v="12-05-2025 - 18-05-2025"/>
          <s v="19-05-2025 - 25-05-2025"/>
          <s v="26-05-2025 - 01-06-2025"/>
          <s v="02-06-2025 - 08-06-2025"/>
          <s v="09-06-2025 - 15-06-2025"/>
          <s v="16-06-2025 - 22-06-2025"/>
          <s v="23-06-2025 - 29-06-2025"/>
          <s v="30-06-2025 - 06-07-2025"/>
          <s v="07-07-2025 - 13-07-2025"/>
          <s v="14-07-2025 - 20-07-2025"/>
          <s v="21-07-2025 - 27-07-2025"/>
          <s v="28-07-2025 - 03-08-2025"/>
          <s v="04-08-2025 - 10-08-2025"/>
          <s v="11-08-2025 - 17-08-2025"/>
          <s v="18-08-2025 - 24-08-2025"/>
          <s v="25-08-2025 - 31-08-2025"/>
          <s v="01-09-2025 - 07-09-2025"/>
          <s v="08-09-2025 - 09-09-2025"/>
          <s v="&gt;09-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Instagram"/>
    <n v="1402"/>
    <n v="68"/>
    <n v="124562"/>
    <n v="9.92"/>
    <x v="0"/>
    <n v="1334"/>
    <n v="1.0709526179733788"/>
  </r>
  <r>
    <x v="0"/>
    <s v="Twitter"/>
    <n v="995"/>
    <n v="86"/>
    <n v="227958"/>
    <n v="8.0500000000000007"/>
    <x v="1"/>
    <n v="909"/>
    <n v="0.39875766588582107"/>
  </r>
  <r>
    <x v="0"/>
    <s v="Youtube"/>
    <n v="1472"/>
    <n v="296"/>
    <n v="370242"/>
    <n v="7.72"/>
    <x v="2"/>
    <n v="1176"/>
    <n v="0.31763009058939828"/>
  </r>
  <r>
    <x v="1"/>
    <s v="Instagram"/>
    <n v="1018"/>
    <n v="90"/>
    <n v="92474"/>
    <n v="9.4"/>
    <x v="3"/>
    <n v="928"/>
    <n v="1.0035253152237384"/>
  </r>
  <r>
    <x v="1"/>
    <s v="Twitter"/>
    <n v="1461"/>
    <n v="64"/>
    <n v="328902"/>
    <n v="9.02"/>
    <x v="4"/>
    <n v="1397"/>
    <n v="0.42474658104845819"/>
  </r>
  <r>
    <x v="1"/>
    <s v="Youtube"/>
    <n v="545"/>
    <n v="93"/>
    <n v="391621"/>
    <n v="9.9600000000000009"/>
    <x v="5"/>
    <n v="452"/>
    <n v="0.11541771253329111"/>
  </r>
  <r>
    <x v="2"/>
    <s v="Instagram"/>
    <n v="881"/>
    <n v="291"/>
    <n v="95885"/>
    <n v="5.29"/>
    <x v="6"/>
    <n v="590"/>
    <n v="0.61532043593888508"/>
  </r>
  <r>
    <x v="2"/>
    <s v="Twitter"/>
    <n v="1414"/>
    <n v="131"/>
    <n v="245947"/>
    <n v="8.3000000000000007"/>
    <x v="7"/>
    <n v="1283"/>
    <n v="0.52165710498603357"/>
  </r>
  <r>
    <x v="2"/>
    <s v="Youtube"/>
    <n v="1472"/>
    <n v="170"/>
    <n v="250428"/>
    <n v="4.66"/>
    <x v="8"/>
    <n v="1302"/>
    <n v="0.51990991422684363"/>
  </r>
  <r>
    <x v="3"/>
    <s v="Instagram"/>
    <n v="809"/>
    <n v="197"/>
    <n v="87186"/>
    <n v="9.48"/>
    <x v="9"/>
    <n v="612"/>
    <n v="0.70194756038813566"/>
  </r>
  <r>
    <x v="3"/>
    <s v="Twitter"/>
    <n v="1371"/>
    <n v="250"/>
    <n v="128620"/>
    <n v="7.11"/>
    <x v="10"/>
    <n v="1121"/>
    <n v="0.87155963302752304"/>
  </r>
  <r>
    <x v="3"/>
    <s v="Youtube"/>
    <n v="844"/>
    <n v="144"/>
    <n v="126015"/>
    <n v="9.65"/>
    <x v="11"/>
    <n v="700"/>
    <n v="0.55548942586200056"/>
  </r>
  <r>
    <x v="4"/>
    <s v="Instagram"/>
    <n v="786"/>
    <n v="72"/>
    <n v="178615"/>
    <n v="5.43"/>
    <x v="12"/>
    <n v="714"/>
    <n v="0.39974246283906723"/>
  </r>
  <r>
    <x v="4"/>
    <s v="Twitter"/>
    <n v="845"/>
    <n v="250"/>
    <n v="218228"/>
    <n v="4.5199999999999996"/>
    <x v="13"/>
    <n v="595"/>
    <n v="0.27265062228494968"/>
  </r>
  <r>
    <x v="4"/>
    <s v="Youtube"/>
    <n v="1218"/>
    <n v="101"/>
    <n v="300397"/>
    <n v="4.33"/>
    <x v="14"/>
    <n v="1117"/>
    <n v="0.37184126339477425"/>
  </r>
  <r>
    <x v="5"/>
    <s v="Instagram"/>
    <n v="797"/>
    <n v="130"/>
    <n v="340121"/>
    <n v="8.52"/>
    <x v="15"/>
    <n v="667"/>
    <n v="0.19610667968164272"/>
  </r>
  <r>
    <x v="5"/>
    <s v="Twitter"/>
    <n v="1471"/>
    <n v="100"/>
    <n v="76866"/>
    <n v="8.5500000000000007"/>
    <x v="16"/>
    <n v="1371"/>
    <n v="1.7836234485988602"/>
  </r>
  <r>
    <x v="5"/>
    <s v="Youtube"/>
    <n v="1253"/>
    <n v="136"/>
    <n v="193131"/>
    <n v="7.99"/>
    <x v="17"/>
    <n v="1117"/>
    <n v="0.57836390843520724"/>
  </r>
  <r>
    <x v="6"/>
    <s v="Instagram"/>
    <n v="616"/>
    <n v="257"/>
    <n v="169665"/>
    <n v="6.31"/>
    <x v="18"/>
    <n v="359"/>
    <n v="0.21159343412017798"/>
  </r>
  <r>
    <x v="6"/>
    <s v="Twitter"/>
    <n v="1308"/>
    <n v="210"/>
    <n v="263729"/>
    <n v="8.5299999999999994"/>
    <x v="19"/>
    <n v="1098"/>
    <n v="0.41633646660018431"/>
  </r>
  <r>
    <x v="6"/>
    <s v="Youtube"/>
    <n v="981"/>
    <n v="69"/>
    <n v="206921"/>
    <n v="8.42"/>
    <x v="20"/>
    <n v="912"/>
    <n v="0.44074791828765564"/>
  </r>
  <r>
    <x v="7"/>
    <s v="Instagram"/>
    <n v="866"/>
    <n v="74"/>
    <n v="204121"/>
    <n v="9.34"/>
    <x v="21"/>
    <n v="792"/>
    <n v="0.38800515380583089"/>
  </r>
  <r>
    <x v="7"/>
    <s v="Twitter"/>
    <n v="547"/>
    <n v="183"/>
    <n v="266350"/>
    <n v="5.65"/>
    <x v="22"/>
    <n v="364"/>
    <n v="0.13666228646517742"/>
  </r>
  <r>
    <x v="7"/>
    <s v="Youtube"/>
    <n v="1241"/>
    <n v="116"/>
    <n v="380606"/>
    <n v="4.2"/>
    <x v="23"/>
    <n v="1125"/>
    <n v="0.29558125725816198"/>
  </r>
  <r>
    <x v="8"/>
    <s v="Instagram"/>
    <n v="973"/>
    <n v="104"/>
    <n v="376358"/>
    <n v="3.87"/>
    <x v="24"/>
    <n v="869"/>
    <n v="0.23089717768720205"/>
  </r>
  <r>
    <x v="8"/>
    <s v="Twitter"/>
    <n v="611"/>
    <n v="197"/>
    <n v="79423"/>
    <n v="5.82"/>
    <x v="25"/>
    <n v="414"/>
    <n v="0.52125958475504575"/>
  </r>
  <r>
    <x v="8"/>
    <s v="Youtube"/>
    <n v="983"/>
    <n v="134"/>
    <n v="352178"/>
    <n v="3.55"/>
    <x v="26"/>
    <n v="849"/>
    <n v="0.24107127645679174"/>
  </r>
  <r>
    <x v="9"/>
    <s v="Instagram"/>
    <n v="1449"/>
    <n v="96"/>
    <n v="200636"/>
    <n v="9.92"/>
    <x v="27"/>
    <n v="1353"/>
    <n v="0.67435554935305719"/>
  </r>
  <r>
    <x v="9"/>
    <s v="Twitter"/>
    <n v="752"/>
    <n v="170"/>
    <n v="132756"/>
    <n v="8.17"/>
    <x v="28"/>
    <n v="582"/>
    <n v="0.43839826448522107"/>
  </r>
  <r>
    <x v="9"/>
    <s v="Youtube"/>
    <n v="937"/>
    <n v="179"/>
    <n v="318098"/>
    <n v="5.3"/>
    <x v="29"/>
    <n v="758"/>
    <n v="0.23829134417695177"/>
  </r>
  <r>
    <x v="10"/>
    <s v="Instagram"/>
    <n v="1060"/>
    <n v="83"/>
    <n v="68724"/>
    <n v="5.98"/>
    <x v="30"/>
    <n v="977"/>
    <n v="1.4216285431581397"/>
  </r>
  <r>
    <x v="10"/>
    <s v="Twitter"/>
    <n v="1456"/>
    <n v="265"/>
    <n v="115505"/>
    <n v="7.49"/>
    <x v="31"/>
    <n v="1191"/>
    <n v="1.0311241937578459"/>
  </r>
  <r>
    <x v="10"/>
    <s v="Youtube"/>
    <n v="1109"/>
    <n v="205"/>
    <n v="276722"/>
    <n v="9.3800000000000008"/>
    <x v="32"/>
    <n v="904"/>
    <n v="0.32668165162148294"/>
  </r>
  <r>
    <x v="11"/>
    <s v="Instagram"/>
    <n v="1002"/>
    <n v="93"/>
    <n v="353538"/>
    <n v="5.84"/>
    <x v="33"/>
    <n v="909"/>
    <n v="0.25711521816608118"/>
  </r>
  <r>
    <x v="11"/>
    <s v="Twitter"/>
    <n v="571"/>
    <n v="189"/>
    <n v="61445"/>
    <n v="5.41"/>
    <x v="34"/>
    <n v="382"/>
    <n v="0.62169419806330861"/>
  </r>
  <r>
    <x v="11"/>
    <s v="Youtube"/>
    <n v="1240"/>
    <n v="231"/>
    <n v="165035"/>
    <n v="6.05"/>
    <x v="35"/>
    <n v="1009"/>
    <n v="0.6113854636895204"/>
  </r>
  <r>
    <x v="12"/>
    <s v="Instagram"/>
    <n v="1154"/>
    <n v="132"/>
    <n v="194595"/>
    <n v="7.54"/>
    <x v="36"/>
    <n v="1022"/>
    <n v="0.52519335029163128"/>
  </r>
  <r>
    <x v="12"/>
    <s v="Twitter"/>
    <n v="537"/>
    <n v="275"/>
    <n v="236238"/>
    <n v="5.87"/>
    <x v="37"/>
    <n v="262"/>
    <n v="0.11090510417460359"/>
  </r>
  <r>
    <x v="12"/>
    <s v="Youtube"/>
    <n v="1456"/>
    <n v="290"/>
    <n v="271044"/>
    <n v="7.17"/>
    <x v="38"/>
    <n v="1166"/>
    <n v="0.43018845648676968"/>
  </r>
  <r>
    <x v="13"/>
    <s v="Instagram"/>
    <n v="721"/>
    <n v="206"/>
    <n v="334887"/>
    <n v="6.05"/>
    <x v="39"/>
    <n v="515"/>
    <n v="0.15378321642822804"/>
  </r>
  <r>
    <x v="13"/>
    <s v="Twitter"/>
    <n v="1098"/>
    <n v="142"/>
    <n v="359150"/>
    <n v="7.51"/>
    <x v="40"/>
    <n v="956"/>
    <n v="0.26618404566337184"/>
  </r>
  <r>
    <x v="13"/>
    <s v="Youtube"/>
    <n v="1096"/>
    <n v="65"/>
    <n v="358295"/>
    <n v="7.66"/>
    <x v="41"/>
    <n v="1031"/>
    <n v="0.28775171297394603"/>
  </r>
  <r>
    <x v="14"/>
    <s v="Instagram"/>
    <n v="912"/>
    <n v="275"/>
    <n v="368454"/>
    <n v="6.03"/>
    <x v="42"/>
    <n v="637"/>
    <n v="0.1728845391826388"/>
  </r>
  <r>
    <x v="14"/>
    <s v="Twitter"/>
    <n v="1430"/>
    <n v="162"/>
    <n v="269082"/>
    <n v="3.4"/>
    <x v="43"/>
    <n v="1268"/>
    <n v="0.47123181781018425"/>
  </r>
  <r>
    <x v="14"/>
    <s v="Youtube"/>
    <n v="854"/>
    <n v="129"/>
    <n v="310903"/>
    <n v="7.83"/>
    <x v="44"/>
    <n v="725"/>
    <n v="0.23319170287838972"/>
  </r>
  <r>
    <x v="15"/>
    <s v="Instagram"/>
    <n v="681"/>
    <n v="210"/>
    <n v="248581"/>
    <n v="8.76"/>
    <x v="45"/>
    <n v="471"/>
    <n v="0.18947546272643526"/>
  </r>
  <r>
    <x v="15"/>
    <s v="Twitter"/>
    <n v="1373"/>
    <n v="82"/>
    <n v="371015"/>
    <n v="9.52"/>
    <x v="46"/>
    <n v="1291"/>
    <n v="0.34796436801746561"/>
  </r>
  <r>
    <x v="15"/>
    <s v="Youtube"/>
    <n v="685"/>
    <n v="285"/>
    <n v="177452"/>
    <n v="3.36"/>
    <x v="47"/>
    <n v="400"/>
    <n v="0.22541306944976669"/>
  </r>
  <r>
    <x v="16"/>
    <s v="Instagram"/>
    <n v="1290"/>
    <n v="177"/>
    <n v="80745"/>
    <n v="9.2200000000000006"/>
    <x v="48"/>
    <n v="1113"/>
    <n v="1.3784135240572171"/>
  </r>
  <r>
    <x v="16"/>
    <s v="Twitter"/>
    <n v="1437"/>
    <n v="239"/>
    <n v="362441"/>
    <n v="5.57"/>
    <x v="49"/>
    <n v="1198"/>
    <n v="0.33053655629467971"/>
  </r>
  <r>
    <x v="16"/>
    <s v="Youtube"/>
    <n v="769"/>
    <n v="295"/>
    <n v="344771"/>
    <n v="8.06"/>
    <x v="50"/>
    <n v="474"/>
    <n v="0.13748256088824176"/>
  </r>
  <r>
    <x v="17"/>
    <s v="Instagram"/>
    <n v="1416"/>
    <n v="284"/>
    <n v="374952"/>
    <n v="3.45"/>
    <x v="51"/>
    <n v="1132"/>
    <n v="0.30190531054641656"/>
  </r>
  <r>
    <x v="17"/>
    <s v="Twitter"/>
    <n v="998"/>
    <n v="154"/>
    <n v="179781"/>
    <n v="9.58"/>
    <x v="52"/>
    <n v="844"/>
    <n v="0.46946006530167261"/>
  </r>
  <r>
    <x v="17"/>
    <s v="Youtube"/>
    <n v="1421"/>
    <n v="246"/>
    <n v="358581"/>
    <n v="8.8800000000000008"/>
    <x v="53"/>
    <n v="1175"/>
    <n v="0.3276804961779905"/>
  </r>
  <r>
    <x v="18"/>
    <s v="Instagram"/>
    <n v="764"/>
    <n v="205"/>
    <n v="319294"/>
    <n v="6.23"/>
    <x v="54"/>
    <n v="559"/>
    <n v="0.17507375647522347"/>
  </r>
  <r>
    <x v="18"/>
    <s v="Twitter"/>
    <n v="678"/>
    <n v="124"/>
    <n v="192022"/>
    <n v="8.4499999999999993"/>
    <x v="55"/>
    <n v="554"/>
    <n v="0.28850860838862213"/>
  </r>
  <r>
    <x v="18"/>
    <s v="Youtube"/>
    <n v="1328"/>
    <n v="103"/>
    <n v="151462"/>
    <n v="8.4"/>
    <x v="56"/>
    <n v="1225"/>
    <n v="0.80878372132944243"/>
  </r>
  <r>
    <x v="19"/>
    <s v="Instagram"/>
    <n v="1161"/>
    <n v="269"/>
    <n v="188193"/>
    <n v="7.34"/>
    <x v="57"/>
    <n v="892"/>
    <n v="0.47398149771776843"/>
  </r>
  <r>
    <x v="19"/>
    <s v="Twitter"/>
    <n v="588"/>
    <n v="52"/>
    <n v="292040"/>
    <n v="8.14"/>
    <x v="58"/>
    <n v="536"/>
    <n v="0.18353650184906178"/>
  </r>
  <r>
    <x v="19"/>
    <s v="Youtube"/>
    <n v="1457"/>
    <n v="215"/>
    <n v="325325"/>
    <n v="9.58"/>
    <x v="59"/>
    <n v="1242"/>
    <n v="0.38177207407976638"/>
  </r>
  <r>
    <x v="20"/>
    <s v="Instagram"/>
    <n v="1190"/>
    <n v="242"/>
    <n v="86849"/>
    <n v="8.06"/>
    <x v="60"/>
    <n v="948"/>
    <n v="1.0915497012055406"/>
  </r>
  <r>
    <x v="20"/>
    <s v="Twitter"/>
    <n v="886"/>
    <n v="124"/>
    <n v="141161"/>
    <n v="8.19"/>
    <x v="61"/>
    <n v="762"/>
    <n v="0.53980915408646857"/>
  </r>
  <r>
    <x v="20"/>
    <s v="Youtube"/>
    <n v="1237"/>
    <n v="155"/>
    <n v="149916"/>
    <n v="4.4800000000000004"/>
    <x v="62"/>
    <n v="1082"/>
    <n v="0.72173750633688194"/>
  </r>
  <r>
    <x v="21"/>
    <s v="Instagram"/>
    <n v="1435"/>
    <n v="261"/>
    <n v="308533"/>
    <n v="4.5199999999999996"/>
    <x v="63"/>
    <n v="1174"/>
    <n v="0.38051035059458793"/>
  </r>
  <r>
    <x v="21"/>
    <s v="Twitter"/>
    <n v="746"/>
    <n v="282"/>
    <n v="293894"/>
    <n v="5.42"/>
    <x v="64"/>
    <n v="464"/>
    <n v="0.15788005199153438"/>
  </r>
  <r>
    <x v="21"/>
    <s v="Youtube"/>
    <n v="759"/>
    <n v="216"/>
    <n v="147656"/>
    <n v="4.08"/>
    <x v="65"/>
    <n v="543"/>
    <n v="0.36774665438586984"/>
  </r>
  <r>
    <x v="22"/>
    <s v="Instagram"/>
    <n v="1437"/>
    <n v="235"/>
    <n v="326791"/>
    <n v="4.0599999999999996"/>
    <x v="66"/>
    <n v="1202"/>
    <n v="0.36781918718691764"/>
  </r>
  <r>
    <x v="22"/>
    <s v="Twitter"/>
    <n v="1463"/>
    <n v="73"/>
    <n v="348877"/>
    <n v="9.91"/>
    <x v="67"/>
    <n v="1390"/>
    <n v="0.39842122008616215"/>
  </r>
  <r>
    <x v="22"/>
    <s v="Youtube"/>
    <n v="1208"/>
    <n v="224"/>
    <n v="122730"/>
    <n v="8.7200000000000006"/>
    <x v="68"/>
    <n v="984"/>
    <n v="0.80175996088975798"/>
  </r>
  <r>
    <x v="23"/>
    <s v="Instagram"/>
    <n v="1391"/>
    <n v="187"/>
    <n v="306508"/>
    <n v="8.3800000000000008"/>
    <x v="69"/>
    <n v="1204"/>
    <n v="0.39281193313061974"/>
  </r>
  <r>
    <x v="23"/>
    <s v="Twitter"/>
    <n v="655"/>
    <n v="123"/>
    <n v="202472"/>
    <n v="7.56"/>
    <x v="70"/>
    <n v="532"/>
    <n v="0.26275238057607969"/>
  </r>
  <r>
    <x v="23"/>
    <s v="Youtube"/>
    <n v="1148"/>
    <n v="90"/>
    <n v="227249"/>
    <n v="7.24"/>
    <x v="71"/>
    <n v="1058"/>
    <n v="0.46556860536239986"/>
  </r>
  <r>
    <x v="24"/>
    <s v="Instagram"/>
    <n v="946"/>
    <n v="270"/>
    <n v="246567"/>
    <n v="4.53"/>
    <x v="72"/>
    <n v="676"/>
    <n v="0.27416483146568682"/>
  </r>
  <r>
    <x v="24"/>
    <s v="Twitter"/>
    <n v="791"/>
    <n v="214"/>
    <n v="114738"/>
    <n v="6.62"/>
    <x v="73"/>
    <n v="577"/>
    <n v="0.5028848332723248"/>
  </r>
  <r>
    <x v="24"/>
    <s v="Youtube"/>
    <n v="793"/>
    <n v="111"/>
    <n v="333500"/>
    <n v="6.36"/>
    <x v="74"/>
    <n v="682"/>
    <n v="0.2044977511244378"/>
  </r>
  <r>
    <x v="25"/>
    <s v="Instagram"/>
    <n v="663"/>
    <n v="213"/>
    <n v="352677"/>
    <n v="9"/>
    <x v="75"/>
    <n v="450"/>
    <n v="0.1275955052356689"/>
  </r>
  <r>
    <x v="25"/>
    <s v="Twitter"/>
    <n v="954"/>
    <n v="271"/>
    <n v="160936"/>
    <n v="8.83"/>
    <x v="76"/>
    <n v="683"/>
    <n v="0.42439230501565839"/>
  </r>
  <r>
    <x v="25"/>
    <s v="Youtube"/>
    <n v="1313"/>
    <n v="159"/>
    <n v="197183"/>
    <n v="9.7100000000000009"/>
    <x v="77"/>
    <n v="1154"/>
    <n v="0.58524314976443204"/>
  </r>
  <r>
    <x v="26"/>
    <s v="Instagram"/>
    <n v="895"/>
    <n v="87"/>
    <n v="171271"/>
    <n v="6.68"/>
    <x v="78"/>
    <n v="808"/>
    <n v="0.47176696580273364"/>
  </r>
  <r>
    <x v="26"/>
    <s v="Twitter"/>
    <n v="1027"/>
    <n v="156"/>
    <n v="111293"/>
    <n v="5.51"/>
    <x v="79"/>
    <n v="871"/>
    <n v="0.78261885293774092"/>
  </r>
  <r>
    <x v="26"/>
    <s v="Youtube"/>
    <n v="990"/>
    <n v="286"/>
    <n v="351493"/>
    <n v="7.97"/>
    <x v="80"/>
    <n v="704"/>
    <n v="0.20028848369668811"/>
  </r>
  <r>
    <x v="27"/>
    <s v="Instagram"/>
    <n v="875"/>
    <n v="264"/>
    <n v="345631"/>
    <n v="9.18"/>
    <x v="81"/>
    <n v="611"/>
    <n v="0.17677812464738407"/>
  </r>
  <r>
    <x v="27"/>
    <s v="Twitter"/>
    <n v="599"/>
    <n v="194"/>
    <n v="105622"/>
    <n v="6.44"/>
    <x v="82"/>
    <n v="405"/>
    <n v="0.38344284334702994"/>
  </r>
  <r>
    <x v="27"/>
    <s v="Youtube"/>
    <n v="630"/>
    <n v="248"/>
    <n v="119054"/>
    <n v="5.0199999999999996"/>
    <x v="83"/>
    <n v="382"/>
    <n v="0.32086280175382598"/>
  </r>
  <r>
    <x v="28"/>
    <s v="Instagram"/>
    <n v="1350"/>
    <n v="233"/>
    <n v="171670"/>
    <n v="4.53"/>
    <x v="84"/>
    <n v="1117"/>
    <n v="0.65066697734024581"/>
  </r>
  <r>
    <x v="28"/>
    <s v="Twitter"/>
    <n v="632"/>
    <n v="155"/>
    <n v="170432"/>
    <n v="9.17"/>
    <x v="85"/>
    <n v="477"/>
    <n v="0.27987701840030044"/>
  </r>
  <r>
    <x v="28"/>
    <s v="Youtube"/>
    <n v="1182"/>
    <n v="83"/>
    <n v="140300"/>
    <n v="3.27"/>
    <x v="86"/>
    <n v="1099"/>
    <n v="0.78332145402708486"/>
  </r>
  <r>
    <x v="29"/>
    <s v="Instagram"/>
    <n v="661"/>
    <n v="94"/>
    <n v="116538"/>
    <n v="5.31"/>
    <x v="87"/>
    <n v="567"/>
    <n v="0.48653658034289238"/>
  </r>
  <r>
    <x v="29"/>
    <s v="Twitter"/>
    <n v="1360"/>
    <n v="227"/>
    <n v="176902"/>
    <n v="6.03"/>
    <x v="88"/>
    <n v="1133"/>
    <n v="0.64046760353189902"/>
  </r>
  <r>
    <x v="29"/>
    <s v="Youtube"/>
    <n v="935"/>
    <n v="85"/>
    <n v="326821"/>
    <n v="8.89"/>
    <x v="89"/>
    <n v="850"/>
    <n v="0.260081206532016"/>
  </r>
  <r>
    <x v="30"/>
    <s v="Instagram"/>
    <n v="664"/>
    <n v="251"/>
    <n v="240598"/>
    <n v="4.79"/>
    <x v="90"/>
    <n v="413"/>
    <n v="0.17165562473503521"/>
  </r>
  <r>
    <x v="30"/>
    <s v="Twitter"/>
    <n v="1490"/>
    <n v="103"/>
    <n v="373274"/>
    <n v="4.8"/>
    <x v="91"/>
    <n v="1387"/>
    <n v="0.37157691133055076"/>
  </r>
  <r>
    <x v="30"/>
    <s v="Youtube"/>
    <n v="601"/>
    <n v="64"/>
    <n v="123272"/>
    <n v="4.07"/>
    <x v="92"/>
    <n v="537"/>
    <n v="0.43562203906807706"/>
  </r>
  <r>
    <x v="31"/>
    <s v="Instagram"/>
    <n v="613"/>
    <n v="170"/>
    <n v="139266"/>
    <n v="6.06"/>
    <x v="93"/>
    <n v="443"/>
    <n v="0.31809630491290047"/>
  </r>
  <r>
    <x v="31"/>
    <s v="Twitter"/>
    <n v="1340"/>
    <n v="57"/>
    <n v="155927"/>
    <n v="7.79"/>
    <x v="94"/>
    <n v="1283"/>
    <n v="0.82282093543773693"/>
  </r>
  <r>
    <x v="31"/>
    <s v="Youtube"/>
    <n v="953"/>
    <n v="228"/>
    <n v="258398"/>
    <n v="9.0500000000000007"/>
    <x v="95"/>
    <n v="725"/>
    <n v="0.28057492705051895"/>
  </r>
  <r>
    <x v="32"/>
    <s v="Instagram"/>
    <n v="532"/>
    <n v="65"/>
    <n v="338561"/>
    <n v="3.5"/>
    <x v="96"/>
    <n v="467"/>
    <n v="0.137936738135816"/>
  </r>
  <r>
    <x v="32"/>
    <s v="Twitter"/>
    <n v="1414"/>
    <n v="60"/>
    <n v="341856"/>
    <n v="8.76"/>
    <x v="97"/>
    <n v="1354"/>
    <n v="0.39607320041186933"/>
  </r>
  <r>
    <x v="32"/>
    <s v="Youtube"/>
    <n v="685"/>
    <n v="165"/>
    <n v="175860"/>
    <n v="6.26"/>
    <x v="98"/>
    <n v="520"/>
    <n v="0.2956897532127829"/>
  </r>
  <r>
    <x v="33"/>
    <s v="Instagram"/>
    <n v="601"/>
    <n v="159"/>
    <n v="327722"/>
    <n v="3.33"/>
    <x v="99"/>
    <n v="442"/>
    <n v="0.13487040845594742"/>
  </r>
  <r>
    <x v="33"/>
    <s v="Twitter"/>
    <n v="841"/>
    <n v="295"/>
    <n v="271638"/>
    <n v="9.15"/>
    <x v="100"/>
    <n v="546"/>
    <n v="0.20100280520398472"/>
  </r>
  <r>
    <x v="33"/>
    <s v="Youtube"/>
    <n v="1105"/>
    <n v="261"/>
    <n v="333851"/>
    <n v="6.03"/>
    <x v="101"/>
    <n v="844"/>
    <n v="0.2528073901231388"/>
  </r>
  <r>
    <x v="34"/>
    <s v="Instagram"/>
    <n v="566"/>
    <n v="225"/>
    <n v="368984"/>
    <n v="9.82"/>
    <x v="102"/>
    <n v="341"/>
    <n v="9.2415931314094923E-2"/>
  </r>
  <r>
    <x v="34"/>
    <s v="Twitter"/>
    <n v="1149"/>
    <n v="280"/>
    <n v="167310"/>
    <n v="3.7"/>
    <x v="103"/>
    <n v="869"/>
    <n v="0.51939513477975008"/>
  </r>
  <r>
    <x v="34"/>
    <s v="Youtube"/>
    <n v="819"/>
    <n v="101"/>
    <n v="194811"/>
    <n v="3.35"/>
    <x v="104"/>
    <n v="718"/>
    <n v="0.36856235017529809"/>
  </r>
  <r>
    <x v="35"/>
    <s v="Instagram"/>
    <n v="795"/>
    <n v="60"/>
    <n v="314982"/>
    <n v="7.31"/>
    <x v="105"/>
    <n v="735"/>
    <n v="0.23334666742861496"/>
  </r>
  <r>
    <x v="35"/>
    <s v="Twitter"/>
    <n v="681"/>
    <n v="158"/>
    <n v="75960"/>
    <n v="3.13"/>
    <x v="106"/>
    <n v="523"/>
    <n v="0.6885202738283307"/>
  </r>
  <r>
    <x v="35"/>
    <s v="Youtube"/>
    <n v="534"/>
    <n v="112"/>
    <n v="360759"/>
    <n v="4.8899999999999997"/>
    <x v="107"/>
    <n v="422"/>
    <n v="0.11697559866836309"/>
  </r>
  <r>
    <x v="36"/>
    <s v="Instagram"/>
    <n v="1066"/>
    <n v="151"/>
    <n v="297090"/>
    <n v="8.6300000000000008"/>
    <x v="108"/>
    <n v="915"/>
    <n v="0.30798747854185599"/>
  </r>
  <r>
    <x v="36"/>
    <s v="Twitter"/>
    <n v="1270"/>
    <n v="162"/>
    <n v="92040"/>
    <n v="8.0299999999999994"/>
    <x v="109"/>
    <n v="1108"/>
    <n v="1.2038244241634073"/>
  </r>
  <r>
    <x v="36"/>
    <s v="Youtube"/>
    <n v="536"/>
    <n v="198"/>
    <n v="174610"/>
    <n v="7.85"/>
    <x v="110"/>
    <n v="338"/>
    <n v="0.19357425118836263"/>
  </r>
  <r>
    <x v="37"/>
    <s v="Instagram"/>
    <n v="819"/>
    <n v="95"/>
    <n v="177376"/>
    <n v="6.12"/>
    <x v="111"/>
    <n v="724"/>
    <n v="0.40817246978170663"/>
  </r>
  <r>
    <x v="37"/>
    <s v="Twitter"/>
    <n v="681"/>
    <n v="218"/>
    <n v="198882"/>
    <n v="7.16"/>
    <x v="112"/>
    <n v="463"/>
    <n v="0.23280135960016493"/>
  </r>
  <r>
    <x v="37"/>
    <s v="Youtube"/>
    <n v="646"/>
    <n v="290"/>
    <n v="336383"/>
    <n v="7.04"/>
    <x v="113"/>
    <n v="356"/>
    <n v="0.10583174536168594"/>
  </r>
  <r>
    <x v="38"/>
    <s v="Instagram"/>
    <n v="645"/>
    <n v="267"/>
    <n v="346890"/>
    <n v="3.71"/>
    <x v="114"/>
    <n v="378"/>
    <n v="0.10896826083196401"/>
  </r>
  <r>
    <x v="38"/>
    <s v="Twitter"/>
    <n v="886"/>
    <n v="250"/>
    <n v="168170"/>
    <n v="4.12"/>
    <x v="115"/>
    <n v="636"/>
    <n v="0.37818873758696553"/>
  </r>
  <r>
    <x v="38"/>
    <s v="Youtube"/>
    <n v="978"/>
    <n v="279"/>
    <n v="368872"/>
    <n v="6.82"/>
    <x v="116"/>
    <n v="699"/>
    <n v="0.18949662755644234"/>
  </r>
  <r>
    <x v="39"/>
    <s v="Instagram"/>
    <n v="1444"/>
    <n v="165"/>
    <n v="116436"/>
    <n v="8.2200000000000006"/>
    <x v="117"/>
    <n v="1279"/>
    <n v="1.0984575217286749"/>
  </r>
  <r>
    <x v="39"/>
    <s v="Twitter"/>
    <n v="1234"/>
    <n v="228"/>
    <n v="127502"/>
    <n v="7.71"/>
    <x v="118"/>
    <n v="1006"/>
    <n v="0.78900723125911754"/>
  </r>
  <r>
    <x v="39"/>
    <s v="Youtube"/>
    <n v="665"/>
    <n v="187"/>
    <n v="274567"/>
    <n v="7.39"/>
    <x v="119"/>
    <n v="478"/>
    <n v="0.17409229805475532"/>
  </r>
  <r>
    <x v="40"/>
    <s v="Instagram"/>
    <n v="631"/>
    <n v="86"/>
    <n v="295090"/>
    <n v="7.89"/>
    <x v="120"/>
    <n v="545"/>
    <n v="0.18468941678809855"/>
  </r>
  <r>
    <x v="40"/>
    <s v="Twitter"/>
    <n v="1159"/>
    <n v="154"/>
    <n v="194994"/>
    <n v="6.39"/>
    <x v="121"/>
    <n v="1005"/>
    <n v="0.51540047386073418"/>
  </r>
  <r>
    <x v="40"/>
    <s v="Youtube"/>
    <n v="950"/>
    <n v="185"/>
    <n v="340750"/>
    <n v="6.77"/>
    <x v="122"/>
    <n v="765"/>
    <n v="0.22450476889214968"/>
  </r>
  <r>
    <x v="41"/>
    <s v="Instagram"/>
    <n v="693"/>
    <n v="129"/>
    <n v="296031"/>
    <n v="3.41"/>
    <x v="123"/>
    <n v="564"/>
    <n v="0.19052058737091723"/>
  </r>
  <r>
    <x v="41"/>
    <s v="Twitter"/>
    <n v="576"/>
    <n v="80"/>
    <n v="345688"/>
    <n v="4.1100000000000003"/>
    <x v="124"/>
    <n v="496"/>
    <n v="0.14348198375413668"/>
  </r>
  <r>
    <x v="41"/>
    <s v="Youtube"/>
    <n v="1274"/>
    <n v="146"/>
    <n v="263488"/>
    <n v="9.58"/>
    <x v="125"/>
    <n v="1128"/>
    <n v="0.42810298761233906"/>
  </r>
  <r>
    <x v="42"/>
    <s v="Instagram"/>
    <n v="818"/>
    <n v="253"/>
    <n v="184911"/>
    <n v="3.39"/>
    <x v="126"/>
    <n v="565"/>
    <n v="0.30555240088474994"/>
  </r>
  <r>
    <x v="42"/>
    <s v="Twitter"/>
    <n v="975"/>
    <n v="162"/>
    <n v="124497"/>
    <n v="9.58"/>
    <x v="127"/>
    <n v="813"/>
    <n v="0.65302778380201931"/>
  </r>
  <r>
    <x v="42"/>
    <s v="Youtube"/>
    <n v="1398"/>
    <n v="97"/>
    <n v="397607"/>
    <n v="5.09"/>
    <x v="128"/>
    <n v="1301"/>
    <n v="0.32720751898231165"/>
  </r>
  <r>
    <x v="43"/>
    <s v="Instagram"/>
    <n v="591"/>
    <n v="155"/>
    <n v="138521"/>
    <n v="7.85"/>
    <x v="129"/>
    <n v="436"/>
    <n v="0.31475371965261584"/>
  </r>
  <r>
    <x v="43"/>
    <s v="Twitter"/>
    <n v="1232"/>
    <n v="254"/>
    <n v="107718"/>
    <n v="9.7100000000000009"/>
    <x v="130"/>
    <n v="978"/>
    <n v="0.90792625187990861"/>
  </r>
  <r>
    <x v="43"/>
    <s v="Youtube"/>
    <n v="1425"/>
    <n v="58"/>
    <n v="202234"/>
    <n v="6.67"/>
    <x v="131"/>
    <n v="1367"/>
    <n v="0.67594964249334932"/>
  </r>
  <r>
    <x v="44"/>
    <s v="Instagram"/>
    <n v="1417"/>
    <n v="80"/>
    <n v="340987"/>
    <n v="6.13"/>
    <x v="132"/>
    <n v="1337"/>
    <n v="0.3920970594186875"/>
  </r>
  <r>
    <x v="44"/>
    <s v="Twitter"/>
    <n v="1222"/>
    <n v="208"/>
    <n v="340098"/>
    <n v="7.34"/>
    <x v="133"/>
    <n v="1014"/>
    <n v="0.29814935695005557"/>
  </r>
  <r>
    <x v="44"/>
    <s v="Youtube"/>
    <n v="1071"/>
    <n v="131"/>
    <n v="254727"/>
    <n v="6.87"/>
    <x v="134"/>
    <n v="940"/>
    <n v="0.36902252215116577"/>
  </r>
  <r>
    <x v="45"/>
    <s v="Instagram"/>
    <n v="772"/>
    <n v="82"/>
    <n v="345659"/>
    <n v="3.52"/>
    <x v="135"/>
    <n v="690"/>
    <n v="0.19961869935398757"/>
  </r>
  <r>
    <x v="45"/>
    <s v="Twitter"/>
    <n v="1472"/>
    <n v="137"/>
    <n v="213950"/>
    <n v="6.96"/>
    <x v="136"/>
    <n v="1335"/>
    <n v="0.62397756485160083"/>
  </r>
  <r>
    <x v="45"/>
    <s v="Youtube"/>
    <n v="1472"/>
    <n v="281"/>
    <n v="258115"/>
    <n v="7.23"/>
    <x v="137"/>
    <n v="1191"/>
    <n v="0.46142223427541984"/>
  </r>
  <r>
    <x v="46"/>
    <s v="Instagram"/>
    <n v="585"/>
    <n v="232"/>
    <n v="321258"/>
    <n v="7.42"/>
    <x v="138"/>
    <n v="353"/>
    <n v="0.10988053215795404"/>
  </r>
  <r>
    <x v="46"/>
    <s v="Twitter"/>
    <n v="747"/>
    <n v="261"/>
    <n v="338650"/>
    <n v="7.73"/>
    <x v="139"/>
    <n v="486"/>
    <n v="0.14351099955706481"/>
  </r>
  <r>
    <x v="46"/>
    <s v="Youtube"/>
    <n v="1113"/>
    <n v="224"/>
    <n v="272989"/>
    <n v="5.13"/>
    <x v="140"/>
    <n v="889"/>
    <n v="0.32565414723670183"/>
  </r>
  <r>
    <x v="47"/>
    <s v="Instagram"/>
    <n v="1100"/>
    <n v="117"/>
    <n v="260204"/>
    <n v="4.4000000000000004"/>
    <x v="141"/>
    <n v="983"/>
    <n v="0.37778051067623863"/>
  </r>
  <r>
    <x v="47"/>
    <s v="Twitter"/>
    <n v="751"/>
    <n v="170"/>
    <n v="283278"/>
    <n v="3.49"/>
    <x v="142"/>
    <n v="581"/>
    <n v="0.20509887813384731"/>
  </r>
  <r>
    <x v="47"/>
    <s v="Youtube"/>
    <n v="864"/>
    <n v="50"/>
    <n v="277445"/>
    <n v="3.57"/>
    <x v="143"/>
    <n v="814"/>
    <n v="0.29339148299662998"/>
  </r>
  <r>
    <x v="48"/>
    <s v="Instagram"/>
    <n v="1146"/>
    <n v="227"/>
    <n v="353781"/>
    <n v="6.41"/>
    <x v="144"/>
    <n v="919"/>
    <n v="0.25976522198761381"/>
  </r>
  <r>
    <x v="48"/>
    <s v="Twitter"/>
    <n v="883"/>
    <n v="207"/>
    <n v="265019"/>
    <n v="6.04"/>
    <x v="145"/>
    <n v="676"/>
    <n v="0.25507605115104953"/>
  </r>
  <r>
    <x v="48"/>
    <s v="Youtube"/>
    <n v="622"/>
    <n v="163"/>
    <n v="231925"/>
    <n v="9.18"/>
    <x v="146"/>
    <n v="459"/>
    <n v="0.19790880672631239"/>
  </r>
  <r>
    <x v="49"/>
    <s v="Instagram"/>
    <n v="837"/>
    <n v="261"/>
    <n v="366149"/>
    <n v="6.54"/>
    <x v="147"/>
    <n v="576"/>
    <n v="0.15731300645365684"/>
  </r>
  <r>
    <x v="49"/>
    <s v="Twitter"/>
    <n v="544"/>
    <n v="97"/>
    <n v="168375"/>
    <n v="8.66"/>
    <x v="148"/>
    <n v="447"/>
    <n v="0.26547884187082404"/>
  </r>
  <r>
    <x v="49"/>
    <s v="Youtube"/>
    <n v="624"/>
    <n v="247"/>
    <n v="252763"/>
    <n v="3.89"/>
    <x v="149"/>
    <n v="377"/>
    <n v="0.1491515767734993"/>
  </r>
  <r>
    <x v="50"/>
    <s v="Instagram"/>
    <n v="1073"/>
    <n v="141"/>
    <n v="118393"/>
    <n v="7.95"/>
    <x v="150"/>
    <n v="932"/>
    <n v="0.78720870321725112"/>
  </r>
  <r>
    <x v="50"/>
    <s v="Twitter"/>
    <n v="1430"/>
    <n v="74"/>
    <n v="327012"/>
    <n v="6.66"/>
    <x v="151"/>
    <n v="1356"/>
    <n v="0.41466368206671317"/>
  </r>
  <r>
    <x v="50"/>
    <s v="Youtube"/>
    <n v="1358"/>
    <n v="77"/>
    <n v="169688"/>
    <n v="5.25"/>
    <x v="152"/>
    <n v="1281"/>
    <n v="0.75491490264485406"/>
  </r>
  <r>
    <x v="51"/>
    <s v="Instagram"/>
    <n v="1242"/>
    <n v="201"/>
    <n v="271935"/>
    <n v="5.07"/>
    <x v="153"/>
    <n v="1041"/>
    <n v="0.3828120690606211"/>
  </r>
  <r>
    <x v="51"/>
    <s v="Twitter"/>
    <n v="1389"/>
    <n v="205"/>
    <n v="315981"/>
    <n v="7.62"/>
    <x v="154"/>
    <n v="1184"/>
    <n v="0.37470607409939205"/>
  </r>
  <r>
    <x v="51"/>
    <s v="Youtube"/>
    <n v="826"/>
    <n v="142"/>
    <n v="341016"/>
    <n v="7.44"/>
    <x v="155"/>
    <n v="684"/>
    <n v="0.20057709902174681"/>
  </r>
  <r>
    <x v="52"/>
    <s v="Instagram"/>
    <n v="618"/>
    <n v="264"/>
    <n v="285164"/>
    <n v="4.8600000000000003"/>
    <x v="156"/>
    <n v="354"/>
    <n v="0.12413909189098205"/>
  </r>
  <r>
    <x v="52"/>
    <s v="Twitter"/>
    <n v="1419"/>
    <n v="293"/>
    <n v="116632"/>
    <n v="6.93"/>
    <x v="157"/>
    <n v="1126"/>
    <n v="0.96542972769051372"/>
  </r>
  <r>
    <x v="52"/>
    <s v="Youtube"/>
    <n v="637"/>
    <n v="68"/>
    <n v="115694"/>
    <n v="9.99"/>
    <x v="158"/>
    <n v="569"/>
    <n v="0.49181461441388491"/>
  </r>
  <r>
    <x v="53"/>
    <s v="Instagram"/>
    <n v="917"/>
    <n v="187"/>
    <n v="64444"/>
    <n v="5.22"/>
    <x v="159"/>
    <n v="730"/>
    <n v="1.1327664328719507"/>
  </r>
  <r>
    <x v="53"/>
    <s v="Twitter"/>
    <n v="810"/>
    <n v="232"/>
    <n v="362559"/>
    <n v="5.17"/>
    <x v="160"/>
    <n v="578"/>
    <n v="0.15942232850377458"/>
  </r>
  <r>
    <x v="53"/>
    <s v="Youtube"/>
    <n v="1183"/>
    <n v="248"/>
    <n v="226881"/>
    <n v="5.17"/>
    <x v="161"/>
    <n v="935"/>
    <n v="0.41211031333606601"/>
  </r>
  <r>
    <x v="54"/>
    <s v="Instagram"/>
    <n v="765"/>
    <n v="67"/>
    <n v="283537"/>
    <n v="6.18"/>
    <x v="162"/>
    <n v="698"/>
    <n v="0.24617598408673294"/>
  </r>
  <r>
    <x v="54"/>
    <s v="Twitter"/>
    <n v="540"/>
    <n v="215"/>
    <n v="62837"/>
    <n v="5.3"/>
    <x v="163"/>
    <n v="325"/>
    <n v="0.5172111972245651"/>
  </r>
  <r>
    <x v="54"/>
    <s v="Youtube"/>
    <n v="1145"/>
    <n v="151"/>
    <n v="182759"/>
    <n v="5.99"/>
    <x v="164"/>
    <n v="994"/>
    <n v="0.5438856636335283"/>
  </r>
  <r>
    <x v="55"/>
    <s v="Instagram"/>
    <n v="564"/>
    <n v="244"/>
    <n v="279405"/>
    <n v="8.43"/>
    <x v="165"/>
    <n v="320"/>
    <n v="0.11452908859898712"/>
  </r>
  <r>
    <x v="55"/>
    <s v="Twitter"/>
    <n v="668"/>
    <n v="124"/>
    <n v="257485"/>
    <n v="7.55"/>
    <x v="166"/>
    <n v="544"/>
    <n v="0.21127444317144686"/>
  </r>
  <r>
    <x v="55"/>
    <s v="Youtube"/>
    <n v="761"/>
    <n v="241"/>
    <n v="154977"/>
    <n v="5.63"/>
    <x v="90"/>
    <n v="520"/>
    <n v="0.33553365983339462"/>
  </r>
  <r>
    <x v="56"/>
    <s v="Instagram"/>
    <n v="593"/>
    <n v="108"/>
    <n v="216500"/>
    <n v="4.71"/>
    <x v="167"/>
    <n v="485"/>
    <n v="0.22401847575057734"/>
  </r>
  <r>
    <x v="56"/>
    <s v="Twitter"/>
    <n v="1349"/>
    <n v="115"/>
    <n v="102102"/>
    <n v="5.28"/>
    <x v="168"/>
    <n v="1234"/>
    <n v="1.208595326242385"/>
  </r>
  <r>
    <x v="56"/>
    <s v="Youtube"/>
    <n v="693"/>
    <n v="97"/>
    <n v="92025"/>
    <n v="5.95"/>
    <x v="169"/>
    <n v="596"/>
    <n v="0.64765009508285798"/>
  </r>
  <r>
    <x v="57"/>
    <s v="Instagram"/>
    <n v="974"/>
    <n v="143"/>
    <n v="247965"/>
    <n v="9.98"/>
    <x v="170"/>
    <n v="831"/>
    <n v="0.3351279414433489"/>
  </r>
  <r>
    <x v="57"/>
    <s v="Twitter"/>
    <n v="1155"/>
    <n v="122"/>
    <n v="387352"/>
    <n v="9.93"/>
    <x v="171"/>
    <n v="1033"/>
    <n v="0.26668250067122412"/>
  </r>
  <r>
    <x v="57"/>
    <s v="Youtube"/>
    <n v="1051"/>
    <n v="246"/>
    <n v="253985"/>
    <n v="9.08"/>
    <x v="172"/>
    <n v="805"/>
    <n v="0.31694785125105812"/>
  </r>
  <r>
    <x v="58"/>
    <s v="Instagram"/>
    <n v="1457"/>
    <n v="183"/>
    <n v="129640"/>
    <n v="7.98"/>
    <x v="173"/>
    <n v="1274"/>
    <n v="0.98272138228941686"/>
  </r>
  <r>
    <x v="58"/>
    <s v="Twitter"/>
    <n v="670"/>
    <n v="242"/>
    <n v="281913"/>
    <n v="9.6199999999999992"/>
    <x v="174"/>
    <n v="428"/>
    <n v="0.15181988769584942"/>
  </r>
  <r>
    <x v="58"/>
    <s v="Youtube"/>
    <n v="1111"/>
    <n v="159"/>
    <n v="360770"/>
    <n v="8.7100000000000009"/>
    <x v="175"/>
    <n v="952"/>
    <n v="0.26388003437092888"/>
  </r>
  <r>
    <x v="59"/>
    <s v="Instagram"/>
    <n v="1197"/>
    <n v="246"/>
    <n v="127273"/>
    <n v="6.69"/>
    <x v="176"/>
    <n v="951"/>
    <n v="0.74721268454424739"/>
  </r>
  <r>
    <x v="59"/>
    <s v="Twitter"/>
    <n v="754"/>
    <n v="150"/>
    <n v="189622"/>
    <n v="4.25"/>
    <x v="120"/>
    <n v="604"/>
    <n v="0.31852844079273501"/>
  </r>
  <r>
    <x v="59"/>
    <s v="Youtube"/>
    <n v="1246"/>
    <n v="107"/>
    <n v="350949"/>
    <n v="4.9800000000000004"/>
    <x v="177"/>
    <n v="1139"/>
    <n v="0.32454858113287116"/>
  </r>
  <r>
    <x v="60"/>
    <s v="Instagram"/>
    <n v="780"/>
    <n v="213"/>
    <n v="121431"/>
    <n v="4.97"/>
    <x v="178"/>
    <n v="567"/>
    <n v="0.46693183783383158"/>
  </r>
  <r>
    <x v="60"/>
    <s v="Twitter"/>
    <n v="1425"/>
    <n v="143"/>
    <n v="116742"/>
    <n v="3.71"/>
    <x v="179"/>
    <n v="1282"/>
    <n v="1.0981480529715097"/>
  </r>
  <r>
    <x v="60"/>
    <s v="Youtube"/>
    <n v="1490"/>
    <n v="103"/>
    <n v="81184"/>
    <n v="7.79"/>
    <x v="180"/>
    <n v="1387"/>
    <n v="1.7084647221127316"/>
  </r>
  <r>
    <x v="61"/>
    <s v="Instagram"/>
    <n v="949"/>
    <n v="282"/>
    <n v="87126"/>
    <n v="4.96"/>
    <x v="181"/>
    <n v="667"/>
    <n v="0.76555792759910934"/>
  </r>
  <r>
    <x v="61"/>
    <s v="Twitter"/>
    <n v="640"/>
    <n v="141"/>
    <n v="267546"/>
    <n v="8.58"/>
    <x v="182"/>
    <n v="499"/>
    <n v="0.18650998332996943"/>
  </r>
  <r>
    <x v="61"/>
    <s v="Youtube"/>
    <n v="616"/>
    <n v="93"/>
    <n v="133082"/>
    <n v="8.51"/>
    <x v="183"/>
    <n v="523"/>
    <n v="0.39299078763469142"/>
  </r>
  <r>
    <x v="62"/>
    <s v="Instagram"/>
    <n v="1080"/>
    <n v="184"/>
    <n v="340557"/>
    <n v="5.41"/>
    <x v="184"/>
    <n v="896"/>
    <n v="0.26309839468870116"/>
  </r>
  <r>
    <x v="62"/>
    <s v="Twitter"/>
    <n v="938"/>
    <n v="236"/>
    <n v="116472"/>
    <n v="8.7200000000000006"/>
    <x v="185"/>
    <n v="702"/>
    <n v="0.60271996703070263"/>
  </r>
  <r>
    <x v="62"/>
    <s v="Youtube"/>
    <n v="1007"/>
    <n v="258"/>
    <n v="113412"/>
    <n v="7.71"/>
    <x v="186"/>
    <n v="749"/>
    <n v="0.6604239410291679"/>
  </r>
  <r>
    <x v="63"/>
    <s v="Instagram"/>
    <n v="541"/>
    <n v="208"/>
    <n v="157547"/>
    <n v="8.35"/>
    <x v="187"/>
    <n v="333"/>
    <n v="0.2113654972801767"/>
  </r>
  <r>
    <x v="63"/>
    <s v="Twitter"/>
    <n v="745"/>
    <n v="98"/>
    <n v="354816"/>
    <n v="4.03"/>
    <x v="188"/>
    <n v="647"/>
    <n v="0.18234803391053389"/>
  </r>
  <r>
    <x v="63"/>
    <s v="Youtube"/>
    <n v="936"/>
    <n v="97"/>
    <n v="151799"/>
    <n v="9.3699999999999992"/>
    <x v="189"/>
    <n v="839"/>
    <n v="0.55270456327116779"/>
  </r>
  <r>
    <x v="64"/>
    <s v="Instagram"/>
    <n v="1183"/>
    <n v="223"/>
    <n v="143811"/>
    <n v="6.07"/>
    <x v="190"/>
    <n v="960"/>
    <n v="0.66754281661347181"/>
  </r>
  <r>
    <x v="64"/>
    <s v="Twitter"/>
    <n v="1413"/>
    <n v="245"/>
    <n v="296450"/>
    <n v="6.52"/>
    <x v="191"/>
    <n v="1168"/>
    <n v="0.39399561477483558"/>
  </r>
  <r>
    <x v="64"/>
    <s v="Youtube"/>
    <n v="791"/>
    <n v="273"/>
    <n v="144049"/>
    <n v="3.08"/>
    <x v="192"/>
    <n v="518"/>
    <n v="0.35959985838152297"/>
  </r>
  <r>
    <x v="65"/>
    <s v="Instagram"/>
    <n v="1052"/>
    <n v="180"/>
    <n v="272534"/>
    <n v="5.34"/>
    <x v="193"/>
    <n v="872"/>
    <n v="0.31996007837554213"/>
  </r>
  <r>
    <x v="65"/>
    <s v="Twitter"/>
    <n v="572"/>
    <n v="270"/>
    <n v="82265"/>
    <n v="3.65"/>
    <x v="194"/>
    <n v="302"/>
    <n v="0.36710630280192064"/>
  </r>
  <r>
    <x v="65"/>
    <s v="Youtube"/>
    <n v="503"/>
    <n v="253"/>
    <n v="313562"/>
    <n v="4.18"/>
    <x v="195"/>
    <n v="250"/>
    <n v="7.9729048800556188E-2"/>
  </r>
  <r>
    <x v="66"/>
    <s v="Instagram"/>
    <n v="1017"/>
    <n v="197"/>
    <n v="89918"/>
    <n v="3.91"/>
    <x v="196"/>
    <n v="820"/>
    <n v="0.91194199159233968"/>
  </r>
  <r>
    <x v="66"/>
    <s v="Twitter"/>
    <n v="860"/>
    <n v="244"/>
    <n v="348686"/>
    <n v="5.12"/>
    <x v="197"/>
    <n v="616"/>
    <n v="0.17666324429429342"/>
  </r>
  <r>
    <x v="67"/>
    <m/>
    <m/>
    <m/>
    <m/>
    <m/>
    <x v="198"/>
    <n 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89B43-CD97-4BFF-BF8F-17902BAD53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2" firstHeaderRow="1" firstDataRow="1" firstDataCol="1"/>
  <pivotFields count="10">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showAll="0"/>
    <pivotField showAll="0"/>
    <pivotField showAll="0"/>
    <pivotField showAll="0"/>
    <pivotField showAll="0"/>
    <pivotField dataField="1" numFmtId="1" showAll="0"/>
    <pivotField showAll="0"/>
    <pivotField axis="axisRow" showAll="0" sortType="descending">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autoSortScope>
        <pivotArea dataOnly="0" outline="0" fieldPosition="0">
          <references count="1">
            <reference field="4294967294" count="1" selected="0">
              <x v="0"/>
            </reference>
          </references>
        </pivotArea>
      </autoSortScope>
    </pivotField>
  </pivotFields>
  <rowFields count="1">
    <field x="9"/>
  </rowFields>
  <rowItems count="69">
    <i>
      <x v="23"/>
    </i>
    <i>
      <x v="51"/>
    </i>
    <i>
      <x v="1"/>
    </i>
    <i>
      <x v="45"/>
    </i>
    <i>
      <x v="61"/>
    </i>
    <i>
      <x v="46"/>
    </i>
    <i>
      <x v="3"/>
    </i>
    <i>
      <x v="6"/>
    </i>
    <i>
      <x v="18"/>
    </i>
    <i>
      <x v="11"/>
    </i>
    <i>
      <x v="52"/>
    </i>
    <i>
      <x v="24"/>
    </i>
    <i>
      <x v="21"/>
    </i>
    <i>
      <x v="17"/>
    </i>
    <i>
      <x v="44"/>
    </i>
    <i>
      <x v="2"/>
    </i>
    <i>
      <x v="40"/>
    </i>
    <i>
      <x v="60"/>
    </i>
    <i>
      <x v="10"/>
    </i>
    <i>
      <x v="29"/>
    </i>
    <i>
      <x v="43"/>
    </i>
    <i>
      <x v="20"/>
    </i>
    <i>
      <x v="58"/>
    </i>
    <i>
      <x v="59"/>
    </i>
    <i>
      <x v="65"/>
    </i>
    <i>
      <x v="15"/>
    </i>
    <i>
      <x v="30"/>
    </i>
    <i>
      <x v="14"/>
    </i>
    <i>
      <x v="32"/>
    </i>
    <i>
      <x v="13"/>
    </i>
    <i>
      <x v="4"/>
    </i>
    <i>
      <x v="5"/>
    </i>
    <i>
      <x v="27"/>
    </i>
    <i>
      <x v="48"/>
    </i>
    <i>
      <x v="7"/>
    </i>
    <i>
      <x v="37"/>
    </i>
    <i>
      <x v="63"/>
    </i>
    <i>
      <x v="33"/>
    </i>
    <i>
      <x v="19"/>
    </i>
    <i>
      <x v="31"/>
    </i>
    <i>
      <x v="41"/>
    </i>
    <i>
      <x v="57"/>
    </i>
    <i>
      <x v="12"/>
    </i>
    <i>
      <x v="26"/>
    </i>
    <i>
      <x v="8"/>
    </i>
    <i>
      <x v="54"/>
    </i>
    <i>
      <x v="42"/>
    </i>
    <i>
      <x v="22"/>
    </i>
    <i>
      <x v="16"/>
    </i>
    <i>
      <x v="9"/>
    </i>
    <i>
      <x v="49"/>
    </i>
    <i>
      <x v="53"/>
    </i>
    <i>
      <x v="55"/>
    </i>
    <i>
      <x v="25"/>
    </i>
    <i>
      <x v="35"/>
    </i>
    <i>
      <x v="34"/>
    </i>
    <i>
      <x v="64"/>
    </i>
    <i>
      <x v="47"/>
    </i>
    <i>
      <x v="39"/>
    </i>
    <i>
      <x v="62"/>
    </i>
    <i>
      <x v="36"/>
    </i>
    <i>
      <x v="38"/>
    </i>
    <i>
      <x v="67"/>
    </i>
    <i>
      <x v="66"/>
    </i>
    <i>
      <x v="50"/>
    </i>
    <i>
      <x v="28"/>
    </i>
    <i>
      <x v="56"/>
    </i>
    <i>
      <x/>
    </i>
    <i t="grand">
      <x/>
    </i>
  </rowItems>
  <colItems count="1">
    <i/>
  </colItems>
  <dataFields count="1">
    <dataField name="Sum of follower gain" fld="7" baseField="0" baseItem="0" numFmtId="1"/>
  </dataFields>
  <formats count="2">
    <format dxfId="11">
      <pivotArea dataOnly="0" fieldPosition="0">
        <references count="1">
          <reference field="9" count="1">
            <x v="23"/>
          </reference>
        </references>
      </pivotArea>
    </format>
    <format dxfId="10">
      <pivotArea dataOnly="0" fieldPosition="0">
        <references count="1">
          <reference field="9" count="1">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6CDE8-0A80-4428-9051-EE44280DC4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 Spend">
  <location ref="W5:X205" firstHeaderRow="1" firstDataRow="1" firstDataCol="1"/>
  <pivotFields count="10">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showAll="0"/>
    <pivotField showAll="0"/>
    <pivotField showAll="0"/>
    <pivotField showAll="0"/>
    <pivotField axis="axisRow" showAll="0">
      <items count="200">
        <item x="192"/>
        <item x="103"/>
        <item x="181"/>
        <item x="144"/>
        <item x="184"/>
        <item x="30"/>
        <item x="29"/>
        <item x="100"/>
        <item x="72"/>
        <item x="88"/>
        <item x="98"/>
        <item x="33"/>
        <item x="109"/>
        <item x="113"/>
        <item x="77"/>
        <item x="118"/>
        <item x="105"/>
        <item x="97"/>
        <item x="123"/>
        <item x="172"/>
        <item x="79"/>
        <item x="21"/>
        <item x="2"/>
        <item x="152"/>
        <item x="196"/>
        <item x="128"/>
        <item x="162"/>
        <item x="32"/>
        <item x="125"/>
        <item x="76"/>
        <item x="74"/>
        <item x="70"/>
        <item x="42"/>
        <item x="93"/>
        <item x="58"/>
        <item x="45"/>
        <item x="102"/>
        <item x="24"/>
        <item x="132"/>
        <item x="49"/>
        <item x="31"/>
        <item x="138"/>
        <item x="126"/>
        <item x="20"/>
        <item x="90"/>
        <item x="163"/>
        <item x="180"/>
        <item x="68"/>
        <item x="56"/>
        <item x="142"/>
        <item x="101"/>
        <item x="108"/>
        <item x="51"/>
        <item x="197"/>
        <item x="26"/>
        <item x="175"/>
        <item x="191"/>
        <item x="15"/>
        <item x="157"/>
        <item x="141"/>
        <item x="120"/>
        <item x="3"/>
        <item x="94"/>
        <item x="155"/>
        <item x="52"/>
        <item x="171"/>
        <item x="54"/>
        <item x="14"/>
        <item x="176"/>
        <item x="18"/>
        <item x="6"/>
        <item x="10"/>
        <item x="158"/>
        <item x="170"/>
        <item x="148"/>
        <item x="85"/>
        <item x="160"/>
        <item x="173"/>
        <item x="159"/>
        <item x="38"/>
        <item x="194"/>
        <item x="89"/>
        <item x="95"/>
        <item x="193"/>
        <item x="25"/>
        <item x="130"/>
        <item x="146"/>
        <item x="115"/>
        <item x="150"/>
        <item x="59"/>
        <item x="61"/>
        <item x="39"/>
        <item x="92"/>
        <item x="16"/>
        <item x="186"/>
        <item x="7"/>
        <item x="168"/>
        <item x="80"/>
        <item x="161"/>
        <item x="66"/>
        <item x="96"/>
        <item x="111"/>
        <item x="82"/>
        <item x="156"/>
        <item x="189"/>
        <item x="22"/>
        <item x="27"/>
        <item x="145"/>
        <item x="153"/>
        <item x="169"/>
        <item x="17"/>
        <item x="174"/>
        <item x="40"/>
        <item x="44"/>
        <item x="62"/>
        <item x="188"/>
        <item x="185"/>
        <item x="84"/>
        <item x="71"/>
        <item x="55"/>
        <item x="43"/>
        <item x="35"/>
        <item x="183"/>
        <item x="131"/>
        <item x="57"/>
        <item x="116"/>
        <item x="83"/>
        <item x="149"/>
        <item x="129"/>
        <item x="12"/>
        <item x="195"/>
        <item x="91"/>
        <item x="164"/>
        <item x="187"/>
        <item x="46"/>
        <item x="75"/>
        <item x="124"/>
        <item x="110"/>
        <item x="154"/>
        <item x="86"/>
        <item x="13"/>
        <item x="47"/>
        <item x="60"/>
        <item x="178"/>
        <item x="133"/>
        <item x="121"/>
        <item x="5"/>
        <item x="190"/>
        <item x="134"/>
        <item x="112"/>
        <item x="104"/>
        <item x="119"/>
        <item x="11"/>
        <item x="9"/>
        <item x="1"/>
        <item x="0"/>
        <item x="78"/>
        <item x="87"/>
        <item x="136"/>
        <item x="28"/>
        <item x="50"/>
        <item x="106"/>
        <item x="53"/>
        <item x="41"/>
        <item x="23"/>
        <item x="140"/>
        <item x="114"/>
        <item x="65"/>
        <item x="69"/>
        <item x="8"/>
        <item x="182"/>
        <item x="63"/>
        <item x="117"/>
        <item x="139"/>
        <item x="99"/>
        <item x="73"/>
        <item x="107"/>
        <item x="64"/>
        <item x="122"/>
        <item x="81"/>
        <item x="19"/>
        <item x="165"/>
        <item x="147"/>
        <item x="67"/>
        <item x="4"/>
        <item x="143"/>
        <item x="127"/>
        <item x="36"/>
        <item x="37"/>
        <item x="166"/>
        <item x="48"/>
        <item x="179"/>
        <item x="137"/>
        <item x="167"/>
        <item x="135"/>
        <item x="151"/>
        <item x="177"/>
        <item x="34"/>
        <item x="198"/>
        <item t="default"/>
      </items>
    </pivotField>
    <pivotField dataField="1" numFmtId="1" showAll="0"/>
    <pivotField showAll="0"/>
    <pivotField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s>
  <rowFields count="1">
    <field x="6"/>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t="grand">
      <x/>
    </i>
  </rowItems>
  <colItems count="1">
    <i/>
  </colItems>
  <dataFields count="1">
    <dataField name="Sum of follower gain"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2295B-CDD5-4FB0-9B25-B34921A624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eks">
  <location ref="G4:H72" firstHeaderRow="1" firstDataRow="1" firstDataCol="1"/>
  <pivotFields count="10">
    <pivotField axis="axisRow"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showAll="0"/>
    <pivotField showAll="0"/>
    <pivotField showAll="0"/>
    <pivotField showAll="0"/>
    <pivotField showAll="0"/>
    <pivotField dataField="1" numFmtId="1" showAll="0"/>
    <pivotField showAll="0"/>
    <pivotField axis="axisRow" showAll="0" defaultSubtotal="0">
      <items count="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s>
    </pivotField>
  </pivotFields>
  <rowFields count="2">
    <field x="9"/>
    <field x="0"/>
  </rowFields>
  <rowItems count="6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follower gain" fld="7" baseField="0" baseItem="0" numFmtId="1"/>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AD66F-64C9-4079-A97A-2555E0B70AF3}" name="Table2" displayName="Table2" ref="A1:I202" totalsRowShown="0" headerRowDxfId="9">
  <autoFilter ref="A1:I202" xr:uid="{2E3BF1AF-C845-4DFE-A346-14C63B987195}"/>
  <tableColumns count="9">
    <tableColumn id="1" xr3:uid="{1112F693-EC52-41D0-A485-A0858DA065C0}" name="Week_Start_Date" dataDxfId="8"/>
    <tableColumn id="2" xr3:uid="{6636926A-069C-4181-AC11-C0B6C911F353}" name="Platform" dataDxfId="7"/>
    <tableColumn id="3" xr3:uid="{A0895AE5-E3BF-4444-817F-FC96FA71A08A}" name="New_Followers" dataDxfId="6"/>
    <tableColumn id="4" xr3:uid="{A2FBBC1E-414C-405B-AE19-353F7CF8B0A6}" name="Unfollows" dataDxfId="5"/>
    <tableColumn id="5" xr3:uid="{4FB590BA-60A6-4E74-A792-354DAC57CB11}" name="Total_Followers" dataDxfId="4"/>
    <tableColumn id="6" xr3:uid="{6C938FBC-771D-4EE0-AC17-F4F7E663026E}" name="Engagement_Rate" dataDxfId="3"/>
    <tableColumn id="7" xr3:uid="{CF778BF7-EC2F-4DE8-A996-8BFBFA57DA80}" name="Ad_Spend" dataDxfId="2"/>
    <tableColumn id="8" xr3:uid="{94EB66DE-BC8E-4A3E-8F4B-0325C0CDD7C4}" name="follower gain" dataDxfId="1">
      <calculatedColumnFormula>Table2[[#This Row],[New_Followers]]-Table2[[#This Row],[Unfollows]]</calculatedColumnFormula>
    </tableColumn>
    <tableColumn id="9" xr3:uid="{362B6685-343C-46C7-86C8-AF0A24FC7892}" name="Follower Growth Rate" dataDxfId="0">
      <calculatedColumnFormula>(Table2[[#This Row],[follower gain]]/Table2[[#This Row],[Total_Followers]])*100</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047F-A1F8-4EB6-A0F5-7369DE87F2B7}">
  <dimension ref="B1:AF205"/>
  <sheetViews>
    <sheetView zoomScaleNormal="100" workbookViewId="0">
      <selection activeCell="I6" sqref="I6"/>
    </sheetView>
  </sheetViews>
  <sheetFormatPr defaultRowHeight="15"/>
  <cols>
    <col min="3" max="3" width="21.85546875" bestFit="1" customWidth="1"/>
    <col min="4" max="4" width="19.5703125" bestFit="1" customWidth="1"/>
    <col min="7" max="7" width="23.7109375" bestFit="1" customWidth="1"/>
    <col min="8" max="8" width="19.5703125" bestFit="1" customWidth="1"/>
    <col min="23" max="23" width="13.140625" bestFit="1" customWidth="1"/>
    <col min="24" max="24" width="19.5703125" bestFit="1" customWidth="1"/>
  </cols>
  <sheetData>
    <row r="1" spans="2:32">
      <c r="B1" s="23" t="s">
        <v>87</v>
      </c>
      <c r="C1" s="24"/>
      <c r="D1" s="24"/>
      <c r="E1" s="24"/>
    </row>
    <row r="2" spans="2:32">
      <c r="B2" s="24"/>
      <c r="C2" s="24"/>
      <c r="D2" s="24"/>
      <c r="E2" s="24"/>
      <c r="G2" s="25" t="s">
        <v>89</v>
      </c>
      <c r="H2" s="26"/>
      <c r="I2" s="26"/>
      <c r="J2" s="26"/>
      <c r="K2" s="26"/>
      <c r="L2" s="26"/>
      <c r="M2" s="26"/>
      <c r="N2" s="26"/>
      <c r="O2" s="26"/>
      <c r="P2" s="26"/>
    </row>
    <row r="3" spans="2:32">
      <c r="C3" s="1" t="s">
        <v>0</v>
      </c>
      <c r="D3" t="s">
        <v>17</v>
      </c>
      <c r="G3" s="26"/>
      <c r="H3" s="26"/>
      <c r="I3" s="26"/>
      <c r="J3" s="26"/>
      <c r="K3" s="26"/>
      <c r="L3" s="26"/>
      <c r="M3" s="26"/>
      <c r="N3" s="26"/>
      <c r="O3" s="26"/>
      <c r="P3" s="26"/>
      <c r="W3" s="27" t="s">
        <v>90</v>
      </c>
      <c r="X3" s="24"/>
      <c r="Y3" s="24"/>
      <c r="Z3" s="24"/>
      <c r="AA3" s="24"/>
      <c r="AC3" s="20" t="s">
        <v>2</v>
      </c>
      <c r="AD3" s="21"/>
      <c r="AE3" s="21"/>
      <c r="AF3" s="21"/>
    </row>
    <row r="4" spans="2:32">
      <c r="C4" s="16" t="s">
        <v>40</v>
      </c>
      <c r="D4" s="17">
        <v>3576</v>
      </c>
      <c r="G4" s="1" t="s">
        <v>88</v>
      </c>
      <c r="H4" t="s">
        <v>17</v>
      </c>
      <c r="W4" s="24"/>
      <c r="X4" s="24"/>
      <c r="Y4" s="24"/>
      <c r="Z4" s="24"/>
      <c r="AA4" s="24"/>
      <c r="AC4" s="21"/>
      <c r="AD4" s="21"/>
      <c r="AE4" s="21"/>
      <c r="AF4" s="21"/>
    </row>
    <row r="5" spans="2:32">
      <c r="C5" s="2" t="s">
        <v>68</v>
      </c>
      <c r="D5" s="3">
        <v>3569</v>
      </c>
      <c r="G5" s="2" t="s">
        <v>18</v>
      </c>
      <c r="H5" s="3">
        <v>3419</v>
      </c>
      <c r="W5" s="1" t="s">
        <v>85</v>
      </c>
      <c r="X5" t="s">
        <v>17</v>
      </c>
      <c r="Y5" s="19" t="s">
        <v>86</v>
      </c>
      <c r="Z5" s="19"/>
      <c r="AA5" s="19"/>
    </row>
    <row r="6" spans="2:32" ht="15.75">
      <c r="C6" s="2" t="s">
        <v>18</v>
      </c>
      <c r="D6" s="3">
        <v>3419</v>
      </c>
      <c r="G6" s="2" t="s">
        <v>19</v>
      </c>
      <c r="H6" s="3">
        <v>2777</v>
      </c>
      <c r="W6" s="2">
        <v>5281</v>
      </c>
      <c r="X6" s="3">
        <v>518</v>
      </c>
      <c r="Y6" s="22">
        <f>CORREL(W6:W203,X6:X203)</f>
        <v>-3.6319983304756047E-2</v>
      </c>
      <c r="Z6" s="22"/>
      <c r="AA6" s="22"/>
    </row>
    <row r="7" spans="2:32">
      <c r="C7" s="2" t="s">
        <v>62</v>
      </c>
      <c r="D7" s="3">
        <v>3291</v>
      </c>
      <c r="G7" s="2" t="s">
        <v>20</v>
      </c>
      <c r="H7" s="3">
        <v>3175</v>
      </c>
      <c r="W7" s="2">
        <v>5291</v>
      </c>
      <c r="X7" s="3">
        <v>869</v>
      </c>
    </row>
    <row r="8" spans="2:32">
      <c r="C8" s="2" t="s">
        <v>78</v>
      </c>
      <c r="D8" s="3">
        <v>3236</v>
      </c>
      <c r="G8" s="2" t="s">
        <v>21</v>
      </c>
      <c r="H8" s="3">
        <v>2433</v>
      </c>
      <c r="W8" s="2">
        <v>5413</v>
      </c>
      <c r="X8" s="3">
        <v>667</v>
      </c>
    </row>
    <row r="9" spans="2:32">
      <c r="C9" s="2" t="s">
        <v>63</v>
      </c>
      <c r="D9" s="3">
        <v>3216</v>
      </c>
      <c r="G9" s="2" t="s">
        <v>22</v>
      </c>
      <c r="H9" s="3">
        <v>2426</v>
      </c>
      <c r="W9" s="2">
        <v>5495</v>
      </c>
      <c r="X9" s="3">
        <v>919</v>
      </c>
    </row>
    <row r="10" spans="2:32">
      <c r="C10" s="2" t="s">
        <v>20</v>
      </c>
      <c r="D10" s="3">
        <v>3175</v>
      </c>
      <c r="G10" s="2" t="s">
        <v>23</v>
      </c>
      <c r="H10" s="3">
        <v>3155</v>
      </c>
      <c r="W10" s="2">
        <v>5526</v>
      </c>
      <c r="X10" s="3">
        <v>896</v>
      </c>
    </row>
    <row r="11" spans="2:32">
      <c r="C11" s="2" t="s">
        <v>23</v>
      </c>
      <c r="D11" s="3">
        <v>3155</v>
      </c>
      <c r="G11" s="2" t="s">
        <v>24</v>
      </c>
      <c r="H11" s="3">
        <v>2369</v>
      </c>
      <c r="W11" s="2">
        <v>5624</v>
      </c>
      <c r="X11" s="3">
        <v>977</v>
      </c>
    </row>
    <row r="12" spans="2:32">
      <c r="C12" s="2" t="s">
        <v>35</v>
      </c>
      <c r="D12" s="3">
        <v>3151</v>
      </c>
      <c r="G12" s="2" t="s">
        <v>25</v>
      </c>
      <c r="H12" s="3">
        <v>2281</v>
      </c>
      <c r="W12" s="2">
        <v>5836</v>
      </c>
      <c r="X12" s="3">
        <v>758</v>
      </c>
    </row>
    <row r="13" spans="2:32">
      <c r="C13" s="2" t="s">
        <v>28</v>
      </c>
      <c r="D13" s="3">
        <v>3072</v>
      </c>
      <c r="G13" s="2" t="s">
        <v>26</v>
      </c>
      <c r="H13" s="3">
        <v>2132</v>
      </c>
      <c r="W13" s="2">
        <v>5900</v>
      </c>
      <c r="X13" s="3">
        <v>546</v>
      </c>
    </row>
    <row r="14" spans="2:32">
      <c r="C14" s="2" t="s">
        <v>69</v>
      </c>
      <c r="D14" s="3">
        <v>2909</v>
      </c>
      <c r="G14" s="2" t="s">
        <v>27</v>
      </c>
      <c r="H14" s="3">
        <v>2693</v>
      </c>
      <c r="W14" s="2">
        <v>5924</v>
      </c>
      <c r="X14" s="3">
        <v>676</v>
      </c>
    </row>
    <row r="15" spans="2:32">
      <c r="C15" s="2" t="s">
        <v>41</v>
      </c>
      <c r="D15" s="3">
        <v>2794</v>
      </c>
      <c r="G15" s="2" t="s">
        <v>28</v>
      </c>
      <c r="H15" s="3">
        <v>3072</v>
      </c>
      <c r="W15" s="2">
        <v>5960</v>
      </c>
      <c r="X15" s="3">
        <v>1133</v>
      </c>
    </row>
    <row r="16" spans="2:32">
      <c r="C16" s="2" t="s">
        <v>38</v>
      </c>
      <c r="D16" s="3">
        <v>2792</v>
      </c>
      <c r="G16" s="2" t="s">
        <v>29</v>
      </c>
      <c r="H16" s="3">
        <v>2300</v>
      </c>
      <c r="W16" s="2">
        <v>6027</v>
      </c>
      <c r="X16" s="3">
        <v>520</v>
      </c>
    </row>
    <row r="17" spans="3:24">
      <c r="C17" s="2" t="s">
        <v>34</v>
      </c>
      <c r="D17" s="3">
        <v>2785</v>
      </c>
      <c r="G17" s="2" t="s">
        <v>30</v>
      </c>
      <c r="H17" s="3">
        <v>2450</v>
      </c>
      <c r="W17" s="2">
        <v>6031</v>
      </c>
      <c r="X17" s="3">
        <v>909</v>
      </c>
    </row>
    <row r="18" spans="3:24">
      <c r="C18" s="2" t="s">
        <v>61</v>
      </c>
      <c r="D18" s="3">
        <v>2781</v>
      </c>
      <c r="G18" s="2" t="s">
        <v>31</v>
      </c>
      <c r="H18" s="3">
        <v>2502</v>
      </c>
      <c r="W18" s="2">
        <v>6120</v>
      </c>
      <c r="X18" s="3">
        <v>1108</v>
      </c>
    </row>
    <row r="19" spans="3:24">
      <c r="C19" s="2" t="s">
        <v>19</v>
      </c>
      <c r="D19" s="3">
        <v>2777</v>
      </c>
      <c r="G19" s="2" t="s">
        <v>32</v>
      </c>
      <c r="H19" s="3">
        <v>2630</v>
      </c>
      <c r="W19" s="2">
        <v>6532</v>
      </c>
      <c r="X19" s="3">
        <v>356</v>
      </c>
    </row>
    <row r="20" spans="3:24">
      <c r="C20" s="2" t="s">
        <v>57</v>
      </c>
      <c r="D20" s="3">
        <v>2763</v>
      </c>
      <c r="G20" s="2" t="s">
        <v>33</v>
      </c>
      <c r="H20" s="3">
        <v>2162</v>
      </c>
      <c r="W20" s="2">
        <v>6625</v>
      </c>
      <c r="X20" s="3">
        <v>1154</v>
      </c>
    </row>
    <row r="21" spans="3:24">
      <c r="C21" s="2" t="s">
        <v>77</v>
      </c>
      <c r="D21" s="3">
        <v>2694</v>
      </c>
      <c r="G21" s="2" t="s">
        <v>34</v>
      </c>
      <c r="H21" s="3">
        <v>2785</v>
      </c>
      <c r="W21" s="2">
        <v>6772</v>
      </c>
      <c r="X21" s="3">
        <v>1006</v>
      </c>
    </row>
    <row r="22" spans="3:24">
      <c r="C22" s="2" t="s">
        <v>27</v>
      </c>
      <c r="D22" s="3">
        <v>2693</v>
      </c>
      <c r="G22" s="2" t="s">
        <v>35</v>
      </c>
      <c r="H22" s="3">
        <v>3151</v>
      </c>
      <c r="W22" s="2">
        <v>6824</v>
      </c>
      <c r="X22" s="3">
        <v>735</v>
      </c>
    </row>
    <row r="23" spans="3:24">
      <c r="C23" s="2" t="s">
        <v>46</v>
      </c>
      <c r="D23" s="3">
        <v>2693</v>
      </c>
      <c r="G23" s="2" t="s">
        <v>36</v>
      </c>
      <c r="H23" s="3">
        <v>2338</v>
      </c>
      <c r="W23" s="2">
        <v>6868</v>
      </c>
      <c r="X23" s="3">
        <v>1354</v>
      </c>
    </row>
    <row r="24" spans="3:24">
      <c r="C24" s="2" t="s">
        <v>60</v>
      </c>
      <c r="D24" s="3">
        <v>2679</v>
      </c>
      <c r="G24" s="2" t="s">
        <v>37</v>
      </c>
      <c r="H24" s="3">
        <v>2670</v>
      </c>
      <c r="J24" s="18" t="s">
        <v>2</v>
      </c>
      <c r="K24" s="19"/>
      <c r="L24" s="19"/>
      <c r="M24" s="19"/>
      <c r="N24" s="19"/>
      <c r="W24" s="2">
        <v>7140</v>
      </c>
      <c r="X24" s="3">
        <v>564</v>
      </c>
    </row>
    <row r="25" spans="3:24">
      <c r="C25" s="2" t="s">
        <v>37</v>
      </c>
      <c r="D25" s="3">
        <v>2670</v>
      </c>
      <c r="G25" s="2" t="s">
        <v>38</v>
      </c>
      <c r="H25" s="3">
        <v>2792</v>
      </c>
      <c r="J25" s="19"/>
      <c r="K25" s="19"/>
      <c r="L25" s="19"/>
      <c r="M25" s="19"/>
      <c r="N25" s="19"/>
      <c r="W25" s="2">
        <v>7245</v>
      </c>
      <c r="X25" s="3">
        <v>805</v>
      </c>
    </row>
    <row r="26" spans="3:24">
      <c r="C26" s="2" t="s">
        <v>75</v>
      </c>
      <c r="D26" s="3">
        <v>2669</v>
      </c>
      <c r="G26" s="2" t="s">
        <v>39</v>
      </c>
      <c r="H26" s="3">
        <v>2181</v>
      </c>
      <c r="J26" s="19"/>
      <c r="K26" s="19"/>
      <c r="L26" s="19"/>
      <c r="M26" s="19"/>
      <c r="N26" s="19"/>
      <c r="W26" s="2">
        <v>7299</v>
      </c>
      <c r="X26" s="3">
        <v>871</v>
      </c>
    </row>
    <row r="27" spans="3:24">
      <c r="C27" s="2" t="s">
        <v>76</v>
      </c>
      <c r="D27" s="3">
        <v>2654</v>
      </c>
      <c r="G27" s="2" t="s">
        <v>40</v>
      </c>
      <c r="H27" s="3">
        <v>3576</v>
      </c>
      <c r="W27" s="2">
        <v>7797</v>
      </c>
      <c r="X27" s="3">
        <v>792</v>
      </c>
    </row>
    <row r="28" spans="3:24">
      <c r="C28" s="2" t="s">
        <v>82</v>
      </c>
      <c r="D28" s="3">
        <v>2646</v>
      </c>
      <c r="G28" s="2" t="s">
        <v>41</v>
      </c>
      <c r="H28" s="3">
        <v>2794</v>
      </c>
      <c r="W28" s="2">
        <v>7810</v>
      </c>
      <c r="X28" s="3">
        <v>1176</v>
      </c>
    </row>
    <row r="29" spans="3:24">
      <c r="C29" s="2" t="s">
        <v>32</v>
      </c>
      <c r="D29" s="3">
        <v>2630</v>
      </c>
      <c r="G29" s="2" t="s">
        <v>42</v>
      </c>
      <c r="H29" s="3">
        <v>1935</v>
      </c>
      <c r="W29" s="2">
        <v>7859</v>
      </c>
      <c r="X29" s="3">
        <v>1281</v>
      </c>
    </row>
    <row r="30" spans="3:24">
      <c r="C30" s="2" t="s">
        <v>47</v>
      </c>
      <c r="D30" s="3">
        <v>2550</v>
      </c>
      <c r="G30" s="2" t="s">
        <v>43</v>
      </c>
      <c r="H30" s="3">
        <v>2287</v>
      </c>
      <c r="W30" s="2">
        <v>7881</v>
      </c>
      <c r="X30" s="3">
        <v>820</v>
      </c>
    </row>
    <row r="31" spans="3:24">
      <c r="C31" s="2" t="s">
        <v>31</v>
      </c>
      <c r="D31" s="3">
        <v>2502</v>
      </c>
      <c r="G31" s="2" t="s">
        <v>44</v>
      </c>
      <c r="H31" s="3">
        <v>2383</v>
      </c>
      <c r="W31" s="2">
        <v>7975</v>
      </c>
      <c r="X31" s="3">
        <v>1301</v>
      </c>
    </row>
    <row r="32" spans="3:24">
      <c r="C32" s="2" t="s">
        <v>49</v>
      </c>
      <c r="D32" s="3">
        <v>2451</v>
      </c>
      <c r="G32" s="2" t="s">
        <v>45</v>
      </c>
      <c r="H32" s="3">
        <v>1398</v>
      </c>
      <c r="W32" s="2">
        <v>8182</v>
      </c>
      <c r="X32" s="3">
        <v>698</v>
      </c>
    </row>
    <row r="33" spans="3:24">
      <c r="C33" s="2" t="s">
        <v>30</v>
      </c>
      <c r="D33" s="3">
        <v>2450</v>
      </c>
      <c r="G33" s="2" t="s">
        <v>46</v>
      </c>
      <c r="H33" s="3">
        <v>2693</v>
      </c>
      <c r="W33" s="2">
        <v>8274</v>
      </c>
      <c r="X33" s="3">
        <v>904</v>
      </c>
    </row>
    <row r="34" spans="3:24">
      <c r="C34" s="2" t="s">
        <v>21</v>
      </c>
      <c r="D34" s="3">
        <v>2433</v>
      </c>
      <c r="G34" s="2" t="s">
        <v>47</v>
      </c>
      <c r="H34" s="3">
        <v>2550</v>
      </c>
      <c r="W34" s="2">
        <v>8698</v>
      </c>
      <c r="X34" s="3">
        <v>1128</v>
      </c>
    </row>
    <row r="35" spans="3:24">
      <c r="C35" s="2" t="s">
        <v>22</v>
      </c>
      <c r="D35" s="3">
        <v>2426</v>
      </c>
      <c r="G35" s="2" t="s">
        <v>48</v>
      </c>
      <c r="H35" s="3">
        <v>2337</v>
      </c>
      <c r="W35" s="2">
        <v>8760</v>
      </c>
      <c r="X35" s="3">
        <v>683</v>
      </c>
    </row>
    <row r="36" spans="3:24">
      <c r="C36" s="2" t="s">
        <v>44</v>
      </c>
      <c r="D36" s="3">
        <v>2383</v>
      </c>
      <c r="G36" s="2" t="s">
        <v>49</v>
      </c>
      <c r="H36" s="3">
        <v>2451</v>
      </c>
      <c r="W36" s="2">
        <v>8910</v>
      </c>
      <c r="X36" s="3">
        <v>682</v>
      </c>
    </row>
    <row r="37" spans="3:24">
      <c r="C37" s="2" t="s">
        <v>65</v>
      </c>
      <c r="D37" s="3">
        <v>2378</v>
      </c>
      <c r="G37" s="2" t="s">
        <v>50</v>
      </c>
      <c r="H37" s="3">
        <v>2341</v>
      </c>
      <c r="W37" s="2">
        <v>9092</v>
      </c>
      <c r="X37" s="3">
        <v>532</v>
      </c>
    </row>
    <row r="38" spans="3:24">
      <c r="C38" s="2" t="s">
        <v>24</v>
      </c>
      <c r="D38" s="3">
        <v>2369</v>
      </c>
      <c r="G38" s="2" t="s">
        <v>51</v>
      </c>
      <c r="H38" s="3">
        <v>1832</v>
      </c>
      <c r="W38" s="2">
        <v>9195</v>
      </c>
      <c r="X38" s="3">
        <v>637</v>
      </c>
    </row>
    <row r="39" spans="3:24">
      <c r="C39" s="2" t="s">
        <v>54</v>
      </c>
      <c r="D39" s="3">
        <v>2361</v>
      </c>
      <c r="G39" s="2" t="s">
        <v>52</v>
      </c>
      <c r="H39" s="3">
        <v>1928</v>
      </c>
      <c r="W39" s="2">
        <v>9247</v>
      </c>
      <c r="X39" s="3">
        <v>443</v>
      </c>
    </row>
    <row r="40" spans="3:24">
      <c r="C40" s="2" t="s">
        <v>80</v>
      </c>
      <c r="D40" s="3">
        <v>2347</v>
      </c>
      <c r="G40" s="2" t="s">
        <v>53</v>
      </c>
      <c r="H40" s="3">
        <v>1680</v>
      </c>
      <c r="W40" s="2">
        <v>9383</v>
      </c>
      <c r="X40" s="3">
        <v>536</v>
      </c>
    </row>
    <row r="41" spans="3:24">
      <c r="C41" s="2" t="s">
        <v>50</v>
      </c>
      <c r="D41" s="3">
        <v>2341</v>
      </c>
      <c r="G41" s="2" t="s">
        <v>54</v>
      </c>
      <c r="H41" s="3">
        <v>2361</v>
      </c>
      <c r="W41" s="2">
        <v>9567</v>
      </c>
      <c r="X41" s="3">
        <v>471</v>
      </c>
    </row>
    <row r="42" spans="3:24">
      <c r="C42" s="2" t="s">
        <v>36</v>
      </c>
      <c r="D42" s="3">
        <v>2338</v>
      </c>
      <c r="G42" s="2" t="s">
        <v>55</v>
      </c>
      <c r="H42" s="3">
        <v>1543</v>
      </c>
      <c r="W42" s="2">
        <v>9592</v>
      </c>
      <c r="X42" s="3">
        <v>341</v>
      </c>
    </row>
    <row r="43" spans="3:24">
      <c r="C43" s="2" t="s">
        <v>48</v>
      </c>
      <c r="D43" s="3">
        <v>2337</v>
      </c>
      <c r="G43" s="2" t="s">
        <v>56</v>
      </c>
      <c r="H43" s="3">
        <v>1713</v>
      </c>
      <c r="W43" s="2">
        <v>9847</v>
      </c>
      <c r="X43" s="3">
        <v>869</v>
      </c>
    </row>
    <row r="44" spans="3:24">
      <c r="C44" s="2" t="s">
        <v>58</v>
      </c>
      <c r="D44" s="3">
        <v>2315</v>
      </c>
      <c r="G44" s="2" t="s">
        <v>57</v>
      </c>
      <c r="H44" s="3">
        <v>2763</v>
      </c>
      <c r="W44" s="2">
        <v>10104</v>
      </c>
      <c r="X44" s="3">
        <v>1337</v>
      </c>
    </row>
    <row r="45" spans="3:24">
      <c r="C45" s="2" t="s">
        <v>74</v>
      </c>
      <c r="D45" s="3">
        <v>2315</v>
      </c>
      <c r="G45" s="2" t="s">
        <v>58</v>
      </c>
      <c r="H45" s="3">
        <v>2315</v>
      </c>
      <c r="W45" s="2">
        <v>10253</v>
      </c>
      <c r="X45" s="3">
        <v>1198</v>
      </c>
    </row>
    <row r="46" spans="3:24">
      <c r="C46" s="2" t="s">
        <v>29</v>
      </c>
      <c r="D46" s="3">
        <v>2300</v>
      </c>
      <c r="G46" s="2" t="s">
        <v>59</v>
      </c>
      <c r="H46" s="3">
        <v>2188</v>
      </c>
      <c r="W46" s="2">
        <v>10311</v>
      </c>
      <c r="X46" s="3">
        <v>1191</v>
      </c>
    </row>
    <row r="47" spans="3:24">
      <c r="C47" s="2" t="s">
        <v>43</v>
      </c>
      <c r="D47" s="3">
        <v>2287</v>
      </c>
      <c r="G47" s="2" t="s">
        <v>60</v>
      </c>
      <c r="H47" s="3">
        <v>2679</v>
      </c>
      <c r="W47" s="2">
        <v>10343</v>
      </c>
      <c r="X47" s="3">
        <v>353</v>
      </c>
    </row>
    <row r="48" spans="3:24">
      <c r="C48" s="2" t="s">
        <v>25</v>
      </c>
      <c r="D48" s="3">
        <v>2281</v>
      </c>
      <c r="G48" s="2" t="s">
        <v>61</v>
      </c>
      <c r="H48" s="3">
        <v>2781</v>
      </c>
      <c r="W48" s="2">
        <v>10402</v>
      </c>
      <c r="X48" s="3">
        <v>565</v>
      </c>
    </row>
    <row r="49" spans="3:24">
      <c r="C49" s="2" t="s">
        <v>71</v>
      </c>
      <c r="D49" s="3">
        <v>2243</v>
      </c>
      <c r="G49" s="2" t="s">
        <v>62</v>
      </c>
      <c r="H49" s="3">
        <v>3291</v>
      </c>
      <c r="W49" s="2">
        <v>10495</v>
      </c>
      <c r="X49" s="3">
        <v>912</v>
      </c>
    </row>
    <row r="50" spans="3:24">
      <c r="C50" s="2" t="s">
        <v>59</v>
      </c>
      <c r="D50" s="3">
        <v>2188</v>
      </c>
      <c r="G50" s="2" t="s">
        <v>63</v>
      </c>
      <c r="H50" s="3">
        <v>3216</v>
      </c>
      <c r="W50" s="2">
        <v>10563</v>
      </c>
      <c r="X50" s="3">
        <v>933</v>
      </c>
    </row>
    <row r="51" spans="3:24">
      <c r="C51" s="2" t="s">
        <v>39</v>
      </c>
      <c r="D51" s="3">
        <v>2181</v>
      </c>
      <c r="G51" s="2" t="s">
        <v>64</v>
      </c>
      <c r="H51" s="3">
        <v>1728</v>
      </c>
      <c r="W51" s="2">
        <v>10615</v>
      </c>
      <c r="X51" s="3">
        <v>325</v>
      </c>
    </row>
    <row r="52" spans="3:24">
      <c r="C52" s="2" t="s">
        <v>33</v>
      </c>
      <c r="D52" s="3">
        <v>2162</v>
      </c>
      <c r="G52" s="2" t="s">
        <v>65</v>
      </c>
      <c r="H52" s="3">
        <v>2378</v>
      </c>
      <c r="W52" s="2">
        <v>10681</v>
      </c>
      <c r="X52" s="3">
        <v>1387</v>
      </c>
    </row>
    <row r="53" spans="3:24">
      <c r="C53" s="2" t="s">
        <v>26</v>
      </c>
      <c r="D53" s="3">
        <v>2132</v>
      </c>
      <c r="G53" s="2" t="s">
        <v>66</v>
      </c>
      <c r="H53" s="3">
        <v>2054</v>
      </c>
      <c r="W53" s="2">
        <v>10858</v>
      </c>
      <c r="X53" s="3">
        <v>984</v>
      </c>
    </row>
    <row r="54" spans="3:24">
      <c r="C54" s="2" t="s">
        <v>66</v>
      </c>
      <c r="D54" s="3">
        <v>2054</v>
      </c>
      <c r="G54" s="2" t="s">
        <v>67</v>
      </c>
      <c r="H54" s="3">
        <v>1400</v>
      </c>
      <c r="W54" s="2">
        <v>10881</v>
      </c>
      <c r="X54" s="3">
        <v>1225</v>
      </c>
    </row>
    <row r="55" spans="3:24">
      <c r="C55" s="2" t="s">
        <v>70</v>
      </c>
      <c r="D55" s="3">
        <v>2049</v>
      </c>
      <c r="G55" s="2" t="s">
        <v>68</v>
      </c>
      <c r="H55" s="3">
        <v>3569</v>
      </c>
      <c r="W55" s="2">
        <v>11005</v>
      </c>
      <c r="X55" s="3">
        <v>581</v>
      </c>
    </row>
    <row r="56" spans="3:24">
      <c r="C56" s="2" t="s">
        <v>72</v>
      </c>
      <c r="D56" s="3">
        <v>2017</v>
      </c>
      <c r="G56" s="2" t="s">
        <v>69</v>
      </c>
      <c r="H56" s="3">
        <v>2909</v>
      </c>
      <c r="W56" s="2">
        <v>11181</v>
      </c>
      <c r="X56" s="3">
        <v>844</v>
      </c>
    </row>
    <row r="57" spans="3:24">
      <c r="C57" s="2" t="s">
        <v>42</v>
      </c>
      <c r="D57" s="3">
        <v>1935</v>
      </c>
      <c r="G57" s="2" t="s">
        <v>70</v>
      </c>
      <c r="H57" s="3">
        <v>2049</v>
      </c>
      <c r="W57" s="2">
        <v>11235</v>
      </c>
      <c r="X57" s="3">
        <v>915</v>
      </c>
    </row>
    <row r="58" spans="3:24">
      <c r="C58" s="2" t="s">
        <v>52</v>
      </c>
      <c r="D58" s="3">
        <v>1928</v>
      </c>
      <c r="G58" s="2" t="s">
        <v>71</v>
      </c>
      <c r="H58" s="3">
        <v>2243</v>
      </c>
      <c r="W58" s="2">
        <v>11335</v>
      </c>
      <c r="X58" s="3">
        <v>1132</v>
      </c>
    </row>
    <row r="59" spans="3:24">
      <c r="C59" s="2" t="s">
        <v>51</v>
      </c>
      <c r="D59" s="3">
        <v>1832</v>
      </c>
      <c r="G59" s="2" t="s">
        <v>72</v>
      </c>
      <c r="H59" s="3">
        <v>2017</v>
      </c>
      <c r="W59" s="2">
        <v>11418</v>
      </c>
      <c r="X59" s="3">
        <v>616</v>
      </c>
    </row>
    <row r="60" spans="3:24">
      <c r="C60" s="2" t="s">
        <v>81</v>
      </c>
      <c r="D60" s="3">
        <v>1819</v>
      </c>
      <c r="G60" s="2" t="s">
        <v>73</v>
      </c>
      <c r="H60" s="3">
        <v>1384</v>
      </c>
      <c r="W60" s="2">
        <v>11421</v>
      </c>
      <c r="X60" s="3">
        <v>849</v>
      </c>
    </row>
    <row r="61" spans="3:24">
      <c r="C61" s="2" t="s">
        <v>64</v>
      </c>
      <c r="D61" s="3">
        <v>1728</v>
      </c>
      <c r="G61" s="2" t="s">
        <v>74</v>
      </c>
      <c r="H61" s="3">
        <v>2315</v>
      </c>
      <c r="W61" s="2">
        <v>11453</v>
      </c>
      <c r="X61" s="3">
        <v>952</v>
      </c>
    </row>
    <row r="62" spans="3:24">
      <c r="C62" s="2" t="s">
        <v>56</v>
      </c>
      <c r="D62" s="3">
        <v>1713</v>
      </c>
      <c r="G62" s="2" t="s">
        <v>75</v>
      </c>
      <c r="H62" s="3">
        <v>2669</v>
      </c>
      <c r="W62" s="2">
        <v>11625</v>
      </c>
      <c r="X62" s="3">
        <v>1168</v>
      </c>
    </row>
    <row r="63" spans="3:24">
      <c r="C63" s="2" t="s">
        <v>79</v>
      </c>
      <c r="D63" s="3">
        <v>1689</v>
      </c>
      <c r="G63" s="2" t="s">
        <v>76</v>
      </c>
      <c r="H63" s="3">
        <v>2654</v>
      </c>
      <c r="W63" s="2">
        <v>11684</v>
      </c>
      <c r="X63" s="3">
        <v>667</v>
      </c>
    </row>
    <row r="64" spans="3:24">
      <c r="C64" s="2" t="s">
        <v>53</v>
      </c>
      <c r="D64" s="3">
        <v>1680</v>
      </c>
      <c r="G64" s="2" t="s">
        <v>77</v>
      </c>
      <c r="H64" s="3">
        <v>2694</v>
      </c>
      <c r="W64" s="2">
        <v>11826</v>
      </c>
      <c r="X64" s="3">
        <v>1126</v>
      </c>
    </row>
    <row r="65" spans="3:24">
      <c r="C65" s="2" t="s">
        <v>55</v>
      </c>
      <c r="D65" s="3">
        <v>1543</v>
      </c>
      <c r="G65" s="2" t="s">
        <v>78</v>
      </c>
      <c r="H65" s="3">
        <v>3236</v>
      </c>
      <c r="W65" s="2">
        <v>11908</v>
      </c>
      <c r="X65" s="3">
        <v>983</v>
      </c>
    </row>
    <row r="66" spans="3:24">
      <c r="C66" s="2" t="s">
        <v>84</v>
      </c>
      <c r="D66" s="3">
        <v>1436</v>
      </c>
      <c r="G66" s="2" t="s">
        <v>79</v>
      </c>
      <c r="H66" s="3">
        <v>1689</v>
      </c>
      <c r="W66" s="2">
        <v>11911</v>
      </c>
      <c r="X66" s="3">
        <v>1149</v>
      </c>
    </row>
    <row r="67" spans="3:24">
      <c r="C67" s="2" t="s">
        <v>83</v>
      </c>
      <c r="D67" s="3">
        <v>1424</v>
      </c>
      <c r="G67" s="2" t="s">
        <v>80</v>
      </c>
      <c r="H67" s="3">
        <v>2347</v>
      </c>
      <c r="W67" s="2">
        <v>11966</v>
      </c>
      <c r="X67" s="3">
        <v>928</v>
      </c>
    </row>
    <row r="68" spans="3:24">
      <c r="C68" s="2" t="s">
        <v>67</v>
      </c>
      <c r="D68" s="3">
        <v>1400</v>
      </c>
      <c r="G68" s="2" t="s">
        <v>81</v>
      </c>
      <c r="H68" s="3">
        <v>1819</v>
      </c>
      <c r="W68" s="2">
        <v>11972</v>
      </c>
      <c r="X68" s="3">
        <v>1283</v>
      </c>
    </row>
    <row r="69" spans="3:24">
      <c r="C69" s="2" t="s">
        <v>45</v>
      </c>
      <c r="D69" s="3">
        <v>1398</v>
      </c>
      <c r="G69" s="2" t="s">
        <v>82</v>
      </c>
      <c r="H69" s="3">
        <v>2646</v>
      </c>
      <c r="W69" s="2">
        <v>12031</v>
      </c>
      <c r="X69" s="3">
        <v>684</v>
      </c>
    </row>
    <row r="70" spans="3:24">
      <c r="C70" s="2" t="s">
        <v>73</v>
      </c>
      <c r="D70" s="3">
        <v>1384</v>
      </c>
      <c r="G70" s="2" t="s">
        <v>83</v>
      </c>
      <c r="H70" s="3">
        <v>1424</v>
      </c>
      <c r="W70" s="2">
        <v>12115</v>
      </c>
      <c r="X70" s="3">
        <v>844</v>
      </c>
    </row>
    <row r="71" spans="3:24">
      <c r="C71" s="2" t="s">
        <v>16</v>
      </c>
      <c r="D71" s="3">
        <v>0</v>
      </c>
      <c r="G71" s="2" t="s">
        <v>84</v>
      </c>
      <c r="H71" s="3">
        <v>1436</v>
      </c>
      <c r="W71" s="2">
        <v>12170</v>
      </c>
      <c r="X71" s="3">
        <v>1033</v>
      </c>
    </row>
    <row r="72" spans="3:24">
      <c r="C72" s="2" t="s">
        <v>1</v>
      </c>
      <c r="D72" s="3">
        <v>161588</v>
      </c>
      <c r="G72" s="2" t="s">
        <v>1</v>
      </c>
      <c r="H72" s="3">
        <v>161588</v>
      </c>
      <c r="W72" s="2">
        <v>12181</v>
      </c>
      <c r="X72" s="3">
        <v>559</v>
      </c>
    </row>
    <row r="73" spans="3:24">
      <c r="W73" s="2">
        <v>12277</v>
      </c>
      <c r="X73" s="3">
        <v>1117</v>
      </c>
    </row>
    <row r="74" spans="3:24">
      <c r="W74" s="2">
        <v>12323</v>
      </c>
      <c r="X74" s="3">
        <v>951</v>
      </c>
    </row>
    <row r="75" spans="3:24">
      <c r="W75" s="2">
        <v>12390</v>
      </c>
      <c r="X75" s="3">
        <v>359</v>
      </c>
    </row>
    <row r="76" spans="3:24">
      <c r="W76" s="2">
        <v>12391</v>
      </c>
      <c r="X76" s="3">
        <v>590</v>
      </c>
    </row>
    <row r="77" spans="3:24">
      <c r="W77" s="2">
        <v>12399</v>
      </c>
      <c r="X77" s="3">
        <v>1121</v>
      </c>
    </row>
    <row r="78" spans="3:24">
      <c r="W78" s="2">
        <v>12562</v>
      </c>
      <c r="X78" s="3">
        <v>569</v>
      </c>
    </row>
    <row r="79" spans="3:24">
      <c r="W79" s="2">
        <v>12767</v>
      </c>
      <c r="X79" s="3">
        <v>831</v>
      </c>
    </row>
    <row r="80" spans="3:24">
      <c r="W80" s="2">
        <v>12774</v>
      </c>
      <c r="X80" s="3">
        <v>447</v>
      </c>
    </row>
    <row r="81" spans="23:24">
      <c r="W81" s="2">
        <v>12840</v>
      </c>
      <c r="X81" s="3">
        <v>477</v>
      </c>
    </row>
    <row r="82" spans="23:24">
      <c r="W82" s="2">
        <v>12937</v>
      </c>
      <c r="X82" s="3">
        <v>578</v>
      </c>
    </row>
    <row r="83" spans="23:24">
      <c r="W83" s="2">
        <v>12985</v>
      </c>
      <c r="X83" s="3">
        <v>1274</v>
      </c>
    </row>
    <row r="84" spans="23:24">
      <c r="W84" s="2">
        <v>13013</v>
      </c>
      <c r="X84" s="3">
        <v>730</v>
      </c>
    </row>
    <row r="85" spans="23:24">
      <c r="W85" s="2">
        <v>13051</v>
      </c>
      <c r="X85" s="3">
        <v>1166</v>
      </c>
    </row>
    <row r="86" spans="23:24">
      <c r="W86" s="2">
        <v>13140</v>
      </c>
      <c r="X86" s="3">
        <v>302</v>
      </c>
    </row>
    <row r="87" spans="23:24">
      <c r="W87" s="2">
        <v>13301</v>
      </c>
      <c r="X87" s="3">
        <v>850</v>
      </c>
    </row>
    <row r="88" spans="23:24">
      <c r="W88" s="2">
        <v>13314</v>
      </c>
      <c r="X88" s="3">
        <v>725</v>
      </c>
    </row>
    <row r="89" spans="23:24">
      <c r="W89" s="2">
        <v>13424</v>
      </c>
      <c r="X89" s="3">
        <v>872</v>
      </c>
    </row>
    <row r="90" spans="23:24">
      <c r="W90" s="2">
        <v>13644</v>
      </c>
      <c r="X90" s="3">
        <v>414</v>
      </c>
    </row>
    <row r="91" spans="23:24">
      <c r="W91" s="2">
        <v>13740</v>
      </c>
      <c r="X91" s="3">
        <v>978</v>
      </c>
    </row>
    <row r="92" spans="23:24">
      <c r="W92" s="2">
        <v>13763</v>
      </c>
      <c r="X92" s="3">
        <v>459</v>
      </c>
    </row>
    <row r="93" spans="23:24">
      <c r="W93" s="2">
        <v>13883</v>
      </c>
      <c r="X93" s="3">
        <v>636</v>
      </c>
    </row>
    <row r="94" spans="23:24">
      <c r="W94" s="2">
        <v>14051</v>
      </c>
      <c r="X94" s="3">
        <v>932</v>
      </c>
    </row>
    <row r="95" spans="23:24">
      <c r="W95" s="2">
        <v>14178</v>
      </c>
      <c r="X95" s="3">
        <v>1242</v>
      </c>
    </row>
    <row r="96" spans="23:24">
      <c r="W96" s="2">
        <v>14215</v>
      </c>
      <c r="X96" s="3">
        <v>762</v>
      </c>
    </row>
    <row r="97" spans="23:24">
      <c r="W97" s="2">
        <v>14217</v>
      </c>
      <c r="X97" s="3">
        <v>515</v>
      </c>
    </row>
    <row r="98" spans="23:24">
      <c r="W98" s="2">
        <v>14273</v>
      </c>
      <c r="X98" s="3">
        <v>537</v>
      </c>
    </row>
    <row r="99" spans="23:24">
      <c r="W99" s="2">
        <v>14412</v>
      </c>
      <c r="X99" s="3">
        <v>1371</v>
      </c>
    </row>
    <row r="100" spans="23:24">
      <c r="W100" s="2">
        <v>14475</v>
      </c>
      <c r="X100" s="3">
        <v>749</v>
      </c>
    </row>
    <row r="101" spans="23:24">
      <c r="W101" s="2">
        <v>14477</v>
      </c>
      <c r="X101" s="3">
        <v>1283</v>
      </c>
    </row>
    <row r="102" spans="23:24">
      <c r="W102" s="2">
        <v>14479</v>
      </c>
      <c r="X102" s="3">
        <v>1234</v>
      </c>
    </row>
    <row r="103" spans="23:24">
      <c r="W103" s="2">
        <v>14496</v>
      </c>
      <c r="X103" s="3">
        <v>704</v>
      </c>
    </row>
    <row r="104" spans="23:24">
      <c r="W104" s="2">
        <v>14534</v>
      </c>
      <c r="X104" s="3">
        <v>935</v>
      </c>
    </row>
    <row r="105" spans="23:24">
      <c r="W105" s="2">
        <v>14563</v>
      </c>
      <c r="X105" s="3">
        <v>1202</v>
      </c>
    </row>
    <row r="106" spans="23:24">
      <c r="W106" s="2">
        <v>14749</v>
      </c>
      <c r="X106" s="3">
        <v>467</v>
      </c>
    </row>
    <row r="107" spans="23:24">
      <c r="W107" s="2">
        <v>14975</v>
      </c>
      <c r="X107" s="3">
        <v>724</v>
      </c>
    </row>
    <row r="108" spans="23:24">
      <c r="W108" s="2">
        <v>15108</v>
      </c>
      <c r="X108" s="3">
        <v>405</v>
      </c>
    </row>
    <row r="109" spans="23:24">
      <c r="W109" s="2">
        <v>15128</v>
      </c>
      <c r="X109" s="3">
        <v>354</v>
      </c>
    </row>
    <row r="110" spans="23:24">
      <c r="W110" s="2">
        <v>15461</v>
      </c>
      <c r="X110" s="3">
        <v>839</v>
      </c>
    </row>
    <row r="111" spans="23:24">
      <c r="W111" s="2">
        <v>15595</v>
      </c>
      <c r="X111" s="3">
        <v>364</v>
      </c>
    </row>
    <row r="112" spans="23:24">
      <c r="W112" s="2">
        <v>15613</v>
      </c>
      <c r="X112" s="3">
        <v>1353</v>
      </c>
    </row>
    <row r="113" spans="23:24">
      <c r="W113" s="2">
        <v>15655</v>
      </c>
      <c r="X113" s="3">
        <v>676</v>
      </c>
    </row>
    <row r="114" spans="23:24">
      <c r="W114" s="2">
        <v>15773</v>
      </c>
      <c r="X114" s="3">
        <v>1041</v>
      </c>
    </row>
    <row r="115" spans="23:24">
      <c r="W115" s="2">
        <v>15915</v>
      </c>
      <c r="X115" s="3">
        <v>596</v>
      </c>
    </row>
    <row r="116" spans="23:24">
      <c r="W116" s="2">
        <v>15924</v>
      </c>
      <c r="X116" s="3">
        <v>1117</v>
      </c>
    </row>
    <row r="117" spans="23:24">
      <c r="W117" s="2">
        <v>16377</v>
      </c>
      <c r="X117" s="3">
        <v>428</v>
      </c>
    </row>
    <row r="118" spans="23:24">
      <c r="W118" s="2">
        <v>16385</v>
      </c>
      <c r="X118" s="3">
        <v>956</v>
      </c>
    </row>
    <row r="119" spans="23:24">
      <c r="W119" s="2">
        <v>16875</v>
      </c>
      <c r="X119" s="3">
        <v>725</v>
      </c>
    </row>
    <row r="120" spans="23:24">
      <c r="W120" s="2">
        <v>16921</v>
      </c>
      <c r="X120" s="3">
        <v>1082</v>
      </c>
    </row>
    <row r="121" spans="23:24">
      <c r="W121" s="2">
        <v>17103</v>
      </c>
      <c r="X121" s="3">
        <v>647</v>
      </c>
    </row>
    <row r="122" spans="23:24">
      <c r="W122" s="2">
        <v>17460</v>
      </c>
      <c r="X122" s="3">
        <v>702</v>
      </c>
    </row>
    <row r="123" spans="23:24">
      <c r="W123" s="2">
        <v>17574</v>
      </c>
      <c r="X123" s="3">
        <v>1117</v>
      </c>
    </row>
    <row r="124" spans="23:24">
      <c r="W124" s="2">
        <v>17662</v>
      </c>
      <c r="X124" s="3">
        <v>1058</v>
      </c>
    </row>
    <row r="125" spans="23:24">
      <c r="W125" s="2">
        <v>17729</v>
      </c>
      <c r="X125" s="3">
        <v>554</v>
      </c>
    </row>
    <row r="126" spans="23:24">
      <c r="W126" s="2">
        <v>18071</v>
      </c>
      <c r="X126" s="3">
        <v>1268</v>
      </c>
    </row>
    <row r="127" spans="23:24">
      <c r="W127" s="2">
        <v>18267</v>
      </c>
      <c r="X127" s="3">
        <v>1009</v>
      </c>
    </row>
    <row r="128" spans="23:24">
      <c r="W128" s="2">
        <v>18303</v>
      </c>
      <c r="X128" s="3">
        <v>523</v>
      </c>
    </row>
    <row r="129" spans="23:24">
      <c r="W129" s="2">
        <v>18442</v>
      </c>
      <c r="X129" s="3">
        <v>1367</v>
      </c>
    </row>
    <row r="130" spans="23:24">
      <c r="W130" s="2">
        <v>18576</v>
      </c>
      <c r="X130" s="3">
        <v>892</v>
      </c>
    </row>
    <row r="131" spans="23:24">
      <c r="W131" s="2">
        <v>18654</v>
      </c>
      <c r="X131" s="3">
        <v>699</v>
      </c>
    </row>
    <row r="132" spans="23:24">
      <c r="W132" s="2">
        <v>18867</v>
      </c>
      <c r="X132" s="3">
        <v>382</v>
      </c>
    </row>
    <row r="133" spans="23:24">
      <c r="W133" s="2">
        <v>19000</v>
      </c>
      <c r="X133" s="3">
        <v>377</v>
      </c>
    </row>
    <row r="134" spans="23:24">
      <c r="W134" s="2">
        <v>19054</v>
      </c>
      <c r="X134" s="3">
        <v>436</v>
      </c>
    </row>
    <row r="135" spans="23:24">
      <c r="W135" s="2">
        <v>19328</v>
      </c>
      <c r="X135" s="3">
        <v>714</v>
      </c>
    </row>
    <row r="136" spans="23:24">
      <c r="W136" s="2">
        <v>19538</v>
      </c>
      <c r="X136" s="3">
        <v>250</v>
      </c>
    </row>
    <row r="137" spans="23:24">
      <c r="W137" s="2">
        <v>19949</v>
      </c>
      <c r="X137" s="3">
        <v>1387</v>
      </c>
    </row>
    <row r="138" spans="23:24">
      <c r="W138" s="2">
        <v>20109</v>
      </c>
      <c r="X138" s="3">
        <v>994</v>
      </c>
    </row>
    <row r="139" spans="23:24">
      <c r="W139" s="2">
        <v>20162</v>
      </c>
      <c r="X139" s="3">
        <v>333</v>
      </c>
    </row>
    <row r="140" spans="23:24">
      <c r="W140" s="2">
        <v>20306</v>
      </c>
      <c r="X140" s="3">
        <v>1291</v>
      </c>
    </row>
    <row r="141" spans="23:24">
      <c r="W141" s="2">
        <v>20438</v>
      </c>
      <c r="X141" s="3">
        <v>450</v>
      </c>
    </row>
    <row r="142" spans="23:24">
      <c r="W142" s="2">
        <v>20474</v>
      </c>
      <c r="X142" s="3">
        <v>496</v>
      </c>
    </row>
    <row r="143" spans="23:24">
      <c r="W143" s="2">
        <v>20572</v>
      </c>
      <c r="X143" s="3">
        <v>338</v>
      </c>
    </row>
    <row r="144" spans="23:24">
      <c r="W144" s="2">
        <v>20595</v>
      </c>
      <c r="X144" s="3">
        <v>1184</v>
      </c>
    </row>
    <row r="145" spans="23:24">
      <c r="W145" s="2">
        <v>21079</v>
      </c>
      <c r="X145" s="3">
        <v>1099</v>
      </c>
    </row>
    <row r="146" spans="23:24">
      <c r="W146" s="2">
        <v>21107</v>
      </c>
      <c r="X146" s="3">
        <v>595</v>
      </c>
    </row>
    <row r="147" spans="23:24">
      <c r="W147" s="2">
        <v>21134</v>
      </c>
      <c r="X147" s="3">
        <v>400</v>
      </c>
    </row>
    <row r="148" spans="23:24">
      <c r="W148" s="2">
        <v>21254</v>
      </c>
      <c r="X148" s="3">
        <v>948</v>
      </c>
    </row>
    <row r="149" spans="23:24">
      <c r="W149" s="2">
        <v>21464</v>
      </c>
      <c r="X149" s="3">
        <v>567</v>
      </c>
    </row>
    <row r="150" spans="23:24">
      <c r="W150" s="2">
        <v>21771</v>
      </c>
      <c r="X150" s="3">
        <v>1014</v>
      </c>
    </row>
    <row r="151" spans="23:24">
      <c r="W151" s="2">
        <v>21900</v>
      </c>
      <c r="X151" s="3">
        <v>1005</v>
      </c>
    </row>
    <row r="152" spans="23:24">
      <c r="W152" s="2">
        <v>22029</v>
      </c>
      <c r="X152" s="3">
        <v>452</v>
      </c>
    </row>
    <row r="153" spans="23:24">
      <c r="W153" s="2">
        <v>22103</v>
      </c>
      <c r="X153" s="3">
        <v>960</v>
      </c>
    </row>
    <row r="154" spans="23:24">
      <c r="W154" s="2">
        <v>22191</v>
      </c>
      <c r="X154" s="3">
        <v>940</v>
      </c>
    </row>
    <row r="155" spans="23:24">
      <c r="W155" s="2">
        <v>22234</v>
      </c>
      <c r="X155" s="3">
        <v>463</v>
      </c>
    </row>
    <row r="156" spans="23:24">
      <c r="W156" s="2">
        <v>22244</v>
      </c>
      <c r="X156" s="3">
        <v>718</v>
      </c>
    </row>
    <row r="157" spans="23:24">
      <c r="W157" s="2">
        <v>22428</v>
      </c>
      <c r="X157" s="3">
        <v>478</v>
      </c>
    </row>
    <row r="158" spans="23:24">
      <c r="W158" s="2">
        <v>22456</v>
      </c>
      <c r="X158" s="3">
        <v>700</v>
      </c>
    </row>
    <row r="159" spans="23:24">
      <c r="W159" s="2">
        <v>22619</v>
      </c>
      <c r="X159" s="3">
        <v>612</v>
      </c>
    </row>
    <row r="160" spans="23:24">
      <c r="W160" s="2">
        <v>22788</v>
      </c>
      <c r="X160" s="3">
        <v>909</v>
      </c>
    </row>
    <row r="161" spans="23:24">
      <c r="W161" s="2">
        <v>23125</v>
      </c>
      <c r="X161" s="3">
        <v>1334</v>
      </c>
    </row>
    <row r="162" spans="23:24">
      <c r="W162" s="2">
        <v>23329</v>
      </c>
      <c r="X162" s="3">
        <v>808</v>
      </c>
    </row>
    <row r="163" spans="23:24">
      <c r="W163" s="2">
        <v>23486</v>
      </c>
      <c r="X163" s="3">
        <v>567</v>
      </c>
    </row>
    <row r="164" spans="23:24">
      <c r="W164" s="2">
        <v>23736</v>
      </c>
      <c r="X164" s="3">
        <v>1335</v>
      </c>
    </row>
    <row r="165" spans="23:24">
      <c r="W165" s="2">
        <v>23900</v>
      </c>
      <c r="X165" s="3">
        <v>582</v>
      </c>
    </row>
    <row r="166" spans="23:24">
      <c r="W166" s="2">
        <v>23963</v>
      </c>
      <c r="X166" s="3">
        <v>474</v>
      </c>
    </row>
    <row r="167" spans="23:24">
      <c r="W167" s="2">
        <v>24112</v>
      </c>
      <c r="X167" s="3">
        <v>523</v>
      </c>
    </row>
    <row r="168" spans="23:24">
      <c r="W168" s="2">
        <v>24358</v>
      </c>
      <c r="X168" s="3">
        <v>1175</v>
      </c>
    </row>
    <row r="169" spans="23:24">
      <c r="W169" s="2">
        <v>24548</v>
      </c>
      <c r="X169" s="3">
        <v>1031</v>
      </c>
    </row>
    <row r="170" spans="23:24">
      <c r="W170" s="2">
        <v>24617</v>
      </c>
      <c r="X170" s="3">
        <v>1125</v>
      </c>
    </row>
    <row r="171" spans="23:24">
      <c r="W171" s="2">
        <v>24827</v>
      </c>
      <c r="X171" s="3">
        <v>889</v>
      </c>
    </row>
    <row r="172" spans="23:24">
      <c r="W172" s="2">
        <v>24858</v>
      </c>
      <c r="X172" s="3">
        <v>378</v>
      </c>
    </row>
    <row r="173" spans="23:24">
      <c r="W173" s="2">
        <v>24943</v>
      </c>
      <c r="X173" s="3">
        <v>543</v>
      </c>
    </row>
    <row r="174" spans="23:24">
      <c r="W174" s="2">
        <v>25038</v>
      </c>
      <c r="X174" s="3">
        <v>1204</v>
      </c>
    </row>
    <row r="175" spans="23:24">
      <c r="W175" s="2">
        <v>25040</v>
      </c>
      <c r="X175" s="3">
        <v>1302</v>
      </c>
    </row>
    <row r="176" spans="23:24">
      <c r="W176" s="2">
        <v>25058</v>
      </c>
      <c r="X176" s="3">
        <v>499</v>
      </c>
    </row>
    <row r="177" spans="23:24">
      <c r="W177" s="2">
        <v>25130</v>
      </c>
      <c r="X177" s="3">
        <v>1174</v>
      </c>
    </row>
    <row r="178" spans="23:24">
      <c r="W178" s="2">
        <v>25234</v>
      </c>
      <c r="X178" s="3">
        <v>1279</v>
      </c>
    </row>
    <row r="179" spans="23:24">
      <c r="W179" s="2">
        <v>25259</v>
      </c>
      <c r="X179" s="3">
        <v>486</v>
      </c>
    </row>
    <row r="180" spans="23:24">
      <c r="W180" s="2">
        <v>25267</v>
      </c>
      <c r="X180" s="3">
        <v>442</v>
      </c>
    </row>
    <row r="181" spans="23:24">
      <c r="W181" s="2">
        <v>25347</v>
      </c>
      <c r="X181" s="3">
        <v>577</v>
      </c>
    </row>
    <row r="182" spans="23:24">
      <c r="W182" s="2">
        <v>25478</v>
      </c>
      <c r="X182" s="3">
        <v>422</v>
      </c>
    </row>
    <row r="183" spans="23:24">
      <c r="W183" s="2">
        <v>25537</v>
      </c>
      <c r="X183" s="3">
        <v>464</v>
      </c>
    </row>
    <row r="184" spans="23:24">
      <c r="W184" s="2">
        <v>25542</v>
      </c>
      <c r="X184" s="3">
        <v>765</v>
      </c>
    </row>
    <row r="185" spans="23:24">
      <c r="W185" s="2">
        <v>25703</v>
      </c>
      <c r="X185" s="3">
        <v>611</v>
      </c>
    </row>
    <row r="186" spans="23:24">
      <c r="W186" s="2">
        <v>25742</v>
      </c>
      <c r="X186" s="3">
        <v>1098</v>
      </c>
    </row>
    <row r="187" spans="23:24">
      <c r="W187" s="2">
        <v>26024</v>
      </c>
      <c r="X187" s="3">
        <v>320</v>
      </c>
    </row>
    <row r="188" spans="23:24">
      <c r="W188" s="2">
        <v>26073</v>
      </c>
      <c r="X188" s="3">
        <v>576</v>
      </c>
    </row>
    <row r="189" spans="23:24">
      <c r="W189" s="2">
        <v>26273</v>
      </c>
      <c r="X189" s="3">
        <v>1390</v>
      </c>
    </row>
    <row r="190" spans="23:24">
      <c r="W190" s="2">
        <v>26298</v>
      </c>
      <c r="X190" s="3">
        <v>1397</v>
      </c>
    </row>
    <row r="191" spans="23:24">
      <c r="W191" s="2">
        <v>26333</v>
      </c>
      <c r="X191" s="3">
        <v>814</v>
      </c>
    </row>
    <row r="192" spans="23:24">
      <c r="W192" s="2">
        <v>26618</v>
      </c>
      <c r="X192" s="3">
        <v>813</v>
      </c>
    </row>
    <row r="193" spans="23:24">
      <c r="W193" s="2">
        <v>26624</v>
      </c>
      <c r="X193" s="3">
        <v>1022</v>
      </c>
    </row>
    <row r="194" spans="23:24">
      <c r="W194" s="2">
        <v>26644</v>
      </c>
      <c r="X194" s="3">
        <v>262</v>
      </c>
    </row>
    <row r="195" spans="23:24">
      <c r="W195" s="2">
        <v>26730</v>
      </c>
      <c r="X195" s="3">
        <v>544</v>
      </c>
    </row>
    <row r="196" spans="23:24">
      <c r="W196" s="2">
        <v>26872</v>
      </c>
      <c r="X196" s="3">
        <v>1113</v>
      </c>
    </row>
    <row r="197" spans="23:24">
      <c r="W197" s="2">
        <v>27126</v>
      </c>
      <c r="X197" s="3">
        <v>1282</v>
      </c>
    </row>
    <row r="198" spans="23:24">
      <c r="W198" s="2">
        <v>27393</v>
      </c>
      <c r="X198" s="3">
        <v>1191</v>
      </c>
    </row>
    <row r="199" spans="23:24">
      <c r="W199" s="2">
        <v>27575</v>
      </c>
      <c r="X199" s="3">
        <v>485</v>
      </c>
    </row>
    <row r="200" spans="23:24">
      <c r="W200" s="2">
        <v>27753</v>
      </c>
      <c r="X200" s="3">
        <v>690</v>
      </c>
    </row>
    <row r="201" spans="23:24">
      <c r="W201" s="2">
        <v>27782</v>
      </c>
      <c r="X201" s="3">
        <v>1356</v>
      </c>
    </row>
    <row r="202" spans="23:24">
      <c r="W202" s="2">
        <v>27809</v>
      </c>
      <c r="X202" s="3">
        <v>1139</v>
      </c>
    </row>
    <row r="203" spans="23:24">
      <c r="W203" s="2">
        <v>27829</v>
      </c>
      <c r="X203" s="3">
        <v>382</v>
      </c>
    </row>
    <row r="204" spans="23:24">
      <c r="W204" s="2" t="s">
        <v>15</v>
      </c>
      <c r="X204" s="3">
        <v>0</v>
      </c>
    </row>
    <row r="205" spans="23:24">
      <c r="W205" s="2" t="s">
        <v>1</v>
      </c>
      <c r="X205" s="3">
        <v>161588</v>
      </c>
    </row>
  </sheetData>
  <mergeCells count="7">
    <mergeCell ref="J24:N26"/>
    <mergeCell ref="AC3:AF4"/>
    <mergeCell ref="Y5:AA5"/>
    <mergeCell ref="Y6:AA6"/>
    <mergeCell ref="B1:E2"/>
    <mergeCell ref="G2:P3"/>
    <mergeCell ref="W3:AA4"/>
  </mergeCells>
  <conditionalFormatting sqref="D3:D1048576">
    <cfRule type="top10" priority="1" rank="1"/>
  </conditionalFormatting>
  <conditionalFormatting sqref="D73:D1048576 D3">
    <cfRule type="top10" priority="2" rank="1"/>
  </conditionalFormatting>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54E9-0766-4212-BF33-61D8DE66930C}">
  <dimension ref="A1"/>
  <sheetViews>
    <sheetView tabSelected="1" workbookViewId="0">
      <selection activeCell="K17" sqref="K17"/>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3022-5BC2-4F8A-81A8-5325F36D537D}">
  <dimension ref="A1:I1000"/>
  <sheetViews>
    <sheetView topLeftCell="D2" workbookViewId="0">
      <selection activeCell="F10" sqref="F10"/>
    </sheetView>
  </sheetViews>
  <sheetFormatPr defaultColWidth="14.42578125" defaultRowHeight="15" customHeight="1"/>
  <cols>
    <col min="1" max="1" width="23.85546875" style="12" customWidth="1"/>
    <col min="2" max="2" width="23.85546875" style="13" customWidth="1"/>
    <col min="3" max="3" width="17.42578125" style="3" customWidth="1"/>
    <col min="4" max="4" width="12.7109375" style="3" customWidth="1"/>
    <col min="5" max="5" width="17.85546875" style="3" customWidth="1"/>
    <col min="6" max="6" width="21.7109375" style="14" customWidth="1"/>
    <col min="7" max="7" width="12.7109375" style="3" customWidth="1"/>
    <col min="8" max="8" width="19.5703125" customWidth="1"/>
    <col min="9" max="9" width="23.28515625" customWidth="1"/>
    <col min="10" max="26" width="8.7109375" customWidth="1"/>
  </cols>
  <sheetData>
    <row r="1" spans="1:9">
      <c r="A1" s="4" t="s">
        <v>3</v>
      </c>
      <c r="B1" s="5" t="s">
        <v>4</v>
      </c>
      <c r="C1" s="6" t="s">
        <v>5</v>
      </c>
      <c r="D1" s="6" t="s">
        <v>6</v>
      </c>
      <c r="E1" s="6" t="s">
        <v>7</v>
      </c>
      <c r="F1" s="7" t="s">
        <v>8</v>
      </c>
      <c r="G1" s="6" t="s">
        <v>9</v>
      </c>
      <c r="H1" s="6" t="s">
        <v>10</v>
      </c>
      <c r="I1" s="6" t="s">
        <v>11</v>
      </c>
    </row>
    <row r="2" spans="1:9">
      <c r="A2" s="8">
        <v>45446</v>
      </c>
      <c r="B2" s="5" t="s">
        <v>12</v>
      </c>
      <c r="C2" s="9">
        <v>1402</v>
      </c>
      <c r="D2" s="9">
        <v>68</v>
      </c>
      <c r="E2" s="9">
        <v>124562</v>
      </c>
      <c r="F2" s="10">
        <v>9.92</v>
      </c>
      <c r="G2" s="9">
        <v>23125</v>
      </c>
      <c r="H2" s="3">
        <f>Table2[[#This Row],[New_Followers]]-Table2[[#This Row],[Unfollows]]</f>
        <v>1334</v>
      </c>
      <c r="I2" s="11">
        <f>(Table2[[#This Row],[follower gain]]/Table2[[#This Row],[Total_Followers]])*100</f>
        <v>1.0709526179733788</v>
      </c>
    </row>
    <row r="3" spans="1:9">
      <c r="A3" s="8">
        <v>45446</v>
      </c>
      <c r="B3" s="5" t="s">
        <v>13</v>
      </c>
      <c r="C3" s="9">
        <v>995</v>
      </c>
      <c r="D3" s="9">
        <v>86</v>
      </c>
      <c r="E3" s="9">
        <v>227958</v>
      </c>
      <c r="F3" s="10">
        <v>8.0500000000000007</v>
      </c>
      <c r="G3" s="9">
        <v>22788</v>
      </c>
      <c r="H3" s="3">
        <f>Table2[[#This Row],[New_Followers]]-Table2[[#This Row],[Unfollows]]</f>
        <v>909</v>
      </c>
      <c r="I3" s="11">
        <f>(Table2[[#This Row],[follower gain]]/Table2[[#This Row],[Total_Followers]])*100</f>
        <v>0.39875766588582107</v>
      </c>
    </row>
    <row r="4" spans="1:9">
      <c r="A4" s="8">
        <v>45446</v>
      </c>
      <c r="B4" s="5" t="s">
        <v>14</v>
      </c>
      <c r="C4" s="9">
        <v>1472</v>
      </c>
      <c r="D4" s="9">
        <v>296</v>
      </c>
      <c r="E4" s="9">
        <v>370242</v>
      </c>
      <c r="F4" s="10">
        <v>7.72</v>
      </c>
      <c r="G4" s="9">
        <v>7810</v>
      </c>
      <c r="H4" s="3">
        <f>Table2[[#This Row],[New_Followers]]-Table2[[#This Row],[Unfollows]]</f>
        <v>1176</v>
      </c>
      <c r="I4" s="11">
        <f>(Table2[[#This Row],[follower gain]]/Table2[[#This Row],[Total_Followers]])*100</f>
        <v>0.31763009058939828</v>
      </c>
    </row>
    <row r="5" spans="1:9">
      <c r="A5" s="8">
        <v>45453</v>
      </c>
      <c r="B5" s="5" t="s">
        <v>12</v>
      </c>
      <c r="C5" s="9">
        <v>1018</v>
      </c>
      <c r="D5" s="9">
        <v>90</v>
      </c>
      <c r="E5" s="9">
        <v>92474</v>
      </c>
      <c r="F5" s="10">
        <v>9.4</v>
      </c>
      <c r="G5" s="9">
        <v>11966</v>
      </c>
      <c r="H5" s="3">
        <f>Table2[[#This Row],[New_Followers]]-Table2[[#This Row],[Unfollows]]</f>
        <v>928</v>
      </c>
      <c r="I5" s="11">
        <f>(Table2[[#This Row],[follower gain]]/Table2[[#This Row],[Total_Followers]])*100</f>
        <v>1.0035253152237384</v>
      </c>
    </row>
    <row r="6" spans="1:9">
      <c r="A6" s="8">
        <v>45453</v>
      </c>
      <c r="B6" s="5" t="s">
        <v>13</v>
      </c>
      <c r="C6" s="9">
        <v>1461</v>
      </c>
      <c r="D6" s="9">
        <v>64</v>
      </c>
      <c r="E6" s="9">
        <v>328902</v>
      </c>
      <c r="F6" s="10">
        <v>9.02</v>
      </c>
      <c r="G6" s="9">
        <v>26298</v>
      </c>
      <c r="H6" s="3">
        <f>Table2[[#This Row],[New_Followers]]-Table2[[#This Row],[Unfollows]]</f>
        <v>1397</v>
      </c>
      <c r="I6" s="11">
        <f>(Table2[[#This Row],[follower gain]]/Table2[[#This Row],[Total_Followers]])*100</f>
        <v>0.42474658104845819</v>
      </c>
    </row>
    <row r="7" spans="1:9">
      <c r="A7" s="8">
        <v>45453</v>
      </c>
      <c r="B7" s="5" t="s">
        <v>14</v>
      </c>
      <c r="C7" s="9">
        <v>545</v>
      </c>
      <c r="D7" s="9">
        <v>93</v>
      </c>
      <c r="E7" s="9">
        <v>391621</v>
      </c>
      <c r="F7" s="10">
        <v>9.9600000000000009</v>
      </c>
      <c r="G7" s="9">
        <v>22029</v>
      </c>
      <c r="H7" s="3">
        <f>Table2[[#This Row],[New_Followers]]-Table2[[#This Row],[Unfollows]]</f>
        <v>452</v>
      </c>
      <c r="I7" s="11">
        <f>(Table2[[#This Row],[follower gain]]/Table2[[#This Row],[Total_Followers]])*100</f>
        <v>0.11541771253329111</v>
      </c>
    </row>
    <row r="8" spans="1:9">
      <c r="A8" s="8">
        <v>45460</v>
      </c>
      <c r="B8" s="5" t="s">
        <v>12</v>
      </c>
      <c r="C8" s="9">
        <v>881</v>
      </c>
      <c r="D8" s="9">
        <v>291</v>
      </c>
      <c r="E8" s="9">
        <v>95885</v>
      </c>
      <c r="F8" s="10">
        <v>5.29</v>
      </c>
      <c r="G8" s="9">
        <v>12391</v>
      </c>
      <c r="H8" s="3">
        <f>Table2[[#This Row],[New_Followers]]-Table2[[#This Row],[Unfollows]]</f>
        <v>590</v>
      </c>
      <c r="I8" s="11">
        <f>(Table2[[#This Row],[follower gain]]/Table2[[#This Row],[Total_Followers]])*100</f>
        <v>0.61532043593888508</v>
      </c>
    </row>
    <row r="9" spans="1:9">
      <c r="A9" s="8">
        <v>45460</v>
      </c>
      <c r="B9" s="5" t="s">
        <v>13</v>
      </c>
      <c r="C9" s="9">
        <v>1414</v>
      </c>
      <c r="D9" s="9">
        <v>131</v>
      </c>
      <c r="E9" s="9">
        <v>245947</v>
      </c>
      <c r="F9" s="10">
        <v>8.3000000000000007</v>
      </c>
      <c r="G9" s="9">
        <v>14477</v>
      </c>
      <c r="H9" s="3">
        <f>Table2[[#This Row],[New_Followers]]-Table2[[#This Row],[Unfollows]]</f>
        <v>1283</v>
      </c>
      <c r="I9" s="11">
        <f>(Table2[[#This Row],[follower gain]]/Table2[[#This Row],[Total_Followers]])*100</f>
        <v>0.52165710498603357</v>
      </c>
    </row>
    <row r="10" spans="1:9">
      <c r="A10" s="8">
        <v>45460</v>
      </c>
      <c r="B10" s="5" t="s">
        <v>14</v>
      </c>
      <c r="C10" s="9">
        <v>1472</v>
      </c>
      <c r="D10" s="9">
        <v>170</v>
      </c>
      <c r="E10" s="9">
        <v>250428</v>
      </c>
      <c r="F10" s="10">
        <v>4.66</v>
      </c>
      <c r="G10" s="9">
        <v>25040</v>
      </c>
      <c r="H10" s="3">
        <f>Table2[[#This Row],[New_Followers]]-Table2[[#This Row],[Unfollows]]</f>
        <v>1302</v>
      </c>
      <c r="I10" s="11">
        <f>(Table2[[#This Row],[follower gain]]/Table2[[#This Row],[Total_Followers]])*100</f>
        <v>0.51990991422684363</v>
      </c>
    </row>
    <row r="11" spans="1:9">
      <c r="A11" s="8">
        <v>45467</v>
      </c>
      <c r="B11" s="5" t="s">
        <v>12</v>
      </c>
      <c r="C11" s="9">
        <v>809</v>
      </c>
      <c r="D11" s="9">
        <v>197</v>
      </c>
      <c r="E11" s="9">
        <v>87186</v>
      </c>
      <c r="F11" s="10">
        <v>9.48</v>
      </c>
      <c r="G11" s="9">
        <v>22619</v>
      </c>
      <c r="H11" s="3">
        <f>Table2[[#This Row],[New_Followers]]-Table2[[#This Row],[Unfollows]]</f>
        <v>612</v>
      </c>
      <c r="I11" s="11">
        <f>(Table2[[#This Row],[follower gain]]/Table2[[#This Row],[Total_Followers]])*100</f>
        <v>0.70194756038813566</v>
      </c>
    </row>
    <row r="12" spans="1:9">
      <c r="A12" s="8">
        <v>45467</v>
      </c>
      <c r="B12" s="5" t="s">
        <v>13</v>
      </c>
      <c r="C12" s="9">
        <v>1371</v>
      </c>
      <c r="D12" s="9">
        <v>250</v>
      </c>
      <c r="E12" s="9">
        <v>128620</v>
      </c>
      <c r="F12" s="10">
        <v>7.11</v>
      </c>
      <c r="G12" s="9">
        <v>12399</v>
      </c>
      <c r="H12" s="3">
        <f>Table2[[#This Row],[New_Followers]]-Table2[[#This Row],[Unfollows]]</f>
        <v>1121</v>
      </c>
      <c r="I12" s="11">
        <f>(Table2[[#This Row],[follower gain]]/Table2[[#This Row],[Total_Followers]])*100</f>
        <v>0.87155963302752304</v>
      </c>
    </row>
    <row r="13" spans="1:9">
      <c r="A13" s="8">
        <v>45467</v>
      </c>
      <c r="B13" s="5" t="s">
        <v>14</v>
      </c>
      <c r="C13" s="9">
        <v>844</v>
      </c>
      <c r="D13" s="9">
        <v>144</v>
      </c>
      <c r="E13" s="9">
        <v>126015</v>
      </c>
      <c r="F13" s="10">
        <v>9.65</v>
      </c>
      <c r="G13" s="9">
        <v>22456</v>
      </c>
      <c r="H13" s="3">
        <f>Table2[[#This Row],[New_Followers]]-Table2[[#This Row],[Unfollows]]</f>
        <v>700</v>
      </c>
      <c r="I13" s="11">
        <f>(Table2[[#This Row],[follower gain]]/Table2[[#This Row],[Total_Followers]])*100</f>
        <v>0.55548942586200056</v>
      </c>
    </row>
    <row r="14" spans="1:9">
      <c r="A14" s="8">
        <v>45474</v>
      </c>
      <c r="B14" s="5" t="s">
        <v>12</v>
      </c>
      <c r="C14" s="9">
        <v>786</v>
      </c>
      <c r="D14" s="9">
        <v>72</v>
      </c>
      <c r="E14" s="9">
        <v>178615</v>
      </c>
      <c r="F14" s="10">
        <v>5.43</v>
      </c>
      <c r="G14" s="9">
        <v>19328</v>
      </c>
      <c r="H14" s="3">
        <f>Table2[[#This Row],[New_Followers]]-Table2[[#This Row],[Unfollows]]</f>
        <v>714</v>
      </c>
      <c r="I14" s="11">
        <f>(Table2[[#This Row],[follower gain]]/Table2[[#This Row],[Total_Followers]])*100</f>
        <v>0.39974246283906723</v>
      </c>
    </row>
    <row r="15" spans="1:9">
      <c r="A15" s="8">
        <v>45474</v>
      </c>
      <c r="B15" s="5" t="s">
        <v>13</v>
      </c>
      <c r="C15" s="9">
        <v>845</v>
      </c>
      <c r="D15" s="9">
        <v>250</v>
      </c>
      <c r="E15" s="9">
        <v>218228</v>
      </c>
      <c r="F15" s="10">
        <v>4.5199999999999996</v>
      </c>
      <c r="G15" s="9">
        <v>21107</v>
      </c>
      <c r="H15" s="3">
        <f>Table2[[#This Row],[New_Followers]]-Table2[[#This Row],[Unfollows]]</f>
        <v>595</v>
      </c>
      <c r="I15" s="11">
        <f>(Table2[[#This Row],[follower gain]]/Table2[[#This Row],[Total_Followers]])*100</f>
        <v>0.27265062228494968</v>
      </c>
    </row>
    <row r="16" spans="1:9">
      <c r="A16" s="8">
        <v>45474</v>
      </c>
      <c r="B16" s="5" t="s">
        <v>14</v>
      </c>
      <c r="C16" s="9">
        <v>1218</v>
      </c>
      <c r="D16" s="9">
        <v>101</v>
      </c>
      <c r="E16" s="9">
        <v>300397</v>
      </c>
      <c r="F16" s="10">
        <v>4.33</v>
      </c>
      <c r="G16" s="9">
        <v>12277</v>
      </c>
      <c r="H16" s="3">
        <f>Table2[[#This Row],[New_Followers]]-Table2[[#This Row],[Unfollows]]</f>
        <v>1117</v>
      </c>
      <c r="I16" s="11">
        <f>(Table2[[#This Row],[follower gain]]/Table2[[#This Row],[Total_Followers]])*100</f>
        <v>0.37184126339477425</v>
      </c>
    </row>
    <row r="17" spans="1:9">
      <c r="A17" s="8">
        <v>45481</v>
      </c>
      <c r="B17" s="5" t="s">
        <v>12</v>
      </c>
      <c r="C17" s="9">
        <v>797</v>
      </c>
      <c r="D17" s="9">
        <v>130</v>
      </c>
      <c r="E17" s="9">
        <v>340121</v>
      </c>
      <c r="F17" s="10">
        <v>8.52</v>
      </c>
      <c r="G17" s="9">
        <v>11684</v>
      </c>
      <c r="H17" s="3">
        <f>Table2[[#This Row],[New_Followers]]-Table2[[#This Row],[Unfollows]]</f>
        <v>667</v>
      </c>
      <c r="I17" s="11">
        <f>(Table2[[#This Row],[follower gain]]/Table2[[#This Row],[Total_Followers]])*100</f>
        <v>0.19610667968164272</v>
      </c>
    </row>
    <row r="18" spans="1:9">
      <c r="A18" s="8">
        <v>45481</v>
      </c>
      <c r="B18" s="5" t="s">
        <v>13</v>
      </c>
      <c r="C18" s="9">
        <v>1471</v>
      </c>
      <c r="D18" s="9">
        <v>100</v>
      </c>
      <c r="E18" s="9">
        <v>76866</v>
      </c>
      <c r="F18" s="10">
        <v>8.5500000000000007</v>
      </c>
      <c r="G18" s="9">
        <v>14412</v>
      </c>
      <c r="H18" s="3">
        <f>Table2[[#This Row],[New_Followers]]-Table2[[#This Row],[Unfollows]]</f>
        <v>1371</v>
      </c>
      <c r="I18" s="11">
        <f>(Table2[[#This Row],[follower gain]]/Table2[[#This Row],[Total_Followers]])*100</f>
        <v>1.7836234485988602</v>
      </c>
    </row>
    <row r="19" spans="1:9">
      <c r="A19" s="8">
        <v>45481</v>
      </c>
      <c r="B19" s="5" t="s">
        <v>14</v>
      </c>
      <c r="C19" s="9">
        <v>1253</v>
      </c>
      <c r="D19" s="9">
        <v>136</v>
      </c>
      <c r="E19" s="9">
        <v>193131</v>
      </c>
      <c r="F19" s="10">
        <v>7.99</v>
      </c>
      <c r="G19" s="9">
        <v>15924</v>
      </c>
      <c r="H19" s="3">
        <f>Table2[[#This Row],[New_Followers]]-Table2[[#This Row],[Unfollows]]</f>
        <v>1117</v>
      </c>
      <c r="I19" s="11">
        <f>(Table2[[#This Row],[follower gain]]/Table2[[#This Row],[Total_Followers]])*100</f>
        <v>0.57836390843520724</v>
      </c>
    </row>
    <row r="20" spans="1:9">
      <c r="A20" s="8">
        <v>45488</v>
      </c>
      <c r="B20" s="5" t="s">
        <v>12</v>
      </c>
      <c r="C20" s="9">
        <v>616</v>
      </c>
      <c r="D20" s="9">
        <v>257</v>
      </c>
      <c r="E20" s="9">
        <v>169665</v>
      </c>
      <c r="F20" s="10">
        <v>6.31</v>
      </c>
      <c r="G20" s="9">
        <v>12390</v>
      </c>
      <c r="H20" s="3">
        <f>Table2[[#This Row],[New_Followers]]-Table2[[#This Row],[Unfollows]]</f>
        <v>359</v>
      </c>
      <c r="I20" s="11">
        <f>(Table2[[#This Row],[follower gain]]/Table2[[#This Row],[Total_Followers]])*100</f>
        <v>0.21159343412017798</v>
      </c>
    </row>
    <row r="21" spans="1:9" ht="15.75" customHeight="1">
      <c r="A21" s="8">
        <v>45488</v>
      </c>
      <c r="B21" s="5" t="s">
        <v>13</v>
      </c>
      <c r="C21" s="9">
        <v>1308</v>
      </c>
      <c r="D21" s="9">
        <v>210</v>
      </c>
      <c r="E21" s="9">
        <v>263729</v>
      </c>
      <c r="F21" s="10">
        <v>8.5299999999999994</v>
      </c>
      <c r="G21" s="9">
        <v>25742</v>
      </c>
      <c r="H21" s="3">
        <f>Table2[[#This Row],[New_Followers]]-Table2[[#This Row],[Unfollows]]</f>
        <v>1098</v>
      </c>
      <c r="I21" s="11">
        <f>(Table2[[#This Row],[follower gain]]/Table2[[#This Row],[Total_Followers]])*100</f>
        <v>0.41633646660018431</v>
      </c>
    </row>
    <row r="22" spans="1:9" ht="15.75" customHeight="1">
      <c r="A22" s="8">
        <v>45488</v>
      </c>
      <c r="B22" s="5" t="s">
        <v>14</v>
      </c>
      <c r="C22" s="9">
        <v>981</v>
      </c>
      <c r="D22" s="9">
        <v>69</v>
      </c>
      <c r="E22" s="9">
        <v>206921</v>
      </c>
      <c r="F22" s="10">
        <v>8.42</v>
      </c>
      <c r="G22" s="9">
        <v>10495</v>
      </c>
      <c r="H22" s="3">
        <f>Table2[[#This Row],[New_Followers]]-Table2[[#This Row],[Unfollows]]</f>
        <v>912</v>
      </c>
      <c r="I22" s="11">
        <f>(Table2[[#This Row],[follower gain]]/Table2[[#This Row],[Total_Followers]])*100</f>
        <v>0.44074791828765564</v>
      </c>
    </row>
    <row r="23" spans="1:9" ht="15.75" customHeight="1">
      <c r="A23" s="8">
        <v>45495</v>
      </c>
      <c r="B23" s="5" t="s">
        <v>12</v>
      </c>
      <c r="C23" s="9">
        <v>866</v>
      </c>
      <c r="D23" s="9">
        <v>74</v>
      </c>
      <c r="E23" s="9">
        <v>204121</v>
      </c>
      <c r="F23" s="10">
        <v>9.34</v>
      </c>
      <c r="G23" s="9">
        <v>7797</v>
      </c>
      <c r="H23" s="3">
        <f>Table2[[#This Row],[New_Followers]]-Table2[[#This Row],[Unfollows]]</f>
        <v>792</v>
      </c>
      <c r="I23" s="11">
        <f>(Table2[[#This Row],[follower gain]]/Table2[[#This Row],[Total_Followers]])*100</f>
        <v>0.38800515380583089</v>
      </c>
    </row>
    <row r="24" spans="1:9" ht="15.75" customHeight="1">
      <c r="A24" s="8">
        <v>45495</v>
      </c>
      <c r="B24" s="5" t="s">
        <v>13</v>
      </c>
      <c r="C24" s="9">
        <v>547</v>
      </c>
      <c r="D24" s="9">
        <v>183</v>
      </c>
      <c r="E24" s="9">
        <v>266350</v>
      </c>
      <c r="F24" s="10">
        <v>5.65</v>
      </c>
      <c r="G24" s="9">
        <v>15595</v>
      </c>
      <c r="H24" s="3">
        <f>Table2[[#This Row],[New_Followers]]-Table2[[#This Row],[Unfollows]]</f>
        <v>364</v>
      </c>
      <c r="I24" s="11">
        <f>(Table2[[#This Row],[follower gain]]/Table2[[#This Row],[Total_Followers]])*100</f>
        <v>0.13666228646517742</v>
      </c>
    </row>
    <row r="25" spans="1:9" ht="15.75" customHeight="1">
      <c r="A25" s="8">
        <v>45495</v>
      </c>
      <c r="B25" s="5" t="s">
        <v>14</v>
      </c>
      <c r="C25" s="9">
        <v>1241</v>
      </c>
      <c r="D25" s="9">
        <v>116</v>
      </c>
      <c r="E25" s="9">
        <v>380606</v>
      </c>
      <c r="F25" s="10">
        <v>4.2</v>
      </c>
      <c r="G25" s="9">
        <v>24617</v>
      </c>
      <c r="H25" s="3">
        <f>Table2[[#This Row],[New_Followers]]-Table2[[#This Row],[Unfollows]]</f>
        <v>1125</v>
      </c>
      <c r="I25" s="11">
        <f>(Table2[[#This Row],[follower gain]]/Table2[[#This Row],[Total_Followers]])*100</f>
        <v>0.29558125725816198</v>
      </c>
    </row>
    <row r="26" spans="1:9" ht="15.75" customHeight="1">
      <c r="A26" s="8">
        <v>45502</v>
      </c>
      <c r="B26" s="5" t="s">
        <v>12</v>
      </c>
      <c r="C26" s="9">
        <v>973</v>
      </c>
      <c r="D26" s="9">
        <v>104</v>
      </c>
      <c r="E26" s="9">
        <v>376358</v>
      </c>
      <c r="F26" s="10">
        <v>3.87</v>
      </c>
      <c r="G26" s="9">
        <v>9847</v>
      </c>
      <c r="H26" s="3">
        <f>Table2[[#This Row],[New_Followers]]-Table2[[#This Row],[Unfollows]]</f>
        <v>869</v>
      </c>
      <c r="I26" s="11">
        <f>(Table2[[#This Row],[follower gain]]/Table2[[#This Row],[Total_Followers]])*100</f>
        <v>0.23089717768720205</v>
      </c>
    </row>
    <row r="27" spans="1:9" ht="15.75" customHeight="1">
      <c r="A27" s="8">
        <v>45502</v>
      </c>
      <c r="B27" s="5" t="s">
        <v>13</v>
      </c>
      <c r="C27" s="9">
        <v>611</v>
      </c>
      <c r="D27" s="9">
        <v>197</v>
      </c>
      <c r="E27" s="9">
        <v>79423</v>
      </c>
      <c r="F27" s="10">
        <v>5.82</v>
      </c>
      <c r="G27" s="9">
        <v>13644</v>
      </c>
      <c r="H27" s="3">
        <f>Table2[[#This Row],[New_Followers]]-Table2[[#This Row],[Unfollows]]</f>
        <v>414</v>
      </c>
      <c r="I27" s="11">
        <f>(Table2[[#This Row],[follower gain]]/Table2[[#This Row],[Total_Followers]])*100</f>
        <v>0.52125958475504575</v>
      </c>
    </row>
    <row r="28" spans="1:9" ht="15.75" customHeight="1">
      <c r="A28" s="8">
        <v>45502</v>
      </c>
      <c r="B28" s="5" t="s">
        <v>14</v>
      </c>
      <c r="C28" s="9">
        <v>983</v>
      </c>
      <c r="D28" s="9">
        <v>134</v>
      </c>
      <c r="E28" s="9">
        <v>352178</v>
      </c>
      <c r="F28" s="10">
        <v>3.55</v>
      </c>
      <c r="G28" s="9">
        <v>11421</v>
      </c>
      <c r="H28" s="3">
        <f>Table2[[#This Row],[New_Followers]]-Table2[[#This Row],[Unfollows]]</f>
        <v>849</v>
      </c>
      <c r="I28" s="11">
        <f>(Table2[[#This Row],[follower gain]]/Table2[[#This Row],[Total_Followers]])*100</f>
        <v>0.24107127645679174</v>
      </c>
    </row>
    <row r="29" spans="1:9" ht="15.75" customHeight="1">
      <c r="A29" s="8">
        <v>45509</v>
      </c>
      <c r="B29" s="5" t="s">
        <v>12</v>
      </c>
      <c r="C29" s="9">
        <v>1449</v>
      </c>
      <c r="D29" s="9">
        <v>96</v>
      </c>
      <c r="E29" s="9">
        <v>200636</v>
      </c>
      <c r="F29" s="10">
        <v>9.92</v>
      </c>
      <c r="G29" s="9">
        <v>15613</v>
      </c>
      <c r="H29" s="3">
        <f>Table2[[#This Row],[New_Followers]]-Table2[[#This Row],[Unfollows]]</f>
        <v>1353</v>
      </c>
      <c r="I29" s="11">
        <f>(Table2[[#This Row],[follower gain]]/Table2[[#This Row],[Total_Followers]])*100</f>
        <v>0.67435554935305719</v>
      </c>
    </row>
    <row r="30" spans="1:9" ht="15.75" customHeight="1">
      <c r="A30" s="8">
        <v>45509</v>
      </c>
      <c r="B30" s="5" t="s">
        <v>13</v>
      </c>
      <c r="C30" s="9">
        <v>752</v>
      </c>
      <c r="D30" s="9">
        <v>170</v>
      </c>
      <c r="E30" s="9">
        <v>132756</v>
      </c>
      <c r="F30" s="10">
        <v>8.17</v>
      </c>
      <c r="G30" s="9">
        <v>23900</v>
      </c>
      <c r="H30" s="3">
        <f>Table2[[#This Row],[New_Followers]]-Table2[[#This Row],[Unfollows]]</f>
        <v>582</v>
      </c>
      <c r="I30" s="11">
        <f>(Table2[[#This Row],[follower gain]]/Table2[[#This Row],[Total_Followers]])*100</f>
        <v>0.43839826448522107</v>
      </c>
    </row>
    <row r="31" spans="1:9" ht="15.75" customHeight="1">
      <c r="A31" s="8">
        <v>45509</v>
      </c>
      <c r="B31" s="5" t="s">
        <v>14</v>
      </c>
      <c r="C31" s="9">
        <v>937</v>
      </c>
      <c r="D31" s="9">
        <v>179</v>
      </c>
      <c r="E31" s="9">
        <v>318098</v>
      </c>
      <c r="F31" s="10">
        <v>5.3</v>
      </c>
      <c r="G31" s="9">
        <v>5836</v>
      </c>
      <c r="H31" s="3">
        <f>Table2[[#This Row],[New_Followers]]-Table2[[#This Row],[Unfollows]]</f>
        <v>758</v>
      </c>
      <c r="I31" s="11">
        <f>(Table2[[#This Row],[follower gain]]/Table2[[#This Row],[Total_Followers]])*100</f>
        <v>0.23829134417695177</v>
      </c>
    </row>
    <row r="32" spans="1:9" ht="15.75" customHeight="1">
      <c r="A32" s="8">
        <v>45516</v>
      </c>
      <c r="B32" s="5" t="s">
        <v>12</v>
      </c>
      <c r="C32" s="9">
        <v>1060</v>
      </c>
      <c r="D32" s="9">
        <v>83</v>
      </c>
      <c r="E32" s="9">
        <v>68724</v>
      </c>
      <c r="F32" s="10">
        <v>5.98</v>
      </c>
      <c r="G32" s="9">
        <v>5624</v>
      </c>
      <c r="H32" s="3">
        <f>Table2[[#This Row],[New_Followers]]-Table2[[#This Row],[Unfollows]]</f>
        <v>977</v>
      </c>
      <c r="I32" s="11">
        <f>(Table2[[#This Row],[follower gain]]/Table2[[#This Row],[Total_Followers]])*100</f>
        <v>1.4216285431581397</v>
      </c>
    </row>
    <row r="33" spans="1:9" ht="15.75" customHeight="1">
      <c r="A33" s="8">
        <v>45516</v>
      </c>
      <c r="B33" s="5" t="s">
        <v>13</v>
      </c>
      <c r="C33" s="9">
        <v>1456</v>
      </c>
      <c r="D33" s="9">
        <v>265</v>
      </c>
      <c r="E33" s="9">
        <v>115505</v>
      </c>
      <c r="F33" s="10">
        <v>7.49</v>
      </c>
      <c r="G33" s="9">
        <v>10311</v>
      </c>
      <c r="H33" s="3">
        <f>Table2[[#This Row],[New_Followers]]-Table2[[#This Row],[Unfollows]]</f>
        <v>1191</v>
      </c>
      <c r="I33" s="11">
        <f>(Table2[[#This Row],[follower gain]]/Table2[[#This Row],[Total_Followers]])*100</f>
        <v>1.0311241937578459</v>
      </c>
    </row>
    <row r="34" spans="1:9" ht="15.75" customHeight="1">
      <c r="A34" s="8">
        <v>45516</v>
      </c>
      <c r="B34" s="5" t="s">
        <v>14</v>
      </c>
      <c r="C34" s="9">
        <v>1109</v>
      </c>
      <c r="D34" s="9">
        <v>205</v>
      </c>
      <c r="E34" s="9">
        <v>276722</v>
      </c>
      <c r="F34" s="10">
        <v>9.3800000000000008</v>
      </c>
      <c r="G34" s="9">
        <v>8274</v>
      </c>
      <c r="H34" s="3">
        <f>Table2[[#This Row],[New_Followers]]-Table2[[#This Row],[Unfollows]]</f>
        <v>904</v>
      </c>
      <c r="I34" s="11">
        <f>(Table2[[#This Row],[follower gain]]/Table2[[#This Row],[Total_Followers]])*100</f>
        <v>0.32668165162148294</v>
      </c>
    </row>
    <row r="35" spans="1:9" ht="15.75" customHeight="1">
      <c r="A35" s="8">
        <v>45523</v>
      </c>
      <c r="B35" s="5" t="s">
        <v>12</v>
      </c>
      <c r="C35" s="9">
        <v>1002</v>
      </c>
      <c r="D35" s="9">
        <v>93</v>
      </c>
      <c r="E35" s="9">
        <v>353538</v>
      </c>
      <c r="F35" s="10">
        <v>5.84</v>
      </c>
      <c r="G35" s="9">
        <v>6031</v>
      </c>
      <c r="H35" s="3">
        <f>Table2[[#This Row],[New_Followers]]-Table2[[#This Row],[Unfollows]]</f>
        <v>909</v>
      </c>
      <c r="I35" s="11">
        <f>(Table2[[#This Row],[follower gain]]/Table2[[#This Row],[Total_Followers]])*100</f>
        <v>0.25711521816608118</v>
      </c>
    </row>
    <row r="36" spans="1:9" ht="15.75" customHeight="1">
      <c r="A36" s="8">
        <v>45523</v>
      </c>
      <c r="B36" s="5" t="s">
        <v>13</v>
      </c>
      <c r="C36" s="9">
        <v>571</v>
      </c>
      <c r="D36" s="9">
        <v>189</v>
      </c>
      <c r="E36" s="9">
        <v>61445</v>
      </c>
      <c r="F36" s="10">
        <v>5.41</v>
      </c>
      <c r="G36" s="9">
        <v>27829</v>
      </c>
      <c r="H36" s="3">
        <f>Table2[[#This Row],[New_Followers]]-Table2[[#This Row],[Unfollows]]</f>
        <v>382</v>
      </c>
      <c r="I36" s="11">
        <f>(Table2[[#This Row],[follower gain]]/Table2[[#This Row],[Total_Followers]])*100</f>
        <v>0.62169419806330861</v>
      </c>
    </row>
    <row r="37" spans="1:9" ht="15.75" customHeight="1">
      <c r="A37" s="8">
        <v>45523</v>
      </c>
      <c r="B37" s="5" t="s">
        <v>14</v>
      </c>
      <c r="C37" s="9">
        <v>1240</v>
      </c>
      <c r="D37" s="9">
        <v>231</v>
      </c>
      <c r="E37" s="9">
        <v>165035</v>
      </c>
      <c r="F37" s="10">
        <v>6.05</v>
      </c>
      <c r="G37" s="9">
        <v>18267</v>
      </c>
      <c r="H37" s="3">
        <f>Table2[[#This Row],[New_Followers]]-Table2[[#This Row],[Unfollows]]</f>
        <v>1009</v>
      </c>
      <c r="I37" s="11">
        <f>(Table2[[#This Row],[follower gain]]/Table2[[#This Row],[Total_Followers]])*100</f>
        <v>0.6113854636895204</v>
      </c>
    </row>
    <row r="38" spans="1:9" ht="15.75" customHeight="1">
      <c r="A38" s="8">
        <v>45530</v>
      </c>
      <c r="B38" s="5" t="s">
        <v>12</v>
      </c>
      <c r="C38" s="9">
        <v>1154</v>
      </c>
      <c r="D38" s="9">
        <v>132</v>
      </c>
      <c r="E38" s="9">
        <v>194595</v>
      </c>
      <c r="F38" s="10">
        <v>7.54</v>
      </c>
      <c r="G38" s="9">
        <v>26624</v>
      </c>
      <c r="H38" s="3">
        <f>Table2[[#This Row],[New_Followers]]-Table2[[#This Row],[Unfollows]]</f>
        <v>1022</v>
      </c>
      <c r="I38" s="11">
        <f>(Table2[[#This Row],[follower gain]]/Table2[[#This Row],[Total_Followers]])*100</f>
        <v>0.52519335029163128</v>
      </c>
    </row>
    <row r="39" spans="1:9" ht="15.75" customHeight="1">
      <c r="A39" s="8">
        <v>45530</v>
      </c>
      <c r="B39" s="5" t="s">
        <v>13</v>
      </c>
      <c r="C39" s="9">
        <v>537</v>
      </c>
      <c r="D39" s="9">
        <v>275</v>
      </c>
      <c r="E39" s="9">
        <v>236238</v>
      </c>
      <c r="F39" s="10">
        <v>5.87</v>
      </c>
      <c r="G39" s="9">
        <v>26644</v>
      </c>
      <c r="H39" s="3">
        <f>Table2[[#This Row],[New_Followers]]-Table2[[#This Row],[Unfollows]]</f>
        <v>262</v>
      </c>
      <c r="I39" s="11">
        <f>(Table2[[#This Row],[follower gain]]/Table2[[#This Row],[Total_Followers]])*100</f>
        <v>0.11090510417460359</v>
      </c>
    </row>
    <row r="40" spans="1:9" ht="15.75" customHeight="1">
      <c r="A40" s="8">
        <v>45530</v>
      </c>
      <c r="B40" s="5" t="s">
        <v>14</v>
      </c>
      <c r="C40" s="9">
        <v>1456</v>
      </c>
      <c r="D40" s="9">
        <v>290</v>
      </c>
      <c r="E40" s="9">
        <v>271044</v>
      </c>
      <c r="F40" s="10">
        <v>7.17</v>
      </c>
      <c r="G40" s="9">
        <v>13051</v>
      </c>
      <c r="H40" s="3">
        <f>Table2[[#This Row],[New_Followers]]-Table2[[#This Row],[Unfollows]]</f>
        <v>1166</v>
      </c>
      <c r="I40" s="11">
        <f>(Table2[[#This Row],[follower gain]]/Table2[[#This Row],[Total_Followers]])*100</f>
        <v>0.43018845648676968</v>
      </c>
    </row>
    <row r="41" spans="1:9" ht="15.75" customHeight="1">
      <c r="A41" s="8">
        <v>45537</v>
      </c>
      <c r="B41" s="5" t="s">
        <v>12</v>
      </c>
      <c r="C41" s="9">
        <v>721</v>
      </c>
      <c r="D41" s="9">
        <v>206</v>
      </c>
      <c r="E41" s="9">
        <v>334887</v>
      </c>
      <c r="F41" s="10">
        <v>6.05</v>
      </c>
      <c r="G41" s="9">
        <v>14217</v>
      </c>
      <c r="H41" s="3">
        <f>Table2[[#This Row],[New_Followers]]-Table2[[#This Row],[Unfollows]]</f>
        <v>515</v>
      </c>
      <c r="I41" s="11">
        <f>(Table2[[#This Row],[follower gain]]/Table2[[#This Row],[Total_Followers]])*100</f>
        <v>0.15378321642822804</v>
      </c>
    </row>
    <row r="42" spans="1:9" ht="15.75" customHeight="1">
      <c r="A42" s="8">
        <v>45537</v>
      </c>
      <c r="B42" s="5" t="s">
        <v>13</v>
      </c>
      <c r="C42" s="9">
        <v>1098</v>
      </c>
      <c r="D42" s="9">
        <v>142</v>
      </c>
      <c r="E42" s="9">
        <v>359150</v>
      </c>
      <c r="F42" s="10">
        <v>7.51</v>
      </c>
      <c r="G42" s="9">
        <v>16385</v>
      </c>
      <c r="H42" s="3">
        <f>Table2[[#This Row],[New_Followers]]-Table2[[#This Row],[Unfollows]]</f>
        <v>956</v>
      </c>
      <c r="I42" s="11">
        <f>(Table2[[#This Row],[follower gain]]/Table2[[#This Row],[Total_Followers]])*100</f>
        <v>0.26618404566337184</v>
      </c>
    </row>
    <row r="43" spans="1:9" ht="15.75" customHeight="1">
      <c r="A43" s="8">
        <v>45537</v>
      </c>
      <c r="B43" s="5" t="s">
        <v>14</v>
      </c>
      <c r="C43" s="9">
        <v>1096</v>
      </c>
      <c r="D43" s="9">
        <v>65</v>
      </c>
      <c r="E43" s="9">
        <v>358295</v>
      </c>
      <c r="F43" s="10">
        <v>7.66</v>
      </c>
      <c r="G43" s="9">
        <v>24548</v>
      </c>
      <c r="H43" s="3">
        <f>Table2[[#This Row],[New_Followers]]-Table2[[#This Row],[Unfollows]]</f>
        <v>1031</v>
      </c>
      <c r="I43" s="11">
        <f>(Table2[[#This Row],[follower gain]]/Table2[[#This Row],[Total_Followers]])*100</f>
        <v>0.28775171297394603</v>
      </c>
    </row>
    <row r="44" spans="1:9" ht="15.75" customHeight="1">
      <c r="A44" s="8">
        <v>45544</v>
      </c>
      <c r="B44" s="5" t="s">
        <v>12</v>
      </c>
      <c r="C44" s="9">
        <v>912</v>
      </c>
      <c r="D44" s="9">
        <v>275</v>
      </c>
      <c r="E44" s="9">
        <v>368454</v>
      </c>
      <c r="F44" s="10">
        <v>6.03</v>
      </c>
      <c r="G44" s="9">
        <v>9195</v>
      </c>
      <c r="H44" s="3">
        <f>Table2[[#This Row],[New_Followers]]-Table2[[#This Row],[Unfollows]]</f>
        <v>637</v>
      </c>
      <c r="I44" s="11">
        <f>(Table2[[#This Row],[follower gain]]/Table2[[#This Row],[Total_Followers]])*100</f>
        <v>0.1728845391826388</v>
      </c>
    </row>
    <row r="45" spans="1:9" ht="15.75" customHeight="1">
      <c r="A45" s="8">
        <v>45544</v>
      </c>
      <c r="B45" s="5" t="s">
        <v>13</v>
      </c>
      <c r="C45" s="9">
        <v>1430</v>
      </c>
      <c r="D45" s="9">
        <v>162</v>
      </c>
      <c r="E45" s="9">
        <v>269082</v>
      </c>
      <c r="F45" s="10">
        <v>3.4</v>
      </c>
      <c r="G45" s="9">
        <v>18071</v>
      </c>
      <c r="H45" s="3">
        <f>Table2[[#This Row],[New_Followers]]-Table2[[#This Row],[Unfollows]]</f>
        <v>1268</v>
      </c>
      <c r="I45" s="11">
        <f>(Table2[[#This Row],[follower gain]]/Table2[[#This Row],[Total_Followers]])*100</f>
        <v>0.47123181781018425</v>
      </c>
    </row>
    <row r="46" spans="1:9" ht="15.75" customHeight="1">
      <c r="A46" s="8">
        <v>45544</v>
      </c>
      <c r="B46" s="5" t="s">
        <v>14</v>
      </c>
      <c r="C46" s="9">
        <v>854</v>
      </c>
      <c r="D46" s="9">
        <v>129</v>
      </c>
      <c r="E46" s="9">
        <v>310903</v>
      </c>
      <c r="F46" s="10">
        <v>7.83</v>
      </c>
      <c r="G46" s="9">
        <v>16875</v>
      </c>
      <c r="H46" s="3">
        <f>Table2[[#This Row],[New_Followers]]-Table2[[#This Row],[Unfollows]]</f>
        <v>725</v>
      </c>
      <c r="I46" s="11">
        <f>(Table2[[#This Row],[follower gain]]/Table2[[#This Row],[Total_Followers]])*100</f>
        <v>0.23319170287838972</v>
      </c>
    </row>
    <row r="47" spans="1:9" ht="15.75" customHeight="1">
      <c r="A47" s="8">
        <v>45551</v>
      </c>
      <c r="B47" s="5" t="s">
        <v>12</v>
      </c>
      <c r="C47" s="9">
        <v>681</v>
      </c>
      <c r="D47" s="9">
        <v>210</v>
      </c>
      <c r="E47" s="9">
        <v>248581</v>
      </c>
      <c r="F47" s="10">
        <v>8.76</v>
      </c>
      <c r="G47" s="9">
        <v>9567</v>
      </c>
      <c r="H47" s="3">
        <f>Table2[[#This Row],[New_Followers]]-Table2[[#This Row],[Unfollows]]</f>
        <v>471</v>
      </c>
      <c r="I47" s="11">
        <f>(Table2[[#This Row],[follower gain]]/Table2[[#This Row],[Total_Followers]])*100</f>
        <v>0.18947546272643526</v>
      </c>
    </row>
    <row r="48" spans="1:9" ht="15.75" customHeight="1">
      <c r="A48" s="8">
        <v>45551</v>
      </c>
      <c r="B48" s="5" t="s">
        <v>13</v>
      </c>
      <c r="C48" s="9">
        <v>1373</v>
      </c>
      <c r="D48" s="9">
        <v>82</v>
      </c>
      <c r="E48" s="9">
        <v>371015</v>
      </c>
      <c r="F48" s="10">
        <v>9.52</v>
      </c>
      <c r="G48" s="9">
        <v>20306</v>
      </c>
      <c r="H48" s="3">
        <f>Table2[[#This Row],[New_Followers]]-Table2[[#This Row],[Unfollows]]</f>
        <v>1291</v>
      </c>
      <c r="I48" s="11">
        <f>(Table2[[#This Row],[follower gain]]/Table2[[#This Row],[Total_Followers]])*100</f>
        <v>0.34796436801746561</v>
      </c>
    </row>
    <row r="49" spans="1:9" ht="15.75" customHeight="1">
      <c r="A49" s="8">
        <v>45551</v>
      </c>
      <c r="B49" s="5" t="s">
        <v>14</v>
      </c>
      <c r="C49" s="9">
        <v>685</v>
      </c>
      <c r="D49" s="9">
        <v>285</v>
      </c>
      <c r="E49" s="9">
        <v>177452</v>
      </c>
      <c r="F49" s="10">
        <v>3.36</v>
      </c>
      <c r="G49" s="9">
        <v>21134</v>
      </c>
      <c r="H49" s="3">
        <f>Table2[[#This Row],[New_Followers]]-Table2[[#This Row],[Unfollows]]</f>
        <v>400</v>
      </c>
      <c r="I49" s="11">
        <f>(Table2[[#This Row],[follower gain]]/Table2[[#This Row],[Total_Followers]])*100</f>
        <v>0.22541306944976669</v>
      </c>
    </row>
    <row r="50" spans="1:9" ht="15.75" customHeight="1">
      <c r="A50" s="8">
        <v>45558</v>
      </c>
      <c r="B50" s="5" t="s">
        <v>12</v>
      </c>
      <c r="C50" s="9">
        <v>1290</v>
      </c>
      <c r="D50" s="9">
        <v>177</v>
      </c>
      <c r="E50" s="9">
        <v>80745</v>
      </c>
      <c r="F50" s="10">
        <v>9.2200000000000006</v>
      </c>
      <c r="G50" s="9">
        <v>26872</v>
      </c>
      <c r="H50" s="3">
        <f>Table2[[#This Row],[New_Followers]]-Table2[[#This Row],[Unfollows]]</f>
        <v>1113</v>
      </c>
      <c r="I50" s="11">
        <f>(Table2[[#This Row],[follower gain]]/Table2[[#This Row],[Total_Followers]])*100</f>
        <v>1.3784135240572171</v>
      </c>
    </row>
    <row r="51" spans="1:9" ht="15.75" customHeight="1">
      <c r="A51" s="8">
        <v>45558</v>
      </c>
      <c r="B51" s="5" t="s">
        <v>13</v>
      </c>
      <c r="C51" s="9">
        <v>1437</v>
      </c>
      <c r="D51" s="9">
        <v>239</v>
      </c>
      <c r="E51" s="9">
        <v>362441</v>
      </c>
      <c r="F51" s="10">
        <v>5.57</v>
      </c>
      <c r="G51" s="9">
        <v>10253</v>
      </c>
      <c r="H51" s="3">
        <f>Table2[[#This Row],[New_Followers]]-Table2[[#This Row],[Unfollows]]</f>
        <v>1198</v>
      </c>
      <c r="I51" s="11">
        <f>(Table2[[#This Row],[follower gain]]/Table2[[#This Row],[Total_Followers]])*100</f>
        <v>0.33053655629467971</v>
      </c>
    </row>
    <row r="52" spans="1:9" ht="15.75" customHeight="1">
      <c r="A52" s="8">
        <v>45558</v>
      </c>
      <c r="B52" s="5" t="s">
        <v>14</v>
      </c>
      <c r="C52" s="9">
        <v>769</v>
      </c>
      <c r="D52" s="9">
        <v>295</v>
      </c>
      <c r="E52" s="9">
        <v>344771</v>
      </c>
      <c r="F52" s="10">
        <v>8.06</v>
      </c>
      <c r="G52" s="9">
        <v>23963</v>
      </c>
      <c r="H52" s="3">
        <f>Table2[[#This Row],[New_Followers]]-Table2[[#This Row],[Unfollows]]</f>
        <v>474</v>
      </c>
      <c r="I52" s="11">
        <f>(Table2[[#This Row],[follower gain]]/Table2[[#This Row],[Total_Followers]])*100</f>
        <v>0.13748256088824176</v>
      </c>
    </row>
    <row r="53" spans="1:9" ht="15.75" customHeight="1">
      <c r="A53" s="8">
        <v>45565</v>
      </c>
      <c r="B53" s="5" t="s">
        <v>12</v>
      </c>
      <c r="C53" s="9">
        <v>1416</v>
      </c>
      <c r="D53" s="9">
        <v>284</v>
      </c>
      <c r="E53" s="9">
        <v>374952</v>
      </c>
      <c r="F53" s="10">
        <v>3.45</v>
      </c>
      <c r="G53" s="9">
        <v>11335</v>
      </c>
      <c r="H53" s="3">
        <f>Table2[[#This Row],[New_Followers]]-Table2[[#This Row],[Unfollows]]</f>
        <v>1132</v>
      </c>
      <c r="I53" s="11">
        <f>(Table2[[#This Row],[follower gain]]/Table2[[#This Row],[Total_Followers]])*100</f>
        <v>0.30190531054641656</v>
      </c>
    </row>
    <row r="54" spans="1:9" ht="15.75" customHeight="1">
      <c r="A54" s="8">
        <v>45565</v>
      </c>
      <c r="B54" s="5" t="s">
        <v>13</v>
      </c>
      <c r="C54" s="9">
        <v>998</v>
      </c>
      <c r="D54" s="9">
        <v>154</v>
      </c>
      <c r="E54" s="9">
        <v>179781</v>
      </c>
      <c r="F54" s="10">
        <v>9.58</v>
      </c>
      <c r="G54" s="9">
        <v>12115</v>
      </c>
      <c r="H54" s="3">
        <f>Table2[[#This Row],[New_Followers]]-Table2[[#This Row],[Unfollows]]</f>
        <v>844</v>
      </c>
      <c r="I54" s="11">
        <f>(Table2[[#This Row],[follower gain]]/Table2[[#This Row],[Total_Followers]])*100</f>
        <v>0.46946006530167261</v>
      </c>
    </row>
    <row r="55" spans="1:9" ht="15.75" customHeight="1">
      <c r="A55" s="8">
        <v>45565</v>
      </c>
      <c r="B55" s="5" t="s">
        <v>14</v>
      </c>
      <c r="C55" s="9">
        <v>1421</v>
      </c>
      <c r="D55" s="9">
        <v>246</v>
      </c>
      <c r="E55" s="9">
        <v>358581</v>
      </c>
      <c r="F55" s="10">
        <v>8.8800000000000008</v>
      </c>
      <c r="G55" s="9">
        <v>24358</v>
      </c>
      <c r="H55" s="3">
        <f>Table2[[#This Row],[New_Followers]]-Table2[[#This Row],[Unfollows]]</f>
        <v>1175</v>
      </c>
      <c r="I55" s="11">
        <f>(Table2[[#This Row],[follower gain]]/Table2[[#This Row],[Total_Followers]])*100</f>
        <v>0.3276804961779905</v>
      </c>
    </row>
    <row r="56" spans="1:9" ht="15.75" customHeight="1">
      <c r="A56" s="8">
        <v>45572</v>
      </c>
      <c r="B56" s="5" t="s">
        <v>12</v>
      </c>
      <c r="C56" s="9">
        <v>764</v>
      </c>
      <c r="D56" s="9">
        <v>205</v>
      </c>
      <c r="E56" s="9">
        <v>319294</v>
      </c>
      <c r="F56" s="10">
        <v>6.23</v>
      </c>
      <c r="G56" s="9">
        <v>12181</v>
      </c>
      <c r="H56" s="3">
        <f>Table2[[#This Row],[New_Followers]]-Table2[[#This Row],[Unfollows]]</f>
        <v>559</v>
      </c>
      <c r="I56" s="11">
        <f>(Table2[[#This Row],[follower gain]]/Table2[[#This Row],[Total_Followers]])*100</f>
        <v>0.17507375647522347</v>
      </c>
    </row>
    <row r="57" spans="1:9" ht="15.75" customHeight="1">
      <c r="A57" s="8">
        <v>45572</v>
      </c>
      <c r="B57" s="5" t="s">
        <v>13</v>
      </c>
      <c r="C57" s="9">
        <v>678</v>
      </c>
      <c r="D57" s="9">
        <v>124</v>
      </c>
      <c r="E57" s="9">
        <v>192022</v>
      </c>
      <c r="F57" s="10">
        <v>8.4499999999999993</v>
      </c>
      <c r="G57" s="9">
        <v>17729</v>
      </c>
      <c r="H57" s="3">
        <f>Table2[[#This Row],[New_Followers]]-Table2[[#This Row],[Unfollows]]</f>
        <v>554</v>
      </c>
      <c r="I57" s="11">
        <f>(Table2[[#This Row],[follower gain]]/Table2[[#This Row],[Total_Followers]])*100</f>
        <v>0.28850860838862213</v>
      </c>
    </row>
    <row r="58" spans="1:9" ht="15.75" customHeight="1">
      <c r="A58" s="8">
        <v>45572</v>
      </c>
      <c r="B58" s="5" t="s">
        <v>14</v>
      </c>
      <c r="C58" s="9">
        <v>1328</v>
      </c>
      <c r="D58" s="9">
        <v>103</v>
      </c>
      <c r="E58" s="9">
        <v>151462</v>
      </c>
      <c r="F58" s="10">
        <v>8.4</v>
      </c>
      <c r="G58" s="9">
        <v>10881</v>
      </c>
      <c r="H58" s="3">
        <f>Table2[[#This Row],[New_Followers]]-Table2[[#This Row],[Unfollows]]</f>
        <v>1225</v>
      </c>
      <c r="I58" s="11">
        <f>(Table2[[#This Row],[follower gain]]/Table2[[#This Row],[Total_Followers]])*100</f>
        <v>0.80878372132944243</v>
      </c>
    </row>
    <row r="59" spans="1:9" ht="15.75" customHeight="1">
      <c r="A59" s="8">
        <v>45579</v>
      </c>
      <c r="B59" s="5" t="s">
        <v>12</v>
      </c>
      <c r="C59" s="9">
        <v>1161</v>
      </c>
      <c r="D59" s="9">
        <v>269</v>
      </c>
      <c r="E59" s="9">
        <v>188193</v>
      </c>
      <c r="F59" s="10">
        <v>7.34</v>
      </c>
      <c r="G59" s="9">
        <v>18576</v>
      </c>
      <c r="H59" s="3">
        <f>Table2[[#This Row],[New_Followers]]-Table2[[#This Row],[Unfollows]]</f>
        <v>892</v>
      </c>
      <c r="I59" s="11">
        <f>(Table2[[#This Row],[follower gain]]/Table2[[#This Row],[Total_Followers]])*100</f>
        <v>0.47398149771776843</v>
      </c>
    </row>
    <row r="60" spans="1:9" ht="15.75" customHeight="1">
      <c r="A60" s="8">
        <v>45579</v>
      </c>
      <c r="B60" s="5" t="s">
        <v>13</v>
      </c>
      <c r="C60" s="9">
        <v>588</v>
      </c>
      <c r="D60" s="9">
        <v>52</v>
      </c>
      <c r="E60" s="9">
        <v>292040</v>
      </c>
      <c r="F60" s="10">
        <v>8.14</v>
      </c>
      <c r="G60" s="9">
        <v>9383</v>
      </c>
      <c r="H60" s="3">
        <f>Table2[[#This Row],[New_Followers]]-Table2[[#This Row],[Unfollows]]</f>
        <v>536</v>
      </c>
      <c r="I60" s="11">
        <f>(Table2[[#This Row],[follower gain]]/Table2[[#This Row],[Total_Followers]])*100</f>
        <v>0.18353650184906178</v>
      </c>
    </row>
    <row r="61" spans="1:9" ht="15.75" customHeight="1">
      <c r="A61" s="8">
        <v>45579</v>
      </c>
      <c r="B61" s="5" t="s">
        <v>14</v>
      </c>
      <c r="C61" s="9">
        <v>1457</v>
      </c>
      <c r="D61" s="9">
        <v>215</v>
      </c>
      <c r="E61" s="9">
        <v>325325</v>
      </c>
      <c r="F61" s="10">
        <v>9.58</v>
      </c>
      <c r="G61" s="9">
        <v>14178</v>
      </c>
      <c r="H61" s="3">
        <f>Table2[[#This Row],[New_Followers]]-Table2[[#This Row],[Unfollows]]</f>
        <v>1242</v>
      </c>
      <c r="I61" s="11">
        <f>(Table2[[#This Row],[follower gain]]/Table2[[#This Row],[Total_Followers]])*100</f>
        <v>0.38177207407976638</v>
      </c>
    </row>
    <row r="62" spans="1:9" ht="15.75" customHeight="1">
      <c r="A62" s="8">
        <v>45586</v>
      </c>
      <c r="B62" s="5" t="s">
        <v>12</v>
      </c>
      <c r="C62" s="9">
        <v>1190</v>
      </c>
      <c r="D62" s="9">
        <v>242</v>
      </c>
      <c r="E62" s="9">
        <v>86849</v>
      </c>
      <c r="F62" s="10">
        <v>8.06</v>
      </c>
      <c r="G62" s="9">
        <v>21254</v>
      </c>
      <c r="H62" s="3">
        <f>Table2[[#This Row],[New_Followers]]-Table2[[#This Row],[Unfollows]]</f>
        <v>948</v>
      </c>
      <c r="I62" s="11">
        <f>(Table2[[#This Row],[follower gain]]/Table2[[#This Row],[Total_Followers]])*100</f>
        <v>1.0915497012055406</v>
      </c>
    </row>
    <row r="63" spans="1:9" ht="15.75" customHeight="1">
      <c r="A63" s="8">
        <v>45586</v>
      </c>
      <c r="B63" s="5" t="s">
        <v>13</v>
      </c>
      <c r="C63" s="9">
        <v>886</v>
      </c>
      <c r="D63" s="9">
        <v>124</v>
      </c>
      <c r="E63" s="9">
        <v>141161</v>
      </c>
      <c r="F63" s="10">
        <v>8.19</v>
      </c>
      <c r="G63" s="9">
        <v>14215</v>
      </c>
      <c r="H63" s="3">
        <f>Table2[[#This Row],[New_Followers]]-Table2[[#This Row],[Unfollows]]</f>
        <v>762</v>
      </c>
      <c r="I63" s="11">
        <f>(Table2[[#This Row],[follower gain]]/Table2[[#This Row],[Total_Followers]])*100</f>
        <v>0.53980915408646857</v>
      </c>
    </row>
    <row r="64" spans="1:9" ht="15.75" customHeight="1">
      <c r="A64" s="8">
        <v>45586</v>
      </c>
      <c r="B64" s="5" t="s">
        <v>14</v>
      </c>
      <c r="C64" s="9">
        <v>1237</v>
      </c>
      <c r="D64" s="9">
        <v>155</v>
      </c>
      <c r="E64" s="9">
        <v>149916</v>
      </c>
      <c r="F64" s="10">
        <v>4.4800000000000004</v>
      </c>
      <c r="G64" s="9">
        <v>16921</v>
      </c>
      <c r="H64" s="3">
        <f>Table2[[#This Row],[New_Followers]]-Table2[[#This Row],[Unfollows]]</f>
        <v>1082</v>
      </c>
      <c r="I64" s="11">
        <f>(Table2[[#This Row],[follower gain]]/Table2[[#This Row],[Total_Followers]])*100</f>
        <v>0.72173750633688194</v>
      </c>
    </row>
    <row r="65" spans="1:9" ht="15.75" customHeight="1">
      <c r="A65" s="8">
        <v>45593</v>
      </c>
      <c r="B65" s="5" t="s">
        <v>12</v>
      </c>
      <c r="C65" s="9">
        <v>1435</v>
      </c>
      <c r="D65" s="9">
        <v>261</v>
      </c>
      <c r="E65" s="9">
        <v>308533</v>
      </c>
      <c r="F65" s="10">
        <v>4.5199999999999996</v>
      </c>
      <c r="G65" s="9">
        <v>25130</v>
      </c>
      <c r="H65" s="3">
        <f>Table2[[#This Row],[New_Followers]]-Table2[[#This Row],[Unfollows]]</f>
        <v>1174</v>
      </c>
      <c r="I65" s="11">
        <f>(Table2[[#This Row],[follower gain]]/Table2[[#This Row],[Total_Followers]])*100</f>
        <v>0.38051035059458793</v>
      </c>
    </row>
    <row r="66" spans="1:9" ht="15.75" customHeight="1">
      <c r="A66" s="8">
        <v>45593</v>
      </c>
      <c r="B66" s="5" t="s">
        <v>13</v>
      </c>
      <c r="C66" s="9">
        <v>746</v>
      </c>
      <c r="D66" s="9">
        <v>282</v>
      </c>
      <c r="E66" s="9">
        <v>293894</v>
      </c>
      <c r="F66" s="10">
        <v>5.42</v>
      </c>
      <c r="G66" s="9">
        <v>25537</v>
      </c>
      <c r="H66" s="3">
        <f>Table2[[#This Row],[New_Followers]]-Table2[[#This Row],[Unfollows]]</f>
        <v>464</v>
      </c>
      <c r="I66" s="11">
        <f>(Table2[[#This Row],[follower gain]]/Table2[[#This Row],[Total_Followers]])*100</f>
        <v>0.15788005199153438</v>
      </c>
    </row>
    <row r="67" spans="1:9" ht="15.75" customHeight="1">
      <c r="A67" s="8">
        <v>45593</v>
      </c>
      <c r="B67" s="5" t="s">
        <v>14</v>
      </c>
      <c r="C67" s="9">
        <v>759</v>
      </c>
      <c r="D67" s="9">
        <v>216</v>
      </c>
      <c r="E67" s="9">
        <v>147656</v>
      </c>
      <c r="F67" s="10">
        <v>4.08</v>
      </c>
      <c r="G67" s="9">
        <v>24943</v>
      </c>
      <c r="H67" s="3">
        <f>Table2[[#This Row],[New_Followers]]-Table2[[#This Row],[Unfollows]]</f>
        <v>543</v>
      </c>
      <c r="I67" s="11">
        <f>(Table2[[#This Row],[follower gain]]/Table2[[#This Row],[Total_Followers]])*100</f>
        <v>0.36774665438586984</v>
      </c>
    </row>
    <row r="68" spans="1:9" ht="15.75" customHeight="1">
      <c r="A68" s="8">
        <v>45600</v>
      </c>
      <c r="B68" s="5" t="s">
        <v>12</v>
      </c>
      <c r="C68" s="9">
        <v>1437</v>
      </c>
      <c r="D68" s="9">
        <v>235</v>
      </c>
      <c r="E68" s="9">
        <v>326791</v>
      </c>
      <c r="F68" s="10">
        <v>4.0599999999999996</v>
      </c>
      <c r="G68" s="9">
        <v>14563</v>
      </c>
      <c r="H68" s="3">
        <f>Table2[[#This Row],[New_Followers]]-Table2[[#This Row],[Unfollows]]</f>
        <v>1202</v>
      </c>
      <c r="I68" s="11">
        <f>(Table2[[#This Row],[follower gain]]/Table2[[#This Row],[Total_Followers]])*100</f>
        <v>0.36781918718691764</v>
      </c>
    </row>
    <row r="69" spans="1:9" ht="15.75" customHeight="1">
      <c r="A69" s="8">
        <v>45600</v>
      </c>
      <c r="B69" s="5" t="s">
        <v>13</v>
      </c>
      <c r="C69" s="9">
        <v>1463</v>
      </c>
      <c r="D69" s="9">
        <v>73</v>
      </c>
      <c r="E69" s="9">
        <v>348877</v>
      </c>
      <c r="F69" s="10">
        <v>9.91</v>
      </c>
      <c r="G69" s="9">
        <v>26273</v>
      </c>
      <c r="H69" s="3">
        <f>Table2[[#This Row],[New_Followers]]-Table2[[#This Row],[Unfollows]]</f>
        <v>1390</v>
      </c>
      <c r="I69" s="11">
        <f>(Table2[[#This Row],[follower gain]]/Table2[[#This Row],[Total_Followers]])*100</f>
        <v>0.39842122008616215</v>
      </c>
    </row>
    <row r="70" spans="1:9" ht="15.75" customHeight="1">
      <c r="A70" s="8">
        <v>45600</v>
      </c>
      <c r="B70" s="5" t="s">
        <v>14</v>
      </c>
      <c r="C70" s="9">
        <v>1208</v>
      </c>
      <c r="D70" s="9">
        <v>224</v>
      </c>
      <c r="E70" s="9">
        <v>122730</v>
      </c>
      <c r="F70" s="10">
        <v>8.7200000000000006</v>
      </c>
      <c r="G70" s="9">
        <v>10858</v>
      </c>
      <c r="H70" s="3">
        <f>Table2[[#This Row],[New_Followers]]-Table2[[#This Row],[Unfollows]]</f>
        <v>984</v>
      </c>
      <c r="I70" s="11">
        <f>(Table2[[#This Row],[follower gain]]/Table2[[#This Row],[Total_Followers]])*100</f>
        <v>0.80175996088975798</v>
      </c>
    </row>
    <row r="71" spans="1:9" ht="15.75" customHeight="1">
      <c r="A71" s="8">
        <v>45607</v>
      </c>
      <c r="B71" s="5" t="s">
        <v>12</v>
      </c>
      <c r="C71" s="9">
        <v>1391</v>
      </c>
      <c r="D71" s="9">
        <v>187</v>
      </c>
      <c r="E71" s="9">
        <v>306508</v>
      </c>
      <c r="F71" s="10">
        <v>8.3800000000000008</v>
      </c>
      <c r="G71" s="9">
        <v>25038</v>
      </c>
      <c r="H71" s="3">
        <f>Table2[[#This Row],[New_Followers]]-Table2[[#This Row],[Unfollows]]</f>
        <v>1204</v>
      </c>
      <c r="I71" s="11">
        <f>(Table2[[#This Row],[follower gain]]/Table2[[#This Row],[Total_Followers]])*100</f>
        <v>0.39281193313061974</v>
      </c>
    </row>
    <row r="72" spans="1:9" ht="15.75" customHeight="1">
      <c r="A72" s="8">
        <v>45607</v>
      </c>
      <c r="B72" s="5" t="s">
        <v>13</v>
      </c>
      <c r="C72" s="9">
        <v>655</v>
      </c>
      <c r="D72" s="9">
        <v>123</v>
      </c>
      <c r="E72" s="9">
        <v>202472</v>
      </c>
      <c r="F72" s="10">
        <v>7.56</v>
      </c>
      <c r="G72" s="9">
        <v>9092</v>
      </c>
      <c r="H72" s="3">
        <f>Table2[[#This Row],[New_Followers]]-Table2[[#This Row],[Unfollows]]</f>
        <v>532</v>
      </c>
      <c r="I72" s="11">
        <f>(Table2[[#This Row],[follower gain]]/Table2[[#This Row],[Total_Followers]])*100</f>
        <v>0.26275238057607969</v>
      </c>
    </row>
    <row r="73" spans="1:9" ht="15.75" customHeight="1">
      <c r="A73" s="8">
        <v>45607</v>
      </c>
      <c r="B73" s="5" t="s">
        <v>14</v>
      </c>
      <c r="C73" s="9">
        <v>1148</v>
      </c>
      <c r="D73" s="9">
        <v>90</v>
      </c>
      <c r="E73" s="9">
        <v>227249</v>
      </c>
      <c r="F73" s="10">
        <v>7.24</v>
      </c>
      <c r="G73" s="9">
        <v>17662</v>
      </c>
      <c r="H73" s="3">
        <f>Table2[[#This Row],[New_Followers]]-Table2[[#This Row],[Unfollows]]</f>
        <v>1058</v>
      </c>
      <c r="I73" s="11">
        <f>(Table2[[#This Row],[follower gain]]/Table2[[#This Row],[Total_Followers]])*100</f>
        <v>0.46556860536239986</v>
      </c>
    </row>
    <row r="74" spans="1:9" ht="15.75" customHeight="1">
      <c r="A74" s="8">
        <v>45614</v>
      </c>
      <c r="B74" s="5" t="s">
        <v>12</v>
      </c>
      <c r="C74" s="9">
        <v>946</v>
      </c>
      <c r="D74" s="9">
        <v>270</v>
      </c>
      <c r="E74" s="9">
        <v>246567</v>
      </c>
      <c r="F74" s="10">
        <v>4.53</v>
      </c>
      <c r="G74" s="9">
        <v>5924</v>
      </c>
      <c r="H74" s="3">
        <f>Table2[[#This Row],[New_Followers]]-Table2[[#This Row],[Unfollows]]</f>
        <v>676</v>
      </c>
      <c r="I74" s="11">
        <f>(Table2[[#This Row],[follower gain]]/Table2[[#This Row],[Total_Followers]])*100</f>
        <v>0.27416483146568682</v>
      </c>
    </row>
    <row r="75" spans="1:9" ht="15.75" customHeight="1">
      <c r="A75" s="8">
        <v>45614</v>
      </c>
      <c r="B75" s="5" t="s">
        <v>13</v>
      </c>
      <c r="C75" s="9">
        <v>791</v>
      </c>
      <c r="D75" s="9">
        <v>214</v>
      </c>
      <c r="E75" s="9">
        <v>114738</v>
      </c>
      <c r="F75" s="10">
        <v>6.62</v>
      </c>
      <c r="G75" s="9">
        <v>25347</v>
      </c>
      <c r="H75" s="3">
        <f>Table2[[#This Row],[New_Followers]]-Table2[[#This Row],[Unfollows]]</f>
        <v>577</v>
      </c>
      <c r="I75" s="11">
        <f>(Table2[[#This Row],[follower gain]]/Table2[[#This Row],[Total_Followers]])*100</f>
        <v>0.5028848332723248</v>
      </c>
    </row>
    <row r="76" spans="1:9" ht="15.75" customHeight="1">
      <c r="A76" s="8">
        <v>45614</v>
      </c>
      <c r="B76" s="5" t="s">
        <v>14</v>
      </c>
      <c r="C76" s="9">
        <v>793</v>
      </c>
      <c r="D76" s="9">
        <v>111</v>
      </c>
      <c r="E76" s="9">
        <v>333500</v>
      </c>
      <c r="F76" s="10">
        <v>6.36</v>
      </c>
      <c r="G76" s="9">
        <v>8910</v>
      </c>
      <c r="H76" s="3">
        <f>Table2[[#This Row],[New_Followers]]-Table2[[#This Row],[Unfollows]]</f>
        <v>682</v>
      </c>
      <c r="I76" s="11">
        <f>(Table2[[#This Row],[follower gain]]/Table2[[#This Row],[Total_Followers]])*100</f>
        <v>0.2044977511244378</v>
      </c>
    </row>
    <row r="77" spans="1:9" ht="15.75" customHeight="1">
      <c r="A77" s="8">
        <v>45621</v>
      </c>
      <c r="B77" s="5" t="s">
        <v>12</v>
      </c>
      <c r="C77" s="9">
        <v>663</v>
      </c>
      <c r="D77" s="9">
        <v>213</v>
      </c>
      <c r="E77" s="9">
        <v>352677</v>
      </c>
      <c r="F77" s="10">
        <v>9</v>
      </c>
      <c r="G77" s="9">
        <v>20438</v>
      </c>
      <c r="H77" s="3">
        <f>Table2[[#This Row],[New_Followers]]-Table2[[#This Row],[Unfollows]]</f>
        <v>450</v>
      </c>
      <c r="I77" s="11">
        <f>(Table2[[#This Row],[follower gain]]/Table2[[#This Row],[Total_Followers]])*100</f>
        <v>0.1275955052356689</v>
      </c>
    </row>
    <row r="78" spans="1:9" ht="15.75" customHeight="1">
      <c r="A78" s="8">
        <v>45621</v>
      </c>
      <c r="B78" s="5" t="s">
        <v>13</v>
      </c>
      <c r="C78" s="9">
        <v>954</v>
      </c>
      <c r="D78" s="9">
        <v>271</v>
      </c>
      <c r="E78" s="9">
        <v>160936</v>
      </c>
      <c r="F78" s="10">
        <v>8.83</v>
      </c>
      <c r="G78" s="9">
        <v>8760</v>
      </c>
      <c r="H78" s="3">
        <f>Table2[[#This Row],[New_Followers]]-Table2[[#This Row],[Unfollows]]</f>
        <v>683</v>
      </c>
      <c r="I78" s="11">
        <f>(Table2[[#This Row],[follower gain]]/Table2[[#This Row],[Total_Followers]])*100</f>
        <v>0.42439230501565839</v>
      </c>
    </row>
    <row r="79" spans="1:9" ht="15.75" customHeight="1">
      <c r="A79" s="8">
        <v>45621</v>
      </c>
      <c r="B79" s="5" t="s">
        <v>14</v>
      </c>
      <c r="C79" s="9">
        <v>1313</v>
      </c>
      <c r="D79" s="9">
        <v>159</v>
      </c>
      <c r="E79" s="9">
        <v>197183</v>
      </c>
      <c r="F79" s="10">
        <v>9.7100000000000009</v>
      </c>
      <c r="G79" s="9">
        <v>6625</v>
      </c>
      <c r="H79" s="3">
        <f>Table2[[#This Row],[New_Followers]]-Table2[[#This Row],[Unfollows]]</f>
        <v>1154</v>
      </c>
      <c r="I79" s="11">
        <f>(Table2[[#This Row],[follower gain]]/Table2[[#This Row],[Total_Followers]])*100</f>
        <v>0.58524314976443204</v>
      </c>
    </row>
    <row r="80" spans="1:9" ht="15.75" customHeight="1">
      <c r="A80" s="8">
        <v>45628</v>
      </c>
      <c r="B80" s="5" t="s">
        <v>12</v>
      </c>
      <c r="C80" s="9">
        <v>895</v>
      </c>
      <c r="D80" s="9">
        <v>87</v>
      </c>
      <c r="E80" s="9">
        <v>171271</v>
      </c>
      <c r="F80" s="10">
        <v>6.68</v>
      </c>
      <c r="G80" s="9">
        <v>23329</v>
      </c>
      <c r="H80" s="3">
        <f>Table2[[#This Row],[New_Followers]]-Table2[[#This Row],[Unfollows]]</f>
        <v>808</v>
      </c>
      <c r="I80" s="11">
        <f>(Table2[[#This Row],[follower gain]]/Table2[[#This Row],[Total_Followers]])*100</f>
        <v>0.47176696580273364</v>
      </c>
    </row>
    <row r="81" spans="1:9" ht="15.75" customHeight="1">
      <c r="A81" s="8">
        <v>45628</v>
      </c>
      <c r="B81" s="5" t="s">
        <v>13</v>
      </c>
      <c r="C81" s="9">
        <v>1027</v>
      </c>
      <c r="D81" s="9">
        <v>156</v>
      </c>
      <c r="E81" s="9">
        <v>111293</v>
      </c>
      <c r="F81" s="10">
        <v>5.51</v>
      </c>
      <c r="G81" s="9">
        <v>7299</v>
      </c>
      <c r="H81" s="3">
        <f>Table2[[#This Row],[New_Followers]]-Table2[[#This Row],[Unfollows]]</f>
        <v>871</v>
      </c>
      <c r="I81" s="11">
        <f>(Table2[[#This Row],[follower gain]]/Table2[[#This Row],[Total_Followers]])*100</f>
        <v>0.78261885293774092</v>
      </c>
    </row>
    <row r="82" spans="1:9" ht="15.75" customHeight="1">
      <c r="A82" s="8">
        <v>45628</v>
      </c>
      <c r="B82" s="5" t="s">
        <v>14</v>
      </c>
      <c r="C82" s="9">
        <v>990</v>
      </c>
      <c r="D82" s="9">
        <v>286</v>
      </c>
      <c r="E82" s="9">
        <v>351493</v>
      </c>
      <c r="F82" s="10">
        <v>7.97</v>
      </c>
      <c r="G82" s="9">
        <v>14496</v>
      </c>
      <c r="H82" s="3">
        <f>Table2[[#This Row],[New_Followers]]-Table2[[#This Row],[Unfollows]]</f>
        <v>704</v>
      </c>
      <c r="I82" s="11">
        <f>(Table2[[#This Row],[follower gain]]/Table2[[#This Row],[Total_Followers]])*100</f>
        <v>0.20028848369668811</v>
      </c>
    </row>
    <row r="83" spans="1:9" ht="15.75" customHeight="1">
      <c r="A83" s="8">
        <v>45635</v>
      </c>
      <c r="B83" s="5" t="s">
        <v>12</v>
      </c>
      <c r="C83" s="9">
        <v>875</v>
      </c>
      <c r="D83" s="9">
        <v>264</v>
      </c>
      <c r="E83" s="9">
        <v>345631</v>
      </c>
      <c r="F83" s="10">
        <v>9.18</v>
      </c>
      <c r="G83" s="9">
        <v>25703</v>
      </c>
      <c r="H83" s="3">
        <f>Table2[[#This Row],[New_Followers]]-Table2[[#This Row],[Unfollows]]</f>
        <v>611</v>
      </c>
      <c r="I83" s="11">
        <f>(Table2[[#This Row],[follower gain]]/Table2[[#This Row],[Total_Followers]])*100</f>
        <v>0.17677812464738407</v>
      </c>
    </row>
    <row r="84" spans="1:9" ht="15.75" customHeight="1">
      <c r="A84" s="8">
        <v>45635</v>
      </c>
      <c r="B84" s="5" t="s">
        <v>13</v>
      </c>
      <c r="C84" s="9">
        <v>599</v>
      </c>
      <c r="D84" s="9">
        <v>194</v>
      </c>
      <c r="E84" s="9">
        <v>105622</v>
      </c>
      <c r="F84" s="10">
        <v>6.44</v>
      </c>
      <c r="G84" s="9">
        <v>15108</v>
      </c>
      <c r="H84" s="3">
        <f>Table2[[#This Row],[New_Followers]]-Table2[[#This Row],[Unfollows]]</f>
        <v>405</v>
      </c>
      <c r="I84" s="11">
        <f>(Table2[[#This Row],[follower gain]]/Table2[[#This Row],[Total_Followers]])*100</f>
        <v>0.38344284334702994</v>
      </c>
    </row>
    <row r="85" spans="1:9" ht="15.75" customHeight="1">
      <c r="A85" s="8">
        <v>45635</v>
      </c>
      <c r="B85" s="5" t="s">
        <v>14</v>
      </c>
      <c r="C85" s="9">
        <v>630</v>
      </c>
      <c r="D85" s="9">
        <v>248</v>
      </c>
      <c r="E85" s="9">
        <v>119054</v>
      </c>
      <c r="F85" s="10">
        <v>5.0199999999999996</v>
      </c>
      <c r="G85" s="9">
        <v>18867</v>
      </c>
      <c r="H85" s="3">
        <f>Table2[[#This Row],[New_Followers]]-Table2[[#This Row],[Unfollows]]</f>
        <v>382</v>
      </c>
      <c r="I85" s="11">
        <f>(Table2[[#This Row],[follower gain]]/Table2[[#This Row],[Total_Followers]])*100</f>
        <v>0.32086280175382598</v>
      </c>
    </row>
    <row r="86" spans="1:9" ht="15.75" customHeight="1">
      <c r="A86" s="8">
        <v>45642</v>
      </c>
      <c r="B86" s="5" t="s">
        <v>12</v>
      </c>
      <c r="C86" s="9">
        <v>1350</v>
      </c>
      <c r="D86" s="9">
        <v>233</v>
      </c>
      <c r="E86" s="9">
        <v>171670</v>
      </c>
      <c r="F86" s="10">
        <v>4.53</v>
      </c>
      <c r="G86" s="9">
        <v>17574</v>
      </c>
      <c r="H86" s="3">
        <f>Table2[[#This Row],[New_Followers]]-Table2[[#This Row],[Unfollows]]</f>
        <v>1117</v>
      </c>
      <c r="I86" s="11">
        <f>(Table2[[#This Row],[follower gain]]/Table2[[#This Row],[Total_Followers]])*100</f>
        <v>0.65066697734024581</v>
      </c>
    </row>
    <row r="87" spans="1:9" ht="15.75" customHeight="1">
      <c r="A87" s="8">
        <v>45642</v>
      </c>
      <c r="B87" s="5" t="s">
        <v>13</v>
      </c>
      <c r="C87" s="9">
        <v>632</v>
      </c>
      <c r="D87" s="9">
        <v>155</v>
      </c>
      <c r="E87" s="9">
        <v>170432</v>
      </c>
      <c r="F87" s="10">
        <v>9.17</v>
      </c>
      <c r="G87" s="9">
        <v>12840</v>
      </c>
      <c r="H87" s="3">
        <f>Table2[[#This Row],[New_Followers]]-Table2[[#This Row],[Unfollows]]</f>
        <v>477</v>
      </c>
      <c r="I87" s="11">
        <f>(Table2[[#This Row],[follower gain]]/Table2[[#This Row],[Total_Followers]])*100</f>
        <v>0.27987701840030044</v>
      </c>
    </row>
    <row r="88" spans="1:9" ht="15.75" customHeight="1">
      <c r="A88" s="8">
        <v>45642</v>
      </c>
      <c r="B88" s="5" t="s">
        <v>14</v>
      </c>
      <c r="C88" s="9">
        <v>1182</v>
      </c>
      <c r="D88" s="9">
        <v>83</v>
      </c>
      <c r="E88" s="9">
        <v>140300</v>
      </c>
      <c r="F88" s="10">
        <v>3.27</v>
      </c>
      <c r="G88" s="9">
        <v>21079</v>
      </c>
      <c r="H88" s="3">
        <f>Table2[[#This Row],[New_Followers]]-Table2[[#This Row],[Unfollows]]</f>
        <v>1099</v>
      </c>
      <c r="I88" s="11">
        <f>(Table2[[#This Row],[follower gain]]/Table2[[#This Row],[Total_Followers]])*100</f>
        <v>0.78332145402708486</v>
      </c>
    </row>
    <row r="89" spans="1:9" ht="15.75" customHeight="1">
      <c r="A89" s="8">
        <v>45649</v>
      </c>
      <c r="B89" s="5" t="s">
        <v>12</v>
      </c>
      <c r="C89" s="9">
        <v>661</v>
      </c>
      <c r="D89" s="9">
        <v>94</v>
      </c>
      <c r="E89" s="9">
        <v>116538</v>
      </c>
      <c r="F89" s="10">
        <v>5.31</v>
      </c>
      <c r="G89" s="9">
        <v>23486</v>
      </c>
      <c r="H89" s="3">
        <f>Table2[[#This Row],[New_Followers]]-Table2[[#This Row],[Unfollows]]</f>
        <v>567</v>
      </c>
      <c r="I89" s="11">
        <f>(Table2[[#This Row],[follower gain]]/Table2[[#This Row],[Total_Followers]])*100</f>
        <v>0.48653658034289238</v>
      </c>
    </row>
    <row r="90" spans="1:9" ht="15.75" customHeight="1">
      <c r="A90" s="8">
        <v>45649</v>
      </c>
      <c r="B90" s="5" t="s">
        <v>13</v>
      </c>
      <c r="C90" s="9">
        <v>1360</v>
      </c>
      <c r="D90" s="9">
        <v>227</v>
      </c>
      <c r="E90" s="9">
        <v>176902</v>
      </c>
      <c r="F90" s="10">
        <v>6.03</v>
      </c>
      <c r="G90" s="9">
        <v>5960</v>
      </c>
      <c r="H90" s="3">
        <f>Table2[[#This Row],[New_Followers]]-Table2[[#This Row],[Unfollows]]</f>
        <v>1133</v>
      </c>
      <c r="I90" s="11">
        <f>(Table2[[#This Row],[follower gain]]/Table2[[#This Row],[Total_Followers]])*100</f>
        <v>0.64046760353189902</v>
      </c>
    </row>
    <row r="91" spans="1:9" ht="15.75" customHeight="1">
      <c r="A91" s="8">
        <v>45649</v>
      </c>
      <c r="B91" s="5" t="s">
        <v>14</v>
      </c>
      <c r="C91" s="9">
        <v>935</v>
      </c>
      <c r="D91" s="9">
        <v>85</v>
      </c>
      <c r="E91" s="9">
        <v>326821</v>
      </c>
      <c r="F91" s="10">
        <v>8.89</v>
      </c>
      <c r="G91" s="9">
        <v>13301</v>
      </c>
      <c r="H91" s="3">
        <f>Table2[[#This Row],[New_Followers]]-Table2[[#This Row],[Unfollows]]</f>
        <v>850</v>
      </c>
      <c r="I91" s="11">
        <f>(Table2[[#This Row],[follower gain]]/Table2[[#This Row],[Total_Followers]])*100</f>
        <v>0.260081206532016</v>
      </c>
    </row>
    <row r="92" spans="1:9" ht="15.75" customHeight="1">
      <c r="A92" s="8">
        <v>45656</v>
      </c>
      <c r="B92" s="5" t="s">
        <v>12</v>
      </c>
      <c r="C92" s="9">
        <v>664</v>
      </c>
      <c r="D92" s="9">
        <v>251</v>
      </c>
      <c r="E92" s="9">
        <v>240598</v>
      </c>
      <c r="F92" s="10">
        <v>4.79</v>
      </c>
      <c r="G92" s="9">
        <v>10563</v>
      </c>
      <c r="H92" s="3">
        <f>Table2[[#This Row],[New_Followers]]-Table2[[#This Row],[Unfollows]]</f>
        <v>413</v>
      </c>
      <c r="I92" s="11">
        <f>(Table2[[#This Row],[follower gain]]/Table2[[#This Row],[Total_Followers]])*100</f>
        <v>0.17165562473503521</v>
      </c>
    </row>
    <row r="93" spans="1:9" ht="15.75" customHeight="1">
      <c r="A93" s="8">
        <v>45656</v>
      </c>
      <c r="B93" s="5" t="s">
        <v>13</v>
      </c>
      <c r="C93" s="9">
        <v>1490</v>
      </c>
      <c r="D93" s="9">
        <v>103</v>
      </c>
      <c r="E93" s="9">
        <v>373274</v>
      </c>
      <c r="F93" s="10">
        <v>4.8</v>
      </c>
      <c r="G93" s="9">
        <v>19949</v>
      </c>
      <c r="H93" s="3">
        <f>Table2[[#This Row],[New_Followers]]-Table2[[#This Row],[Unfollows]]</f>
        <v>1387</v>
      </c>
      <c r="I93" s="11">
        <f>(Table2[[#This Row],[follower gain]]/Table2[[#This Row],[Total_Followers]])*100</f>
        <v>0.37157691133055076</v>
      </c>
    </row>
    <row r="94" spans="1:9" ht="15.75" customHeight="1">
      <c r="A94" s="8">
        <v>45656</v>
      </c>
      <c r="B94" s="5" t="s">
        <v>14</v>
      </c>
      <c r="C94" s="9">
        <v>601</v>
      </c>
      <c r="D94" s="9">
        <v>64</v>
      </c>
      <c r="E94" s="9">
        <v>123272</v>
      </c>
      <c r="F94" s="10">
        <v>4.07</v>
      </c>
      <c r="G94" s="9">
        <v>14273</v>
      </c>
      <c r="H94" s="3">
        <f>Table2[[#This Row],[New_Followers]]-Table2[[#This Row],[Unfollows]]</f>
        <v>537</v>
      </c>
      <c r="I94" s="11">
        <f>(Table2[[#This Row],[follower gain]]/Table2[[#This Row],[Total_Followers]])*100</f>
        <v>0.43562203906807706</v>
      </c>
    </row>
    <row r="95" spans="1:9" ht="15.75" customHeight="1">
      <c r="A95" s="8">
        <v>45663</v>
      </c>
      <c r="B95" s="5" t="s">
        <v>12</v>
      </c>
      <c r="C95" s="9">
        <v>613</v>
      </c>
      <c r="D95" s="9">
        <v>170</v>
      </c>
      <c r="E95" s="9">
        <v>139266</v>
      </c>
      <c r="F95" s="10">
        <v>6.06</v>
      </c>
      <c r="G95" s="9">
        <v>9247</v>
      </c>
      <c r="H95" s="3">
        <f>Table2[[#This Row],[New_Followers]]-Table2[[#This Row],[Unfollows]]</f>
        <v>443</v>
      </c>
      <c r="I95" s="11">
        <f>(Table2[[#This Row],[follower gain]]/Table2[[#This Row],[Total_Followers]])*100</f>
        <v>0.31809630491290047</v>
      </c>
    </row>
    <row r="96" spans="1:9" ht="15.75" customHeight="1">
      <c r="A96" s="8">
        <v>45663</v>
      </c>
      <c r="B96" s="5" t="s">
        <v>13</v>
      </c>
      <c r="C96" s="9">
        <v>1340</v>
      </c>
      <c r="D96" s="9">
        <v>57</v>
      </c>
      <c r="E96" s="9">
        <v>155927</v>
      </c>
      <c r="F96" s="10">
        <v>7.79</v>
      </c>
      <c r="G96" s="9">
        <v>11972</v>
      </c>
      <c r="H96" s="3">
        <f>Table2[[#This Row],[New_Followers]]-Table2[[#This Row],[Unfollows]]</f>
        <v>1283</v>
      </c>
      <c r="I96" s="11">
        <f>(Table2[[#This Row],[follower gain]]/Table2[[#This Row],[Total_Followers]])*100</f>
        <v>0.82282093543773693</v>
      </c>
    </row>
    <row r="97" spans="1:9" ht="15.75" customHeight="1">
      <c r="A97" s="8">
        <v>45663</v>
      </c>
      <c r="B97" s="5" t="s">
        <v>14</v>
      </c>
      <c r="C97" s="9">
        <v>953</v>
      </c>
      <c r="D97" s="9">
        <v>228</v>
      </c>
      <c r="E97" s="9">
        <v>258398</v>
      </c>
      <c r="F97" s="10">
        <v>9.0500000000000007</v>
      </c>
      <c r="G97" s="9">
        <v>13314</v>
      </c>
      <c r="H97" s="3">
        <f>Table2[[#This Row],[New_Followers]]-Table2[[#This Row],[Unfollows]]</f>
        <v>725</v>
      </c>
      <c r="I97" s="11">
        <f>(Table2[[#This Row],[follower gain]]/Table2[[#This Row],[Total_Followers]])*100</f>
        <v>0.28057492705051895</v>
      </c>
    </row>
    <row r="98" spans="1:9" ht="15.75" customHeight="1">
      <c r="A98" s="8">
        <v>45670</v>
      </c>
      <c r="B98" s="5" t="s">
        <v>12</v>
      </c>
      <c r="C98" s="9">
        <v>532</v>
      </c>
      <c r="D98" s="9">
        <v>65</v>
      </c>
      <c r="E98" s="9">
        <v>338561</v>
      </c>
      <c r="F98" s="10">
        <v>3.5</v>
      </c>
      <c r="G98" s="9">
        <v>14749</v>
      </c>
      <c r="H98" s="3">
        <f>Table2[[#This Row],[New_Followers]]-Table2[[#This Row],[Unfollows]]</f>
        <v>467</v>
      </c>
      <c r="I98" s="11">
        <f>(Table2[[#This Row],[follower gain]]/Table2[[#This Row],[Total_Followers]])*100</f>
        <v>0.137936738135816</v>
      </c>
    </row>
    <row r="99" spans="1:9" ht="15.75" customHeight="1">
      <c r="A99" s="8">
        <v>45670</v>
      </c>
      <c r="B99" s="5" t="s">
        <v>13</v>
      </c>
      <c r="C99" s="9">
        <v>1414</v>
      </c>
      <c r="D99" s="9">
        <v>60</v>
      </c>
      <c r="E99" s="9">
        <v>341856</v>
      </c>
      <c r="F99" s="10">
        <v>8.76</v>
      </c>
      <c r="G99" s="9">
        <v>6868</v>
      </c>
      <c r="H99" s="3">
        <f>Table2[[#This Row],[New_Followers]]-Table2[[#This Row],[Unfollows]]</f>
        <v>1354</v>
      </c>
      <c r="I99" s="11">
        <f>(Table2[[#This Row],[follower gain]]/Table2[[#This Row],[Total_Followers]])*100</f>
        <v>0.39607320041186933</v>
      </c>
    </row>
    <row r="100" spans="1:9" ht="15.75" customHeight="1">
      <c r="A100" s="8">
        <v>45670</v>
      </c>
      <c r="B100" s="5" t="s">
        <v>14</v>
      </c>
      <c r="C100" s="9">
        <v>685</v>
      </c>
      <c r="D100" s="9">
        <v>165</v>
      </c>
      <c r="E100" s="9">
        <v>175860</v>
      </c>
      <c r="F100" s="10">
        <v>6.26</v>
      </c>
      <c r="G100" s="9">
        <v>6027</v>
      </c>
      <c r="H100" s="3">
        <f>Table2[[#This Row],[New_Followers]]-Table2[[#This Row],[Unfollows]]</f>
        <v>520</v>
      </c>
      <c r="I100" s="11">
        <f>(Table2[[#This Row],[follower gain]]/Table2[[#This Row],[Total_Followers]])*100</f>
        <v>0.2956897532127829</v>
      </c>
    </row>
    <row r="101" spans="1:9" ht="15.75" customHeight="1">
      <c r="A101" s="8">
        <v>45677</v>
      </c>
      <c r="B101" s="5" t="s">
        <v>12</v>
      </c>
      <c r="C101" s="9">
        <v>601</v>
      </c>
      <c r="D101" s="9">
        <v>159</v>
      </c>
      <c r="E101" s="9">
        <v>327722</v>
      </c>
      <c r="F101" s="10">
        <v>3.33</v>
      </c>
      <c r="G101" s="9">
        <v>25267</v>
      </c>
      <c r="H101" s="3">
        <f>Table2[[#This Row],[New_Followers]]-Table2[[#This Row],[Unfollows]]</f>
        <v>442</v>
      </c>
      <c r="I101" s="11">
        <f>(Table2[[#This Row],[follower gain]]/Table2[[#This Row],[Total_Followers]])*100</f>
        <v>0.13487040845594742</v>
      </c>
    </row>
    <row r="102" spans="1:9" ht="15.75" customHeight="1">
      <c r="A102" s="8">
        <v>45677</v>
      </c>
      <c r="B102" s="5" t="s">
        <v>13</v>
      </c>
      <c r="C102" s="9">
        <v>841</v>
      </c>
      <c r="D102" s="9">
        <v>295</v>
      </c>
      <c r="E102" s="9">
        <v>271638</v>
      </c>
      <c r="F102" s="10">
        <v>9.15</v>
      </c>
      <c r="G102" s="9">
        <v>5900</v>
      </c>
      <c r="H102" s="3">
        <f>Table2[[#This Row],[New_Followers]]-Table2[[#This Row],[Unfollows]]</f>
        <v>546</v>
      </c>
      <c r="I102" s="11">
        <f>(Table2[[#This Row],[follower gain]]/Table2[[#This Row],[Total_Followers]])*100</f>
        <v>0.20100280520398472</v>
      </c>
    </row>
    <row r="103" spans="1:9" ht="15.75" customHeight="1">
      <c r="A103" s="8">
        <v>45677</v>
      </c>
      <c r="B103" s="5" t="s">
        <v>14</v>
      </c>
      <c r="C103" s="9">
        <v>1105</v>
      </c>
      <c r="D103" s="9">
        <v>261</v>
      </c>
      <c r="E103" s="9">
        <v>333851</v>
      </c>
      <c r="F103" s="10">
        <v>6.03</v>
      </c>
      <c r="G103" s="9">
        <v>11181</v>
      </c>
      <c r="H103" s="3">
        <f>Table2[[#This Row],[New_Followers]]-Table2[[#This Row],[Unfollows]]</f>
        <v>844</v>
      </c>
      <c r="I103" s="11">
        <f>(Table2[[#This Row],[follower gain]]/Table2[[#This Row],[Total_Followers]])*100</f>
        <v>0.2528073901231388</v>
      </c>
    </row>
    <row r="104" spans="1:9" ht="15.75" customHeight="1">
      <c r="A104" s="8">
        <v>45684</v>
      </c>
      <c r="B104" s="5" t="s">
        <v>12</v>
      </c>
      <c r="C104" s="9">
        <v>566</v>
      </c>
      <c r="D104" s="9">
        <v>225</v>
      </c>
      <c r="E104" s="9">
        <v>368984</v>
      </c>
      <c r="F104" s="10">
        <v>9.82</v>
      </c>
      <c r="G104" s="9">
        <v>9592</v>
      </c>
      <c r="H104" s="3">
        <f>Table2[[#This Row],[New_Followers]]-Table2[[#This Row],[Unfollows]]</f>
        <v>341</v>
      </c>
      <c r="I104" s="11">
        <f>(Table2[[#This Row],[follower gain]]/Table2[[#This Row],[Total_Followers]])*100</f>
        <v>9.2415931314094923E-2</v>
      </c>
    </row>
    <row r="105" spans="1:9" ht="15.75" customHeight="1">
      <c r="A105" s="8">
        <v>45684</v>
      </c>
      <c r="B105" s="5" t="s">
        <v>13</v>
      </c>
      <c r="C105" s="9">
        <v>1149</v>
      </c>
      <c r="D105" s="9">
        <v>280</v>
      </c>
      <c r="E105" s="9">
        <v>167310</v>
      </c>
      <c r="F105" s="10">
        <v>3.7</v>
      </c>
      <c r="G105" s="9">
        <v>5291</v>
      </c>
      <c r="H105" s="3">
        <f>Table2[[#This Row],[New_Followers]]-Table2[[#This Row],[Unfollows]]</f>
        <v>869</v>
      </c>
      <c r="I105" s="11">
        <f>(Table2[[#This Row],[follower gain]]/Table2[[#This Row],[Total_Followers]])*100</f>
        <v>0.51939513477975008</v>
      </c>
    </row>
    <row r="106" spans="1:9" ht="15.75" customHeight="1">
      <c r="A106" s="8">
        <v>45684</v>
      </c>
      <c r="B106" s="5" t="s">
        <v>14</v>
      </c>
      <c r="C106" s="9">
        <v>819</v>
      </c>
      <c r="D106" s="9">
        <v>101</v>
      </c>
      <c r="E106" s="9">
        <v>194811</v>
      </c>
      <c r="F106" s="10">
        <v>3.35</v>
      </c>
      <c r="G106" s="9">
        <v>22244</v>
      </c>
      <c r="H106" s="3">
        <f>Table2[[#This Row],[New_Followers]]-Table2[[#This Row],[Unfollows]]</f>
        <v>718</v>
      </c>
      <c r="I106" s="11">
        <f>(Table2[[#This Row],[follower gain]]/Table2[[#This Row],[Total_Followers]])*100</f>
        <v>0.36856235017529809</v>
      </c>
    </row>
    <row r="107" spans="1:9" ht="15.75" customHeight="1">
      <c r="A107" s="8">
        <v>45691</v>
      </c>
      <c r="B107" s="5" t="s">
        <v>12</v>
      </c>
      <c r="C107" s="9">
        <v>795</v>
      </c>
      <c r="D107" s="9">
        <v>60</v>
      </c>
      <c r="E107" s="9">
        <v>314982</v>
      </c>
      <c r="F107" s="10">
        <v>7.31</v>
      </c>
      <c r="G107" s="9">
        <v>6824</v>
      </c>
      <c r="H107" s="3">
        <f>Table2[[#This Row],[New_Followers]]-Table2[[#This Row],[Unfollows]]</f>
        <v>735</v>
      </c>
      <c r="I107" s="11">
        <f>(Table2[[#This Row],[follower gain]]/Table2[[#This Row],[Total_Followers]])*100</f>
        <v>0.23334666742861496</v>
      </c>
    </row>
    <row r="108" spans="1:9" ht="15.75" customHeight="1">
      <c r="A108" s="8">
        <v>45691</v>
      </c>
      <c r="B108" s="5" t="s">
        <v>13</v>
      </c>
      <c r="C108" s="9">
        <v>681</v>
      </c>
      <c r="D108" s="9">
        <v>158</v>
      </c>
      <c r="E108" s="9">
        <v>75960</v>
      </c>
      <c r="F108" s="10">
        <v>3.13</v>
      </c>
      <c r="G108" s="9">
        <v>24112</v>
      </c>
      <c r="H108" s="3">
        <f>Table2[[#This Row],[New_Followers]]-Table2[[#This Row],[Unfollows]]</f>
        <v>523</v>
      </c>
      <c r="I108" s="11">
        <f>(Table2[[#This Row],[follower gain]]/Table2[[#This Row],[Total_Followers]])*100</f>
        <v>0.6885202738283307</v>
      </c>
    </row>
    <row r="109" spans="1:9" ht="15.75" customHeight="1">
      <c r="A109" s="8">
        <v>45691</v>
      </c>
      <c r="B109" s="5" t="s">
        <v>14</v>
      </c>
      <c r="C109" s="9">
        <v>534</v>
      </c>
      <c r="D109" s="9">
        <v>112</v>
      </c>
      <c r="E109" s="9">
        <v>360759</v>
      </c>
      <c r="F109" s="10">
        <v>4.8899999999999997</v>
      </c>
      <c r="G109" s="9">
        <v>25478</v>
      </c>
      <c r="H109" s="3">
        <f>Table2[[#This Row],[New_Followers]]-Table2[[#This Row],[Unfollows]]</f>
        <v>422</v>
      </c>
      <c r="I109" s="11">
        <f>(Table2[[#This Row],[follower gain]]/Table2[[#This Row],[Total_Followers]])*100</f>
        <v>0.11697559866836309</v>
      </c>
    </row>
    <row r="110" spans="1:9" ht="15.75" customHeight="1">
      <c r="A110" s="8">
        <v>45698</v>
      </c>
      <c r="B110" s="5" t="s">
        <v>12</v>
      </c>
      <c r="C110" s="9">
        <v>1066</v>
      </c>
      <c r="D110" s="9">
        <v>151</v>
      </c>
      <c r="E110" s="9">
        <v>297090</v>
      </c>
      <c r="F110" s="10">
        <v>8.6300000000000008</v>
      </c>
      <c r="G110" s="9">
        <v>11235</v>
      </c>
      <c r="H110" s="3">
        <f>Table2[[#This Row],[New_Followers]]-Table2[[#This Row],[Unfollows]]</f>
        <v>915</v>
      </c>
      <c r="I110" s="11">
        <f>(Table2[[#This Row],[follower gain]]/Table2[[#This Row],[Total_Followers]])*100</f>
        <v>0.30798747854185599</v>
      </c>
    </row>
    <row r="111" spans="1:9" ht="15.75" customHeight="1">
      <c r="A111" s="8">
        <v>45698</v>
      </c>
      <c r="B111" s="5" t="s">
        <v>13</v>
      </c>
      <c r="C111" s="9">
        <v>1270</v>
      </c>
      <c r="D111" s="9">
        <v>162</v>
      </c>
      <c r="E111" s="9">
        <v>92040</v>
      </c>
      <c r="F111" s="10">
        <v>8.0299999999999994</v>
      </c>
      <c r="G111" s="9">
        <v>6120</v>
      </c>
      <c r="H111" s="3">
        <f>Table2[[#This Row],[New_Followers]]-Table2[[#This Row],[Unfollows]]</f>
        <v>1108</v>
      </c>
      <c r="I111" s="11">
        <f>(Table2[[#This Row],[follower gain]]/Table2[[#This Row],[Total_Followers]])*100</f>
        <v>1.2038244241634073</v>
      </c>
    </row>
    <row r="112" spans="1:9" ht="15.75" customHeight="1">
      <c r="A112" s="8">
        <v>45698</v>
      </c>
      <c r="B112" s="5" t="s">
        <v>14</v>
      </c>
      <c r="C112" s="9">
        <v>536</v>
      </c>
      <c r="D112" s="9">
        <v>198</v>
      </c>
      <c r="E112" s="9">
        <v>174610</v>
      </c>
      <c r="F112" s="10">
        <v>7.85</v>
      </c>
      <c r="G112" s="9">
        <v>20572</v>
      </c>
      <c r="H112" s="3">
        <f>Table2[[#This Row],[New_Followers]]-Table2[[#This Row],[Unfollows]]</f>
        <v>338</v>
      </c>
      <c r="I112" s="11">
        <f>(Table2[[#This Row],[follower gain]]/Table2[[#This Row],[Total_Followers]])*100</f>
        <v>0.19357425118836263</v>
      </c>
    </row>
    <row r="113" spans="1:9" ht="15.75" customHeight="1">
      <c r="A113" s="8">
        <v>45705</v>
      </c>
      <c r="B113" s="5" t="s">
        <v>12</v>
      </c>
      <c r="C113" s="9">
        <v>819</v>
      </c>
      <c r="D113" s="9">
        <v>95</v>
      </c>
      <c r="E113" s="9">
        <v>177376</v>
      </c>
      <c r="F113" s="10">
        <v>6.12</v>
      </c>
      <c r="G113" s="9">
        <v>14975</v>
      </c>
      <c r="H113" s="3">
        <f>Table2[[#This Row],[New_Followers]]-Table2[[#This Row],[Unfollows]]</f>
        <v>724</v>
      </c>
      <c r="I113" s="11">
        <f>(Table2[[#This Row],[follower gain]]/Table2[[#This Row],[Total_Followers]])*100</f>
        <v>0.40817246978170663</v>
      </c>
    </row>
    <row r="114" spans="1:9" ht="15.75" customHeight="1">
      <c r="A114" s="8">
        <v>45705</v>
      </c>
      <c r="B114" s="5" t="s">
        <v>13</v>
      </c>
      <c r="C114" s="9">
        <v>681</v>
      </c>
      <c r="D114" s="9">
        <v>218</v>
      </c>
      <c r="E114" s="9">
        <v>198882</v>
      </c>
      <c r="F114" s="10">
        <v>7.16</v>
      </c>
      <c r="G114" s="9">
        <v>22234</v>
      </c>
      <c r="H114" s="3">
        <f>Table2[[#This Row],[New_Followers]]-Table2[[#This Row],[Unfollows]]</f>
        <v>463</v>
      </c>
      <c r="I114" s="11">
        <f>(Table2[[#This Row],[follower gain]]/Table2[[#This Row],[Total_Followers]])*100</f>
        <v>0.23280135960016493</v>
      </c>
    </row>
    <row r="115" spans="1:9" ht="15.75" customHeight="1">
      <c r="A115" s="8">
        <v>45705</v>
      </c>
      <c r="B115" s="5" t="s">
        <v>14</v>
      </c>
      <c r="C115" s="9">
        <v>646</v>
      </c>
      <c r="D115" s="9">
        <v>290</v>
      </c>
      <c r="E115" s="9">
        <v>336383</v>
      </c>
      <c r="F115" s="10">
        <v>7.04</v>
      </c>
      <c r="G115" s="9">
        <v>6532</v>
      </c>
      <c r="H115" s="3">
        <f>Table2[[#This Row],[New_Followers]]-Table2[[#This Row],[Unfollows]]</f>
        <v>356</v>
      </c>
      <c r="I115" s="11">
        <f>(Table2[[#This Row],[follower gain]]/Table2[[#This Row],[Total_Followers]])*100</f>
        <v>0.10583174536168594</v>
      </c>
    </row>
    <row r="116" spans="1:9" ht="15.75" customHeight="1">
      <c r="A116" s="8">
        <v>45712</v>
      </c>
      <c r="B116" s="5" t="s">
        <v>12</v>
      </c>
      <c r="C116" s="9">
        <v>645</v>
      </c>
      <c r="D116" s="9">
        <v>267</v>
      </c>
      <c r="E116" s="9">
        <v>346890</v>
      </c>
      <c r="F116" s="10">
        <v>3.71</v>
      </c>
      <c r="G116" s="9">
        <v>24858</v>
      </c>
      <c r="H116" s="3">
        <f>Table2[[#This Row],[New_Followers]]-Table2[[#This Row],[Unfollows]]</f>
        <v>378</v>
      </c>
      <c r="I116" s="11">
        <f>(Table2[[#This Row],[follower gain]]/Table2[[#This Row],[Total_Followers]])*100</f>
        <v>0.10896826083196401</v>
      </c>
    </row>
    <row r="117" spans="1:9" ht="15.75" customHeight="1">
      <c r="A117" s="8">
        <v>45712</v>
      </c>
      <c r="B117" s="5" t="s">
        <v>13</v>
      </c>
      <c r="C117" s="9">
        <v>886</v>
      </c>
      <c r="D117" s="9">
        <v>250</v>
      </c>
      <c r="E117" s="9">
        <v>168170</v>
      </c>
      <c r="F117" s="10">
        <v>4.12</v>
      </c>
      <c r="G117" s="9">
        <v>13883</v>
      </c>
      <c r="H117" s="3">
        <f>Table2[[#This Row],[New_Followers]]-Table2[[#This Row],[Unfollows]]</f>
        <v>636</v>
      </c>
      <c r="I117" s="11">
        <f>(Table2[[#This Row],[follower gain]]/Table2[[#This Row],[Total_Followers]])*100</f>
        <v>0.37818873758696553</v>
      </c>
    </row>
    <row r="118" spans="1:9" ht="15.75" customHeight="1">
      <c r="A118" s="8">
        <v>45712</v>
      </c>
      <c r="B118" s="5" t="s">
        <v>14</v>
      </c>
      <c r="C118" s="9">
        <v>978</v>
      </c>
      <c r="D118" s="9">
        <v>279</v>
      </c>
      <c r="E118" s="9">
        <v>368872</v>
      </c>
      <c r="F118" s="10">
        <v>6.82</v>
      </c>
      <c r="G118" s="9">
        <v>18654</v>
      </c>
      <c r="H118" s="3">
        <f>Table2[[#This Row],[New_Followers]]-Table2[[#This Row],[Unfollows]]</f>
        <v>699</v>
      </c>
      <c r="I118" s="11">
        <f>(Table2[[#This Row],[follower gain]]/Table2[[#This Row],[Total_Followers]])*100</f>
        <v>0.18949662755644234</v>
      </c>
    </row>
    <row r="119" spans="1:9" ht="15.75" customHeight="1">
      <c r="A119" s="8">
        <v>45719</v>
      </c>
      <c r="B119" s="5" t="s">
        <v>12</v>
      </c>
      <c r="C119" s="9">
        <v>1444</v>
      </c>
      <c r="D119" s="9">
        <v>165</v>
      </c>
      <c r="E119" s="9">
        <v>116436</v>
      </c>
      <c r="F119" s="10">
        <v>8.2200000000000006</v>
      </c>
      <c r="G119" s="9">
        <v>25234</v>
      </c>
      <c r="H119" s="3">
        <f>Table2[[#This Row],[New_Followers]]-Table2[[#This Row],[Unfollows]]</f>
        <v>1279</v>
      </c>
      <c r="I119" s="11">
        <f>(Table2[[#This Row],[follower gain]]/Table2[[#This Row],[Total_Followers]])*100</f>
        <v>1.0984575217286749</v>
      </c>
    </row>
    <row r="120" spans="1:9" ht="15.75" customHeight="1">
      <c r="A120" s="8">
        <v>45719</v>
      </c>
      <c r="B120" s="5" t="s">
        <v>13</v>
      </c>
      <c r="C120" s="9">
        <v>1234</v>
      </c>
      <c r="D120" s="9">
        <v>228</v>
      </c>
      <c r="E120" s="9">
        <v>127502</v>
      </c>
      <c r="F120" s="10">
        <v>7.71</v>
      </c>
      <c r="G120" s="9">
        <v>6772</v>
      </c>
      <c r="H120" s="3">
        <f>Table2[[#This Row],[New_Followers]]-Table2[[#This Row],[Unfollows]]</f>
        <v>1006</v>
      </c>
      <c r="I120" s="11">
        <f>(Table2[[#This Row],[follower gain]]/Table2[[#This Row],[Total_Followers]])*100</f>
        <v>0.78900723125911754</v>
      </c>
    </row>
    <row r="121" spans="1:9" ht="15.75" customHeight="1">
      <c r="A121" s="8">
        <v>45719</v>
      </c>
      <c r="B121" s="5" t="s">
        <v>14</v>
      </c>
      <c r="C121" s="9">
        <v>665</v>
      </c>
      <c r="D121" s="9">
        <v>187</v>
      </c>
      <c r="E121" s="9">
        <v>274567</v>
      </c>
      <c r="F121" s="10">
        <v>7.39</v>
      </c>
      <c r="G121" s="9">
        <v>22428</v>
      </c>
      <c r="H121" s="3">
        <f>Table2[[#This Row],[New_Followers]]-Table2[[#This Row],[Unfollows]]</f>
        <v>478</v>
      </c>
      <c r="I121" s="11">
        <f>(Table2[[#This Row],[follower gain]]/Table2[[#This Row],[Total_Followers]])*100</f>
        <v>0.17409229805475532</v>
      </c>
    </row>
    <row r="122" spans="1:9" ht="15.75" customHeight="1">
      <c r="A122" s="8">
        <v>45726</v>
      </c>
      <c r="B122" s="5" t="s">
        <v>12</v>
      </c>
      <c r="C122" s="9">
        <v>631</v>
      </c>
      <c r="D122" s="9">
        <v>86</v>
      </c>
      <c r="E122" s="9">
        <v>295090</v>
      </c>
      <c r="F122" s="10">
        <v>7.89</v>
      </c>
      <c r="G122" s="9">
        <v>11911</v>
      </c>
      <c r="H122" s="3">
        <f>Table2[[#This Row],[New_Followers]]-Table2[[#This Row],[Unfollows]]</f>
        <v>545</v>
      </c>
      <c r="I122" s="11">
        <f>(Table2[[#This Row],[follower gain]]/Table2[[#This Row],[Total_Followers]])*100</f>
        <v>0.18468941678809855</v>
      </c>
    </row>
    <row r="123" spans="1:9" ht="15.75" customHeight="1">
      <c r="A123" s="8">
        <v>45726</v>
      </c>
      <c r="B123" s="5" t="s">
        <v>13</v>
      </c>
      <c r="C123" s="9">
        <v>1159</v>
      </c>
      <c r="D123" s="9">
        <v>154</v>
      </c>
      <c r="E123" s="9">
        <v>194994</v>
      </c>
      <c r="F123" s="10">
        <v>6.39</v>
      </c>
      <c r="G123" s="9">
        <v>21900</v>
      </c>
      <c r="H123" s="3">
        <f>Table2[[#This Row],[New_Followers]]-Table2[[#This Row],[Unfollows]]</f>
        <v>1005</v>
      </c>
      <c r="I123" s="11">
        <f>(Table2[[#This Row],[follower gain]]/Table2[[#This Row],[Total_Followers]])*100</f>
        <v>0.51540047386073418</v>
      </c>
    </row>
    <row r="124" spans="1:9" ht="15.75" customHeight="1">
      <c r="A124" s="8">
        <v>45726</v>
      </c>
      <c r="B124" s="5" t="s">
        <v>14</v>
      </c>
      <c r="C124" s="9">
        <v>950</v>
      </c>
      <c r="D124" s="9">
        <v>185</v>
      </c>
      <c r="E124" s="9">
        <v>340750</v>
      </c>
      <c r="F124" s="10">
        <v>6.77</v>
      </c>
      <c r="G124" s="9">
        <v>25542</v>
      </c>
      <c r="H124" s="3">
        <f>Table2[[#This Row],[New_Followers]]-Table2[[#This Row],[Unfollows]]</f>
        <v>765</v>
      </c>
      <c r="I124" s="11">
        <f>(Table2[[#This Row],[follower gain]]/Table2[[#This Row],[Total_Followers]])*100</f>
        <v>0.22450476889214968</v>
      </c>
    </row>
    <row r="125" spans="1:9" ht="15.75" customHeight="1">
      <c r="A125" s="8">
        <v>45733</v>
      </c>
      <c r="B125" s="5" t="s">
        <v>12</v>
      </c>
      <c r="C125" s="9">
        <v>693</v>
      </c>
      <c r="D125" s="9">
        <v>129</v>
      </c>
      <c r="E125" s="9">
        <v>296031</v>
      </c>
      <c r="F125" s="10">
        <v>3.41</v>
      </c>
      <c r="G125" s="9">
        <v>7140</v>
      </c>
      <c r="H125" s="3">
        <f>Table2[[#This Row],[New_Followers]]-Table2[[#This Row],[Unfollows]]</f>
        <v>564</v>
      </c>
      <c r="I125" s="11">
        <f>(Table2[[#This Row],[follower gain]]/Table2[[#This Row],[Total_Followers]])*100</f>
        <v>0.19052058737091723</v>
      </c>
    </row>
    <row r="126" spans="1:9" ht="15.75" customHeight="1">
      <c r="A126" s="8">
        <v>45733</v>
      </c>
      <c r="B126" s="5" t="s">
        <v>13</v>
      </c>
      <c r="C126" s="9">
        <v>576</v>
      </c>
      <c r="D126" s="9">
        <v>80</v>
      </c>
      <c r="E126" s="9">
        <v>345688</v>
      </c>
      <c r="F126" s="10">
        <v>4.1100000000000003</v>
      </c>
      <c r="G126" s="9">
        <v>20474</v>
      </c>
      <c r="H126" s="3">
        <f>Table2[[#This Row],[New_Followers]]-Table2[[#This Row],[Unfollows]]</f>
        <v>496</v>
      </c>
      <c r="I126" s="11">
        <f>(Table2[[#This Row],[follower gain]]/Table2[[#This Row],[Total_Followers]])*100</f>
        <v>0.14348198375413668</v>
      </c>
    </row>
    <row r="127" spans="1:9" ht="15.75" customHeight="1">
      <c r="A127" s="8">
        <v>45733</v>
      </c>
      <c r="B127" s="5" t="s">
        <v>14</v>
      </c>
      <c r="C127" s="9">
        <v>1274</v>
      </c>
      <c r="D127" s="9">
        <v>146</v>
      </c>
      <c r="E127" s="9">
        <v>263488</v>
      </c>
      <c r="F127" s="10">
        <v>9.58</v>
      </c>
      <c r="G127" s="9">
        <v>8698</v>
      </c>
      <c r="H127" s="3">
        <f>Table2[[#This Row],[New_Followers]]-Table2[[#This Row],[Unfollows]]</f>
        <v>1128</v>
      </c>
      <c r="I127" s="11">
        <f>(Table2[[#This Row],[follower gain]]/Table2[[#This Row],[Total_Followers]])*100</f>
        <v>0.42810298761233906</v>
      </c>
    </row>
    <row r="128" spans="1:9" ht="15.75" customHeight="1">
      <c r="A128" s="8">
        <v>45740</v>
      </c>
      <c r="B128" s="5" t="s">
        <v>12</v>
      </c>
      <c r="C128" s="9">
        <v>818</v>
      </c>
      <c r="D128" s="9">
        <v>253</v>
      </c>
      <c r="E128" s="9">
        <v>184911</v>
      </c>
      <c r="F128" s="10">
        <v>3.39</v>
      </c>
      <c r="G128" s="9">
        <v>10402</v>
      </c>
      <c r="H128" s="3">
        <f>Table2[[#This Row],[New_Followers]]-Table2[[#This Row],[Unfollows]]</f>
        <v>565</v>
      </c>
      <c r="I128" s="11">
        <f>(Table2[[#This Row],[follower gain]]/Table2[[#This Row],[Total_Followers]])*100</f>
        <v>0.30555240088474994</v>
      </c>
    </row>
    <row r="129" spans="1:9" ht="15.75" customHeight="1">
      <c r="A129" s="8">
        <v>45740</v>
      </c>
      <c r="B129" s="5" t="s">
        <v>13</v>
      </c>
      <c r="C129" s="9">
        <v>975</v>
      </c>
      <c r="D129" s="9">
        <v>162</v>
      </c>
      <c r="E129" s="9">
        <v>124497</v>
      </c>
      <c r="F129" s="10">
        <v>9.58</v>
      </c>
      <c r="G129" s="9">
        <v>26618</v>
      </c>
      <c r="H129" s="3">
        <f>Table2[[#This Row],[New_Followers]]-Table2[[#This Row],[Unfollows]]</f>
        <v>813</v>
      </c>
      <c r="I129" s="11">
        <f>(Table2[[#This Row],[follower gain]]/Table2[[#This Row],[Total_Followers]])*100</f>
        <v>0.65302778380201931</v>
      </c>
    </row>
    <row r="130" spans="1:9" ht="15.75" customHeight="1">
      <c r="A130" s="8">
        <v>45740</v>
      </c>
      <c r="B130" s="5" t="s">
        <v>14</v>
      </c>
      <c r="C130" s="9">
        <v>1398</v>
      </c>
      <c r="D130" s="9">
        <v>97</v>
      </c>
      <c r="E130" s="9">
        <v>397607</v>
      </c>
      <c r="F130" s="10">
        <v>5.09</v>
      </c>
      <c r="G130" s="9">
        <v>7975</v>
      </c>
      <c r="H130" s="3">
        <f>Table2[[#This Row],[New_Followers]]-Table2[[#This Row],[Unfollows]]</f>
        <v>1301</v>
      </c>
      <c r="I130" s="11">
        <f>(Table2[[#This Row],[follower gain]]/Table2[[#This Row],[Total_Followers]])*100</f>
        <v>0.32720751898231165</v>
      </c>
    </row>
    <row r="131" spans="1:9" ht="15.75" customHeight="1">
      <c r="A131" s="8">
        <v>45747</v>
      </c>
      <c r="B131" s="5" t="s">
        <v>12</v>
      </c>
      <c r="C131" s="9">
        <v>591</v>
      </c>
      <c r="D131" s="9">
        <v>155</v>
      </c>
      <c r="E131" s="9">
        <v>138521</v>
      </c>
      <c r="F131" s="10">
        <v>7.85</v>
      </c>
      <c r="G131" s="9">
        <v>19054</v>
      </c>
      <c r="H131" s="3">
        <f>Table2[[#This Row],[New_Followers]]-Table2[[#This Row],[Unfollows]]</f>
        <v>436</v>
      </c>
      <c r="I131" s="11">
        <f>(Table2[[#This Row],[follower gain]]/Table2[[#This Row],[Total_Followers]])*100</f>
        <v>0.31475371965261584</v>
      </c>
    </row>
    <row r="132" spans="1:9" ht="15.75" customHeight="1">
      <c r="A132" s="8">
        <v>45747</v>
      </c>
      <c r="B132" s="5" t="s">
        <v>13</v>
      </c>
      <c r="C132" s="9">
        <v>1232</v>
      </c>
      <c r="D132" s="9">
        <v>254</v>
      </c>
      <c r="E132" s="9">
        <v>107718</v>
      </c>
      <c r="F132" s="10">
        <v>9.7100000000000009</v>
      </c>
      <c r="G132" s="9">
        <v>13740</v>
      </c>
      <c r="H132" s="3">
        <f>Table2[[#This Row],[New_Followers]]-Table2[[#This Row],[Unfollows]]</f>
        <v>978</v>
      </c>
      <c r="I132" s="11">
        <f>(Table2[[#This Row],[follower gain]]/Table2[[#This Row],[Total_Followers]])*100</f>
        <v>0.90792625187990861</v>
      </c>
    </row>
    <row r="133" spans="1:9" ht="15.75" customHeight="1">
      <c r="A133" s="8">
        <v>45747</v>
      </c>
      <c r="B133" s="5" t="s">
        <v>14</v>
      </c>
      <c r="C133" s="9">
        <v>1425</v>
      </c>
      <c r="D133" s="9">
        <v>58</v>
      </c>
      <c r="E133" s="9">
        <v>202234</v>
      </c>
      <c r="F133" s="10">
        <v>6.67</v>
      </c>
      <c r="G133" s="9">
        <v>18442</v>
      </c>
      <c r="H133" s="3">
        <f>Table2[[#This Row],[New_Followers]]-Table2[[#This Row],[Unfollows]]</f>
        <v>1367</v>
      </c>
      <c r="I133" s="11">
        <f>(Table2[[#This Row],[follower gain]]/Table2[[#This Row],[Total_Followers]])*100</f>
        <v>0.67594964249334932</v>
      </c>
    </row>
    <row r="134" spans="1:9" ht="15.75" customHeight="1">
      <c r="A134" s="8">
        <v>45754</v>
      </c>
      <c r="B134" s="5" t="s">
        <v>12</v>
      </c>
      <c r="C134" s="9">
        <v>1417</v>
      </c>
      <c r="D134" s="9">
        <v>80</v>
      </c>
      <c r="E134" s="9">
        <v>340987</v>
      </c>
      <c r="F134" s="10">
        <v>6.13</v>
      </c>
      <c r="G134" s="9">
        <v>10104</v>
      </c>
      <c r="H134" s="3">
        <f>Table2[[#This Row],[New_Followers]]-Table2[[#This Row],[Unfollows]]</f>
        <v>1337</v>
      </c>
      <c r="I134" s="11">
        <f>(Table2[[#This Row],[follower gain]]/Table2[[#This Row],[Total_Followers]])*100</f>
        <v>0.3920970594186875</v>
      </c>
    </row>
    <row r="135" spans="1:9" ht="15.75" customHeight="1">
      <c r="A135" s="8">
        <v>45754</v>
      </c>
      <c r="B135" s="5" t="s">
        <v>13</v>
      </c>
      <c r="C135" s="9">
        <v>1222</v>
      </c>
      <c r="D135" s="9">
        <v>208</v>
      </c>
      <c r="E135" s="9">
        <v>340098</v>
      </c>
      <c r="F135" s="10">
        <v>7.34</v>
      </c>
      <c r="G135" s="9">
        <v>21771</v>
      </c>
      <c r="H135" s="3">
        <f>Table2[[#This Row],[New_Followers]]-Table2[[#This Row],[Unfollows]]</f>
        <v>1014</v>
      </c>
      <c r="I135" s="11">
        <f>(Table2[[#This Row],[follower gain]]/Table2[[#This Row],[Total_Followers]])*100</f>
        <v>0.29814935695005557</v>
      </c>
    </row>
    <row r="136" spans="1:9" ht="15.75" customHeight="1">
      <c r="A136" s="8">
        <v>45754</v>
      </c>
      <c r="B136" s="5" t="s">
        <v>14</v>
      </c>
      <c r="C136" s="9">
        <v>1071</v>
      </c>
      <c r="D136" s="9">
        <v>131</v>
      </c>
      <c r="E136" s="9">
        <v>254727</v>
      </c>
      <c r="F136" s="10">
        <v>6.87</v>
      </c>
      <c r="G136" s="9">
        <v>22191</v>
      </c>
      <c r="H136" s="3">
        <f>Table2[[#This Row],[New_Followers]]-Table2[[#This Row],[Unfollows]]</f>
        <v>940</v>
      </c>
      <c r="I136" s="11">
        <f>(Table2[[#This Row],[follower gain]]/Table2[[#This Row],[Total_Followers]])*100</f>
        <v>0.36902252215116577</v>
      </c>
    </row>
    <row r="137" spans="1:9" ht="15.75" customHeight="1">
      <c r="A137" s="8">
        <v>45761</v>
      </c>
      <c r="B137" s="5" t="s">
        <v>12</v>
      </c>
      <c r="C137" s="9">
        <v>772</v>
      </c>
      <c r="D137" s="9">
        <v>82</v>
      </c>
      <c r="E137" s="9">
        <v>345659</v>
      </c>
      <c r="F137" s="10">
        <v>3.52</v>
      </c>
      <c r="G137" s="9">
        <v>27753</v>
      </c>
      <c r="H137" s="3">
        <f>Table2[[#This Row],[New_Followers]]-Table2[[#This Row],[Unfollows]]</f>
        <v>690</v>
      </c>
      <c r="I137" s="11">
        <f>(Table2[[#This Row],[follower gain]]/Table2[[#This Row],[Total_Followers]])*100</f>
        <v>0.19961869935398757</v>
      </c>
    </row>
    <row r="138" spans="1:9" ht="15.75" customHeight="1">
      <c r="A138" s="8">
        <v>45761</v>
      </c>
      <c r="B138" s="5" t="s">
        <v>13</v>
      </c>
      <c r="C138" s="9">
        <v>1472</v>
      </c>
      <c r="D138" s="9">
        <v>137</v>
      </c>
      <c r="E138" s="9">
        <v>213950</v>
      </c>
      <c r="F138" s="10">
        <v>6.96</v>
      </c>
      <c r="G138" s="9">
        <v>23736</v>
      </c>
      <c r="H138" s="3">
        <f>Table2[[#This Row],[New_Followers]]-Table2[[#This Row],[Unfollows]]</f>
        <v>1335</v>
      </c>
      <c r="I138" s="11">
        <f>(Table2[[#This Row],[follower gain]]/Table2[[#This Row],[Total_Followers]])*100</f>
        <v>0.62397756485160083</v>
      </c>
    </row>
    <row r="139" spans="1:9" ht="15.75" customHeight="1">
      <c r="A139" s="8">
        <v>45761</v>
      </c>
      <c r="B139" s="5" t="s">
        <v>14</v>
      </c>
      <c r="C139" s="9">
        <v>1472</v>
      </c>
      <c r="D139" s="9">
        <v>281</v>
      </c>
      <c r="E139" s="9">
        <v>258115</v>
      </c>
      <c r="F139" s="10">
        <v>7.23</v>
      </c>
      <c r="G139" s="9">
        <v>27393</v>
      </c>
      <c r="H139" s="3">
        <f>Table2[[#This Row],[New_Followers]]-Table2[[#This Row],[Unfollows]]</f>
        <v>1191</v>
      </c>
      <c r="I139" s="11">
        <f>(Table2[[#This Row],[follower gain]]/Table2[[#This Row],[Total_Followers]])*100</f>
        <v>0.46142223427541984</v>
      </c>
    </row>
    <row r="140" spans="1:9" ht="15.75" customHeight="1">
      <c r="A140" s="8">
        <v>45768</v>
      </c>
      <c r="B140" s="5" t="s">
        <v>12</v>
      </c>
      <c r="C140" s="9">
        <v>585</v>
      </c>
      <c r="D140" s="9">
        <v>232</v>
      </c>
      <c r="E140" s="9">
        <v>321258</v>
      </c>
      <c r="F140" s="10">
        <v>7.42</v>
      </c>
      <c r="G140" s="9">
        <v>10343</v>
      </c>
      <c r="H140" s="3">
        <f>Table2[[#This Row],[New_Followers]]-Table2[[#This Row],[Unfollows]]</f>
        <v>353</v>
      </c>
      <c r="I140" s="11">
        <f>(Table2[[#This Row],[follower gain]]/Table2[[#This Row],[Total_Followers]])*100</f>
        <v>0.10988053215795404</v>
      </c>
    </row>
    <row r="141" spans="1:9" ht="15.75" customHeight="1">
      <c r="A141" s="8">
        <v>45768</v>
      </c>
      <c r="B141" s="5" t="s">
        <v>13</v>
      </c>
      <c r="C141" s="9">
        <v>747</v>
      </c>
      <c r="D141" s="9">
        <v>261</v>
      </c>
      <c r="E141" s="9">
        <v>338650</v>
      </c>
      <c r="F141" s="10">
        <v>7.73</v>
      </c>
      <c r="G141" s="9">
        <v>25259</v>
      </c>
      <c r="H141" s="3">
        <f>Table2[[#This Row],[New_Followers]]-Table2[[#This Row],[Unfollows]]</f>
        <v>486</v>
      </c>
      <c r="I141" s="11">
        <f>(Table2[[#This Row],[follower gain]]/Table2[[#This Row],[Total_Followers]])*100</f>
        <v>0.14351099955706481</v>
      </c>
    </row>
    <row r="142" spans="1:9" ht="15.75" customHeight="1">
      <c r="A142" s="8">
        <v>45768</v>
      </c>
      <c r="B142" s="5" t="s">
        <v>14</v>
      </c>
      <c r="C142" s="9">
        <v>1113</v>
      </c>
      <c r="D142" s="9">
        <v>224</v>
      </c>
      <c r="E142" s="9">
        <v>272989</v>
      </c>
      <c r="F142" s="10">
        <v>5.13</v>
      </c>
      <c r="G142" s="9">
        <v>24827</v>
      </c>
      <c r="H142" s="3">
        <f>Table2[[#This Row],[New_Followers]]-Table2[[#This Row],[Unfollows]]</f>
        <v>889</v>
      </c>
      <c r="I142" s="11">
        <f>(Table2[[#This Row],[follower gain]]/Table2[[#This Row],[Total_Followers]])*100</f>
        <v>0.32565414723670183</v>
      </c>
    </row>
    <row r="143" spans="1:9" ht="15.75" customHeight="1">
      <c r="A143" s="8">
        <v>45775</v>
      </c>
      <c r="B143" s="5" t="s">
        <v>12</v>
      </c>
      <c r="C143" s="9">
        <v>1100</v>
      </c>
      <c r="D143" s="9">
        <v>117</v>
      </c>
      <c r="E143" s="9">
        <v>260204</v>
      </c>
      <c r="F143" s="10">
        <v>4.4000000000000004</v>
      </c>
      <c r="G143" s="9">
        <v>11908</v>
      </c>
      <c r="H143" s="3">
        <f>Table2[[#This Row],[New_Followers]]-Table2[[#This Row],[Unfollows]]</f>
        <v>983</v>
      </c>
      <c r="I143" s="11">
        <f>(Table2[[#This Row],[follower gain]]/Table2[[#This Row],[Total_Followers]])*100</f>
        <v>0.37778051067623863</v>
      </c>
    </row>
    <row r="144" spans="1:9" ht="15.75" customHeight="1">
      <c r="A144" s="8">
        <v>45775</v>
      </c>
      <c r="B144" s="5" t="s">
        <v>13</v>
      </c>
      <c r="C144" s="9">
        <v>751</v>
      </c>
      <c r="D144" s="9">
        <v>170</v>
      </c>
      <c r="E144" s="9">
        <v>283278</v>
      </c>
      <c r="F144" s="10">
        <v>3.49</v>
      </c>
      <c r="G144" s="9">
        <v>11005</v>
      </c>
      <c r="H144" s="3">
        <f>Table2[[#This Row],[New_Followers]]-Table2[[#This Row],[Unfollows]]</f>
        <v>581</v>
      </c>
      <c r="I144" s="11">
        <f>(Table2[[#This Row],[follower gain]]/Table2[[#This Row],[Total_Followers]])*100</f>
        <v>0.20509887813384731</v>
      </c>
    </row>
    <row r="145" spans="1:9" ht="15.75" customHeight="1">
      <c r="A145" s="8">
        <v>45775</v>
      </c>
      <c r="B145" s="5" t="s">
        <v>14</v>
      </c>
      <c r="C145" s="9">
        <v>864</v>
      </c>
      <c r="D145" s="9">
        <v>50</v>
      </c>
      <c r="E145" s="9">
        <v>277445</v>
      </c>
      <c r="F145" s="10">
        <v>3.57</v>
      </c>
      <c r="G145" s="9">
        <v>26333</v>
      </c>
      <c r="H145" s="3">
        <f>Table2[[#This Row],[New_Followers]]-Table2[[#This Row],[Unfollows]]</f>
        <v>814</v>
      </c>
      <c r="I145" s="11">
        <f>(Table2[[#This Row],[follower gain]]/Table2[[#This Row],[Total_Followers]])*100</f>
        <v>0.29339148299662998</v>
      </c>
    </row>
    <row r="146" spans="1:9" ht="15.75" customHeight="1">
      <c r="A146" s="8">
        <v>45782</v>
      </c>
      <c r="B146" s="5" t="s">
        <v>12</v>
      </c>
      <c r="C146" s="9">
        <v>1146</v>
      </c>
      <c r="D146" s="9">
        <v>227</v>
      </c>
      <c r="E146" s="9">
        <v>353781</v>
      </c>
      <c r="F146" s="10">
        <v>6.41</v>
      </c>
      <c r="G146" s="9">
        <v>5495</v>
      </c>
      <c r="H146" s="3">
        <f>Table2[[#This Row],[New_Followers]]-Table2[[#This Row],[Unfollows]]</f>
        <v>919</v>
      </c>
      <c r="I146" s="11">
        <f>(Table2[[#This Row],[follower gain]]/Table2[[#This Row],[Total_Followers]])*100</f>
        <v>0.25976522198761381</v>
      </c>
    </row>
    <row r="147" spans="1:9" ht="15.75" customHeight="1">
      <c r="A147" s="8">
        <v>45782</v>
      </c>
      <c r="B147" s="5" t="s">
        <v>13</v>
      </c>
      <c r="C147" s="9">
        <v>883</v>
      </c>
      <c r="D147" s="9">
        <v>207</v>
      </c>
      <c r="E147" s="9">
        <v>265019</v>
      </c>
      <c r="F147" s="10">
        <v>6.04</v>
      </c>
      <c r="G147" s="9">
        <v>15655</v>
      </c>
      <c r="H147" s="3">
        <f>Table2[[#This Row],[New_Followers]]-Table2[[#This Row],[Unfollows]]</f>
        <v>676</v>
      </c>
      <c r="I147" s="11">
        <f>(Table2[[#This Row],[follower gain]]/Table2[[#This Row],[Total_Followers]])*100</f>
        <v>0.25507605115104953</v>
      </c>
    </row>
    <row r="148" spans="1:9" ht="15.75" customHeight="1">
      <c r="A148" s="8">
        <v>45782</v>
      </c>
      <c r="B148" s="5" t="s">
        <v>14</v>
      </c>
      <c r="C148" s="9">
        <v>622</v>
      </c>
      <c r="D148" s="9">
        <v>163</v>
      </c>
      <c r="E148" s="9">
        <v>231925</v>
      </c>
      <c r="F148" s="10">
        <v>9.18</v>
      </c>
      <c r="G148" s="9">
        <v>13763</v>
      </c>
      <c r="H148" s="3">
        <f>Table2[[#This Row],[New_Followers]]-Table2[[#This Row],[Unfollows]]</f>
        <v>459</v>
      </c>
      <c r="I148" s="11">
        <f>(Table2[[#This Row],[follower gain]]/Table2[[#This Row],[Total_Followers]])*100</f>
        <v>0.19790880672631239</v>
      </c>
    </row>
    <row r="149" spans="1:9" ht="15.75" customHeight="1">
      <c r="A149" s="8">
        <v>45789</v>
      </c>
      <c r="B149" s="5" t="s">
        <v>12</v>
      </c>
      <c r="C149" s="9">
        <v>837</v>
      </c>
      <c r="D149" s="9">
        <v>261</v>
      </c>
      <c r="E149" s="9">
        <v>366149</v>
      </c>
      <c r="F149" s="10">
        <v>6.54</v>
      </c>
      <c r="G149" s="9">
        <v>26073</v>
      </c>
      <c r="H149" s="3">
        <f>Table2[[#This Row],[New_Followers]]-Table2[[#This Row],[Unfollows]]</f>
        <v>576</v>
      </c>
      <c r="I149" s="11">
        <f>(Table2[[#This Row],[follower gain]]/Table2[[#This Row],[Total_Followers]])*100</f>
        <v>0.15731300645365684</v>
      </c>
    </row>
    <row r="150" spans="1:9" ht="15.75" customHeight="1">
      <c r="A150" s="8">
        <v>45789</v>
      </c>
      <c r="B150" s="5" t="s">
        <v>13</v>
      </c>
      <c r="C150" s="9">
        <v>544</v>
      </c>
      <c r="D150" s="9">
        <v>97</v>
      </c>
      <c r="E150" s="9">
        <v>168375</v>
      </c>
      <c r="F150" s="10">
        <v>8.66</v>
      </c>
      <c r="G150" s="9">
        <v>12774</v>
      </c>
      <c r="H150" s="3">
        <f>Table2[[#This Row],[New_Followers]]-Table2[[#This Row],[Unfollows]]</f>
        <v>447</v>
      </c>
      <c r="I150" s="11">
        <f>(Table2[[#This Row],[follower gain]]/Table2[[#This Row],[Total_Followers]])*100</f>
        <v>0.26547884187082404</v>
      </c>
    </row>
    <row r="151" spans="1:9" ht="15.75" customHeight="1">
      <c r="A151" s="8">
        <v>45789</v>
      </c>
      <c r="B151" s="5" t="s">
        <v>14</v>
      </c>
      <c r="C151" s="9">
        <v>624</v>
      </c>
      <c r="D151" s="9">
        <v>247</v>
      </c>
      <c r="E151" s="9">
        <v>252763</v>
      </c>
      <c r="F151" s="10">
        <v>3.89</v>
      </c>
      <c r="G151" s="9">
        <v>19000</v>
      </c>
      <c r="H151" s="3">
        <f>Table2[[#This Row],[New_Followers]]-Table2[[#This Row],[Unfollows]]</f>
        <v>377</v>
      </c>
      <c r="I151" s="11">
        <f>(Table2[[#This Row],[follower gain]]/Table2[[#This Row],[Total_Followers]])*100</f>
        <v>0.1491515767734993</v>
      </c>
    </row>
    <row r="152" spans="1:9" ht="15.75" customHeight="1">
      <c r="A152" s="8">
        <v>45796</v>
      </c>
      <c r="B152" s="5" t="s">
        <v>12</v>
      </c>
      <c r="C152" s="9">
        <v>1073</v>
      </c>
      <c r="D152" s="9">
        <v>141</v>
      </c>
      <c r="E152" s="9">
        <v>118393</v>
      </c>
      <c r="F152" s="10">
        <v>7.95</v>
      </c>
      <c r="G152" s="9">
        <v>14051</v>
      </c>
      <c r="H152" s="3">
        <f>Table2[[#This Row],[New_Followers]]-Table2[[#This Row],[Unfollows]]</f>
        <v>932</v>
      </c>
      <c r="I152" s="11">
        <f>(Table2[[#This Row],[follower gain]]/Table2[[#This Row],[Total_Followers]])*100</f>
        <v>0.78720870321725112</v>
      </c>
    </row>
    <row r="153" spans="1:9" ht="15.75" customHeight="1">
      <c r="A153" s="8">
        <v>45796</v>
      </c>
      <c r="B153" s="5" t="s">
        <v>13</v>
      </c>
      <c r="C153" s="9">
        <v>1430</v>
      </c>
      <c r="D153" s="9">
        <v>74</v>
      </c>
      <c r="E153" s="9">
        <v>327012</v>
      </c>
      <c r="F153" s="10">
        <v>6.66</v>
      </c>
      <c r="G153" s="9">
        <v>27782</v>
      </c>
      <c r="H153" s="3">
        <f>Table2[[#This Row],[New_Followers]]-Table2[[#This Row],[Unfollows]]</f>
        <v>1356</v>
      </c>
      <c r="I153" s="11">
        <f>(Table2[[#This Row],[follower gain]]/Table2[[#This Row],[Total_Followers]])*100</f>
        <v>0.41466368206671317</v>
      </c>
    </row>
    <row r="154" spans="1:9" ht="15.75" customHeight="1">
      <c r="A154" s="8">
        <v>45796</v>
      </c>
      <c r="B154" s="5" t="s">
        <v>14</v>
      </c>
      <c r="C154" s="9">
        <v>1358</v>
      </c>
      <c r="D154" s="9">
        <v>77</v>
      </c>
      <c r="E154" s="9">
        <v>169688</v>
      </c>
      <c r="F154" s="10">
        <v>5.25</v>
      </c>
      <c r="G154" s="9">
        <v>7859</v>
      </c>
      <c r="H154" s="3">
        <f>Table2[[#This Row],[New_Followers]]-Table2[[#This Row],[Unfollows]]</f>
        <v>1281</v>
      </c>
      <c r="I154" s="11">
        <f>(Table2[[#This Row],[follower gain]]/Table2[[#This Row],[Total_Followers]])*100</f>
        <v>0.75491490264485406</v>
      </c>
    </row>
    <row r="155" spans="1:9" ht="15.75" customHeight="1">
      <c r="A155" s="8">
        <v>45803</v>
      </c>
      <c r="B155" s="5" t="s">
        <v>12</v>
      </c>
      <c r="C155" s="9">
        <v>1242</v>
      </c>
      <c r="D155" s="9">
        <v>201</v>
      </c>
      <c r="E155" s="9">
        <v>271935</v>
      </c>
      <c r="F155" s="10">
        <v>5.07</v>
      </c>
      <c r="G155" s="9">
        <v>15773</v>
      </c>
      <c r="H155" s="3">
        <f>Table2[[#This Row],[New_Followers]]-Table2[[#This Row],[Unfollows]]</f>
        <v>1041</v>
      </c>
      <c r="I155" s="11">
        <f>(Table2[[#This Row],[follower gain]]/Table2[[#This Row],[Total_Followers]])*100</f>
        <v>0.3828120690606211</v>
      </c>
    </row>
    <row r="156" spans="1:9" ht="15.75" customHeight="1">
      <c r="A156" s="8">
        <v>45803</v>
      </c>
      <c r="B156" s="5" t="s">
        <v>13</v>
      </c>
      <c r="C156" s="9">
        <v>1389</v>
      </c>
      <c r="D156" s="9">
        <v>205</v>
      </c>
      <c r="E156" s="9">
        <v>315981</v>
      </c>
      <c r="F156" s="10">
        <v>7.62</v>
      </c>
      <c r="G156" s="9">
        <v>20595</v>
      </c>
      <c r="H156" s="3">
        <f>Table2[[#This Row],[New_Followers]]-Table2[[#This Row],[Unfollows]]</f>
        <v>1184</v>
      </c>
      <c r="I156" s="11">
        <f>(Table2[[#This Row],[follower gain]]/Table2[[#This Row],[Total_Followers]])*100</f>
        <v>0.37470607409939205</v>
      </c>
    </row>
    <row r="157" spans="1:9" ht="15.75" customHeight="1">
      <c r="A157" s="8">
        <v>45803</v>
      </c>
      <c r="B157" s="5" t="s">
        <v>14</v>
      </c>
      <c r="C157" s="9">
        <v>826</v>
      </c>
      <c r="D157" s="9">
        <v>142</v>
      </c>
      <c r="E157" s="9">
        <v>341016</v>
      </c>
      <c r="F157" s="10">
        <v>7.44</v>
      </c>
      <c r="G157" s="9">
        <v>12031</v>
      </c>
      <c r="H157" s="3">
        <f>Table2[[#This Row],[New_Followers]]-Table2[[#This Row],[Unfollows]]</f>
        <v>684</v>
      </c>
      <c r="I157" s="11">
        <f>(Table2[[#This Row],[follower gain]]/Table2[[#This Row],[Total_Followers]])*100</f>
        <v>0.20057709902174681</v>
      </c>
    </row>
    <row r="158" spans="1:9" ht="15.75" customHeight="1">
      <c r="A158" s="8">
        <v>45810</v>
      </c>
      <c r="B158" s="5" t="s">
        <v>12</v>
      </c>
      <c r="C158" s="9">
        <v>618</v>
      </c>
      <c r="D158" s="9">
        <v>264</v>
      </c>
      <c r="E158" s="9">
        <v>285164</v>
      </c>
      <c r="F158" s="10">
        <v>4.8600000000000003</v>
      </c>
      <c r="G158" s="9">
        <v>15128</v>
      </c>
      <c r="H158" s="3">
        <f>Table2[[#This Row],[New_Followers]]-Table2[[#This Row],[Unfollows]]</f>
        <v>354</v>
      </c>
      <c r="I158" s="11">
        <f>(Table2[[#This Row],[follower gain]]/Table2[[#This Row],[Total_Followers]])*100</f>
        <v>0.12413909189098205</v>
      </c>
    </row>
    <row r="159" spans="1:9" ht="15.75" customHeight="1">
      <c r="A159" s="8">
        <v>45810</v>
      </c>
      <c r="B159" s="5" t="s">
        <v>13</v>
      </c>
      <c r="C159" s="9">
        <v>1419</v>
      </c>
      <c r="D159" s="9">
        <v>293</v>
      </c>
      <c r="E159" s="9">
        <v>116632</v>
      </c>
      <c r="F159" s="10">
        <v>6.93</v>
      </c>
      <c r="G159" s="9">
        <v>11826</v>
      </c>
      <c r="H159" s="3">
        <f>Table2[[#This Row],[New_Followers]]-Table2[[#This Row],[Unfollows]]</f>
        <v>1126</v>
      </c>
      <c r="I159" s="11">
        <f>(Table2[[#This Row],[follower gain]]/Table2[[#This Row],[Total_Followers]])*100</f>
        <v>0.96542972769051372</v>
      </c>
    </row>
    <row r="160" spans="1:9" ht="15.75" customHeight="1">
      <c r="A160" s="8">
        <v>45810</v>
      </c>
      <c r="B160" s="5" t="s">
        <v>14</v>
      </c>
      <c r="C160" s="9">
        <v>637</v>
      </c>
      <c r="D160" s="9">
        <v>68</v>
      </c>
      <c r="E160" s="9">
        <v>115694</v>
      </c>
      <c r="F160" s="10">
        <v>9.99</v>
      </c>
      <c r="G160" s="9">
        <v>12562</v>
      </c>
      <c r="H160" s="3">
        <f>Table2[[#This Row],[New_Followers]]-Table2[[#This Row],[Unfollows]]</f>
        <v>569</v>
      </c>
      <c r="I160" s="11">
        <f>(Table2[[#This Row],[follower gain]]/Table2[[#This Row],[Total_Followers]])*100</f>
        <v>0.49181461441388491</v>
      </c>
    </row>
    <row r="161" spans="1:9" ht="15.75" customHeight="1">
      <c r="A161" s="8">
        <v>45817</v>
      </c>
      <c r="B161" s="5" t="s">
        <v>12</v>
      </c>
      <c r="C161" s="9">
        <v>917</v>
      </c>
      <c r="D161" s="9">
        <v>187</v>
      </c>
      <c r="E161" s="9">
        <v>64444</v>
      </c>
      <c r="F161" s="10">
        <v>5.22</v>
      </c>
      <c r="G161" s="9">
        <v>13013</v>
      </c>
      <c r="H161" s="3">
        <f>Table2[[#This Row],[New_Followers]]-Table2[[#This Row],[Unfollows]]</f>
        <v>730</v>
      </c>
      <c r="I161" s="11">
        <f>(Table2[[#This Row],[follower gain]]/Table2[[#This Row],[Total_Followers]])*100</f>
        <v>1.1327664328719507</v>
      </c>
    </row>
    <row r="162" spans="1:9" ht="15.75" customHeight="1">
      <c r="A162" s="8">
        <v>45817</v>
      </c>
      <c r="B162" s="5" t="s">
        <v>13</v>
      </c>
      <c r="C162" s="9">
        <v>810</v>
      </c>
      <c r="D162" s="9">
        <v>232</v>
      </c>
      <c r="E162" s="9">
        <v>362559</v>
      </c>
      <c r="F162" s="10">
        <v>5.17</v>
      </c>
      <c r="G162" s="9">
        <v>12937</v>
      </c>
      <c r="H162" s="3">
        <f>Table2[[#This Row],[New_Followers]]-Table2[[#This Row],[Unfollows]]</f>
        <v>578</v>
      </c>
      <c r="I162" s="11">
        <f>(Table2[[#This Row],[follower gain]]/Table2[[#This Row],[Total_Followers]])*100</f>
        <v>0.15942232850377458</v>
      </c>
    </row>
    <row r="163" spans="1:9" ht="15.75" customHeight="1">
      <c r="A163" s="8">
        <v>45817</v>
      </c>
      <c r="B163" s="5" t="s">
        <v>14</v>
      </c>
      <c r="C163" s="9">
        <v>1183</v>
      </c>
      <c r="D163" s="9">
        <v>248</v>
      </c>
      <c r="E163" s="9">
        <v>226881</v>
      </c>
      <c r="F163" s="10">
        <v>5.17</v>
      </c>
      <c r="G163" s="9">
        <v>14534</v>
      </c>
      <c r="H163" s="3">
        <f>Table2[[#This Row],[New_Followers]]-Table2[[#This Row],[Unfollows]]</f>
        <v>935</v>
      </c>
      <c r="I163" s="11">
        <f>(Table2[[#This Row],[follower gain]]/Table2[[#This Row],[Total_Followers]])*100</f>
        <v>0.41211031333606601</v>
      </c>
    </row>
    <row r="164" spans="1:9" ht="15.75" customHeight="1">
      <c r="A164" s="8">
        <v>45824</v>
      </c>
      <c r="B164" s="5" t="s">
        <v>12</v>
      </c>
      <c r="C164" s="9">
        <v>765</v>
      </c>
      <c r="D164" s="9">
        <v>67</v>
      </c>
      <c r="E164" s="9">
        <v>283537</v>
      </c>
      <c r="F164" s="10">
        <v>6.18</v>
      </c>
      <c r="G164" s="9">
        <v>8182</v>
      </c>
      <c r="H164" s="3">
        <f>Table2[[#This Row],[New_Followers]]-Table2[[#This Row],[Unfollows]]</f>
        <v>698</v>
      </c>
      <c r="I164" s="11">
        <f>(Table2[[#This Row],[follower gain]]/Table2[[#This Row],[Total_Followers]])*100</f>
        <v>0.24617598408673294</v>
      </c>
    </row>
    <row r="165" spans="1:9" ht="15.75" customHeight="1">
      <c r="A165" s="8">
        <v>45824</v>
      </c>
      <c r="B165" s="5" t="s">
        <v>13</v>
      </c>
      <c r="C165" s="9">
        <v>540</v>
      </c>
      <c r="D165" s="9">
        <v>215</v>
      </c>
      <c r="E165" s="9">
        <v>62837</v>
      </c>
      <c r="F165" s="10">
        <v>5.3</v>
      </c>
      <c r="G165" s="9">
        <v>10615</v>
      </c>
      <c r="H165" s="3">
        <f>Table2[[#This Row],[New_Followers]]-Table2[[#This Row],[Unfollows]]</f>
        <v>325</v>
      </c>
      <c r="I165" s="11">
        <f>(Table2[[#This Row],[follower gain]]/Table2[[#This Row],[Total_Followers]])*100</f>
        <v>0.5172111972245651</v>
      </c>
    </row>
    <row r="166" spans="1:9" ht="15.75" customHeight="1">
      <c r="A166" s="8">
        <v>45824</v>
      </c>
      <c r="B166" s="5" t="s">
        <v>14</v>
      </c>
      <c r="C166" s="9">
        <v>1145</v>
      </c>
      <c r="D166" s="9">
        <v>151</v>
      </c>
      <c r="E166" s="9">
        <v>182759</v>
      </c>
      <c r="F166" s="10">
        <v>5.99</v>
      </c>
      <c r="G166" s="9">
        <v>20109</v>
      </c>
      <c r="H166" s="3">
        <f>Table2[[#This Row],[New_Followers]]-Table2[[#This Row],[Unfollows]]</f>
        <v>994</v>
      </c>
      <c r="I166" s="11">
        <f>(Table2[[#This Row],[follower gain]]/Table2[[#This Row],[Total_Followers]])*100</f>
        <v>0.5438856636335283</v>
      </c>
    </row>
    <row r="167" spans="1:9" ht="15.75" customHeight="1">
      <c r="A167" s="8">
        <v>45831</v>
      </c>
      <c r="B167" s="5" t="s">
        <v>12</v>
      </c>
      <c r="C167" s="9">
        <v>564</v>
      </c>
      <c r="D167" s="9">
        <v>244</v>
      </c>
      <c r="E167" s="9">
        <v>279405</v>
      </c>
      <c r="F167" s="10">
        <v>8.43</v>
      </c>
      <c r="G167" s="9">
        <v>26024</v>
      </c>
      <c r="H167" s="3">
        <f>Table2[[#This Row],[New_Followers]]-Table2[[#This Row],[Unfollows]]</f>
        <v>320</v>
      </c>
      <c r="I167" s="11">
        <f>(Table2[[#This Row],[follower gain]]/Table2[[#This Row],[Total_Followers]])*100</f>
        <v>0.11452908859898712</v>
      </c>
    </row>
    <row r="168" spans="1:9" ht="15.75" customHeight="1">
      <c r="A168" s="8">
        <v>45831</v>
      </c>
      <c r="B168" s="5" t="s">
        <v>13</v>
      </c>
      <c r="C168" s="9">
        <v>668</v>
      </c>
      <c r="D168" s="9">
        <v>124</v>
      </c>
      <c r="E168" s="9">
        <v>257485</v>
      </c>
      <c r="F168" s="10">
        <v>7.55</v>
      </c>
      <c r="G168" s="9">
        <v>26730</v>
      </c>
      <c r="H168" s="3">
        <f>Table2[[#This Row],[New_Followers]]-Table2[[#This Row],[Unfollows]]</f>
        <v>544</v>
      </c>
      <c r="I168" s="11">
        <f>(Table2[[#This Row],[follower gain]]/Table2[[#This Row],[Total_Followers]])*100</f>
        <v>0.21127444317144686</v>
      </c>
    </row>
    <row r="169" spans="1:9" ht="15.75" customHeight="1">
      <c r="A169" s="8">
        <v>45831</v>
      </c>
      <c r="B169" s="5" t="s">
        <v>14</v>
      </c>
      <c r="C169" s="9">
        <v>761</v>
      </c>
      <c r="D169" s="9">
        <v>241</v>
      </c>
      <c r="E169" s="9">
        <v>154977</v>
      </c>
      <c r="F169" s="10">
        <v>5.63</v>
      </c>
      <c r="G169" s="9">
        <v>10563</v>
      </c>
      <c r="H169" s="3">
        <f>Table2[[#This Row],[New_Followers]]-Table2[[#This Row],[Unfollows]]</f>
        <v>520</v>
      </c>
      <c r="I169" s="11">
        <f>(Table2[[#This Row],[follower gain]]/Table2[[#This Row],[Total_Followers]])*100</f>
        <v>0.33553365983339462</v>
      </c>
    </row>
    <row r="170" spans="1:9" ht="15.75" customHeight="1">
      <c r="A170" s="8">
        <v>45838</v>
      </c>
      <c r="B170" s="5" t="s">
        <v>12</v>
      </c>
      <c r="C170" s="9">
        <v>593</v>
      </c>
      <c r="D170" s="9">
        <v>108</v>
      </c>
      <c r="E170" s="9">
        <v>216500</v>
      </c>
      <c r="F170" s="10">
        <v>4.71</v>
      </c>
      <c r="G170" s="9">
        <v>27575</v>
      </c>
      <c r="H170" s="3">
        <f>Table2[[#This Row],[New_Followers]]-Table2[[#This Row],[Unfollows]]</f>
        <v>485</v>
      </c>
      <c r="I170" s="11">
        <f>(Table2[[#This Row],[follower gain]]/Table2[[#This Row],[Total_Followers]])*100</f>
        <v>0.22401847575057734</v>
      </c>
    </row>
    <row r="171" spans="1:9" ht="15.75" customHeight="1">
      <c r="A171" s="8">
        <v>45838</v>
      </c>
      <c r="B171" s="5" t="s">
        <v>13</v>
      </c>
      <c r="C171" s="9">
        <v>1349</v>
      </c>
      <c r="D171" s="9">
        <v>115</v>
      </c>
      <c r="E171" s="9">
        <v>102102</v>
      </c>
      <c r="F171" s="10">
        <v>5.28</v>
      </c>
      <c r="G171" s="9">
        <v>14479</v>
      </c>
      <c r="H171" s="3">
        <f>Table2[[#This Row],[New_Followers]]-Table2[[#This Row],[Unfollows]]</f>
        <v>1234</v>
      </c>
      <c r="I171" s="11">
        <f>(Table2[[#This Row],[follower gain]]/Table2[[#This Row],[Total_Followers]])*100</f>
        <v>1.208595326242385</v>
      </c>
    </row>
    <row r="172" spans="1:9" ht="15.75" customHeight="1">
      <c r="A172" s="8">
        <v>45838</v>
      </c>
      <c r="B172" s="5" t="s">
        <v>14</v>
      </c>
      <c r="C172" s="9">
        <v>693</v>
      </c>
      <c r="D172" s="9">
        <v>97</v>
      </c>
      <c r="E172" s="9">
        <v>92025</v>
      </c>
      <c r="F172" s="10">
        <v>5.95</v>
      </c>
      <c r="G172" s="9">
        <v>15915</v>
      </c>
      <c r="H172" s="3">
        <f>Table2[[#This Row],[New_Followers]]-Table2[[#This Row],[Unfollows]]</f>
        <v>596</v>
      </c>
      <c r="I172" s="11">
        <f>(Table2[[#This Row],[follower gain]]/Table2[[#This Row],[Total_Followers]])*100</f>
        <v>0.64765009508285798</v>
      </c>
    </row>
    <row r="173" spans="1:9" ht="15.75" customHeight="1">
      <c r="A173" s="8">
        <v>45845</v>
      </c>
      <c r="B173" s="5" t="s">
        <v>12</v>
      </c>
      <c r="C173" s="9">
        <v>974</v>
      </c>
      <c r="D173" s="9">
        <v>143</v>
      </c>
      <c r="E173" s="9">
        <v>247965</v>
      </c>
      <c r="F173" s="10">
        <v>9.98</v>
      </c>
      <c r="G173" s="9">
        <v>12767</v>
      </c>
      <c r="H173" s="3">
        <f>Table2[[#This Row],[New_Followers]]-Table2[[#This Row],[Unfollows]]</f>
        <v>831</v>
      </c>
      <c r="I173" s="11">
        <f>(Table2[[#This Row],[follower gain]]/Table2[[#This Row],[Total_Followers]])*100</f>
        <v>0.3351279414433489</v>
      </c>
    </row>
    <row r="174" spans="1:9" ht="15.75" customHeight="1">
      <c r="A174" s="8">
        <v>45845</v>
      </c>
      <c r="B174" s="5" t="s">
        <v>13</v>
      </c>
      <c r="C174" s="9">
        <v>1155</v>
      </c>
      <c r="D174" s="9">
        <v>122</v>
      </c>
      <c r="E174" s="9">
        <v>387352</v>
      </c>
      <c r="F174" s="10">
        <v>9.93</v>
      </c>
      <c r="G174" s="9">
        <v>12170</v>
      </c>
      <c r="H174" s="3">
        <f>Table2[[#This Row],[New_Followers]]-Table2[[#This Row],[Unfollows]]</f>
        <v>1033</v>
      </c>
      <c r="I174" s="11">
        <f>(Table2[[#This Row],[follower gain]]/Table2[[#This Row],[Total_Followers]])*100</f>
        <v>0.26668250067122412</v>
      </c>
    </row>
    <row r="175" spans="1:9" ht="15.75" customHeight="1">
      <c r="A175" s="8">
        <v>45845</v>
      </c>
      <c r="B175" s="5" t="s">
        <v>14</v>
      </c>
      <c r="C175" s="9">
        <v>1051</v>
      </c>
      <c r="D175" s="9">
        <v>246</v>
      </c>
      <c r="E175" s="9">
        <v>253985</v>
      </c>
      <c r="F175" s="10">
        <v>9.08</v>
      </c>
      <c r="G175" s="9">
        <v>7245</v>
      </c>
      <c r="H175" s="3">
        <f>Table2[[#This Row],[New_Followers]]-Table2[[#This Row],[Unfollows]]</f>
        <v>805</v>
      </c>
      <c r="I175" s="11">
        <f>(Table2[[#This Row],[follower gain]]/Table2[[#This Row],[Total_Followers]])*100</f>
        <v>0.31694785125105812</v>
      </c>
    </row>
    <row r="176" spans="1:9" ht="15.75" customHeight="1">
      <c r="A176" s="8">
        <v>45852</v>
      </c>
      <c r="B176" s="5" t="s">
        <v>12</v>
      </c>
      <c r="C176" s="9">
        <v>1457</v>
      </c>
      <c r="D176" s="9">
        <v>183</v>
      </c>
      <c r="E176" s="9">
        <v>129640</v>
      </c>
      <c r="F176" s="10">
        <v>7.98</v>
      </c>
      <c r="G176" s="9">
        <v>12985</v>
      </c>
      <c r="H176" s="3">
        <f>Table2[[#This Row],[New_Followers]]-Table2[[#This Row],[Unfollows]]</f>
        <v>1274</v>
      </c>
      <c r="I176" s="11">
        <f>(Table2[[#This Row],[follower gain]]/Table2[[#This Row],[Total_Followers]])*100</f>
        <v>0.98272138228941686</v>
      </c>
    </row>
    <row r="177" spans="1:9" ht="15.75" customHeight="1">
      <c r="A177" s="8">
        <v>45852</v>
      </c>
      <c r="B177" s="5" t="s">
        <v>13</v>
      </c>
      <c r="C177" s="9">
        <v>670</v>
      </c>
      <c r="D177" s="9">
        <v>242</v>
      </c>
      <c r="E177" s="9">
        <v>281913</v>
      </c>
      <c r="F177" s="10">
        <v>9.6199999999999992</v>
      </c>
      <c r="G177" s="9">
        <v>16377</v>
      </c>
      <c r="H177" s="3">
        <f>Table2[[#This Row],[New_Followers]]-Table2[[#This Row],[Unfollows]]</f>
        <v>428</v>
      </c>
      <c r="I177" s="11">
        <f>(Table2[[#This Row],[follower gain]]/Table2[[#This Row],[Total_Followers]])*100</f>
        <v>0.15181988769584942</v>
      </c>
    </row>
    <row r="178" spans="1:9" ht="15.75" customHeight="1">
      <c r="A178" s="8">
        <v>45852</v>
      </c>
      <c r="B178" s="5" t="s">
        <v>14</v>
      </c>
      <c r="C178" s="9">
        <v>1111</v>
      </c>
      <c r="D178" s="9">
        <v>159</v>
      </c>
      <c r="E178" s="9">
        <v>360770</v>
      </c>
      <c r="F178" s="10">
        <v>8.7100000000000009</v>
      </c>
      <c r="G178" s="9">
        <v>11453</v>
      </c>
      <c r="H178" s="3">
        <f>Table2[[#This Row],[New_Followers]]-Table2[[#This Row],[Unfollows]]</f>
        <v>952</v>
      </c>
      <c r="I178" s="11">
        <f>(Table2[[#This Row],[follower gain]]/Table2[[#This Row],[Total_Followers]])*100</f>
        <v>0.26388003437092888</v>
      </c>
    </row>
    <row r="179" spans="1:9" ht="15.75" customHeight="1">
      <c r="A179" s="8">
        <v>45859</v>
      </c>
      <c r="B179" s="5" t="s">
        <v>12</v>
      </c>
      <c r="C179" s="9">
        <v>1197</v>
      </c>
      <c r="D179" s="9">
        <v>246</v>
      </c>
      <c r="E179" s="9">
        <v>127273</v>
      </c>
      <c r="F179" s="10">
        <v>6.69</v>
      </c>
      <c r="G179" s="9">
        <v>12323</v>
      </c>
      <c r="H179" s="3">
        <f>Table2[[#This Row],[New_Followers]]-Table2[[#This Row],[Unfollows]]</f>
        <v>951</v>
      </c>
      <c r="I179" s="11">
        <f>(Table2[[#This Row],[follower gain]]/Table2[[#This Row],[Total_Followers]])*100</f>
        <v>0.74721268454424739</v>
      </c>
    </row>
    <row r="180" spans="1:9" ht="15.75" customHeight="1">
      <c r="A180" s="8">
        <v>45859</v>
      </c>
      <c r="B180" s="5" t="s">
        <v>13</v>
      </c>
      <c r="C180" s="9">
        <v>754</v>
      </c>
      <c r="D180" s="9">
        <v>150</v>
      </c>
      <c r="E180" s="9">
        <v>189622</v>
      </c>
      <c r="F180" s="10">
        <v>4.25</v>
      </c>
      <c r="G180" s="9">
        <v>11911</v>
      </c>
      <c r="H180" s="3">
        <f>Table2[[#This Row],[New_Followers]]-Table2[[#This Row],[Unfollows]]</f>
        <v>604</v>
      </c>
      <c r="I180" s="11">
        <f>(Table2[[#This Row],[follower gain]]/Table2[[#This Row],[Total_Followers]])*100</f>
        <v>0.31852844079273501</v>
      </c>
    </row>
    <row r="181" spans="1:9" ht="15.75" customHeight="1">
      <c r="A181" s="8">
        <v>45859</v>
      </c>
      <c r="B181" s="5" t="s">
        <v>14</v>
      </c>
      <c r="C181" s="9">
        <v>1246</v>
      </c>
      <c r="D181" s="9">
        <v>107</v>
      </c>
      <c r="E181" s="9">
        <v>350949</v>
      </c>
      <c r="F181" s="10">
        <v>4.9800000000000004</v>
      </c>
      <c r="G181" s="9">
        <v>27809</v>
      </c>
      <c r="H181" s="3">
        <f>Table2[[#This Row],[New_Followers]]-Table2[[#This Row],[Unfollows]]</f>
        <v>1139</v>
      </c>
      <c r="I181" s="11">
        <f>(Table2[[#This Row],[follower gain]]/Table2[[#This Row],[Total_Followers]])*100</f>
        <v>0.32454858113287116</v>
      </c>
    </row>
    <row r="182" spans="1:9" ht="15.75" customHeight="1">
      <c r="A182" s="8">
        <v>45866</v>
      </c>
      <c r="B182" s="5" t="s">
        <v>12</v>
      </c>
      <c r="C182" s="9">
        <v>780</v>
      </c>
      <c r="D182" s="9">
        <v>213</v>
      </c>
      <c r="E182" s="9">
        <v>121431</v>
      </c>
      <c r="F182" s="10">
        <v>4.97</v>
      </c>
      <c r="G182" s="9">
        <v>21464</v>
      </c>
      <c r="H182" s="3">
        <f>Table2[[#This Row],[New_Followers]]-Table2[[#This Row],[Unfollows]]</f>
        <v>567</v>
      </c>
      <c r="I182" s="11">
        <f>(Table2[[#This Row],[follower gain]]/Table2[[#This Row],[Total_Followers]])*100</f>
        <v>0.46693183783383158</v>
      </c>
    </row>
    <row r="183" spans="1:9" ht="15.75" customHeight="1">
      <c r="A183" s="8">
        <v>45866</v>
      </c>
      <c r="B183" s="5" t="s">
        <v>13</v>
      </c>
      <c r="C183" s="9">
        <v>1425</v>
      </c>
      <c r="D183" s="9">
        <v>143</v>
      </c>
      <c r="E183" s="9">
        <v>116742</v>
      </c>
      <c r="F183" s="10">
        <v>3.71</v>
      </c>
      <c r="G183" s="9">
        <v>27126</v>
      </c>
      <c r="H183" s="3">
        <f>Table2[[#This Row],[New_Followers]]-Table2[[#This Row],[Unfollows]]</f>
        <v>1282</v>
      </c>
      <c r="I183" s="11">
        <f>(Table2[[#This Row],[follower gain]]/Table2[[#This Row],[Total_Followers]])*100</f>
        <v>1.0981480529715097</v>
      </c>
    </row>
    <row r="184" spans="1:9" ht="15.75" customHeight="1">
      <c r="A184" s="8">
        <v>45866</v>
      </c>
      <c r="B184" s="5" t="s">
        <v>14</v>
      </c>
      <c r="C184" s="9">
        <v>1490</v>
      </c>
      <c r="D184" s="9">
        <v>103</v>
      </c>
      <c r="E184" s="9">
        <v>81184</v>
      </c>
      <c r="F184" s="10">
        <v>7.79</v>
      </c>
      <c r="G184" s="9">
        <v>10681</v>
      </c>
      <c r="H184" s="3">
        <f>Table2[[#This Row],[New_Followers]]-Table2[[#This Row],[Unfollows]]</f>
        <v>1387</v>
      </c>
      <c r="I184" s="11">
        <f>(Table2[[#This Row],[follower gain]]/Table2[[#This Row],[Total_Followers]])*100</f>
        <v>1.7084647221127316</v>
      </c>
    </row>
    <row r="185" spans="1:9" ht="15.75" customHeight="1">
      <c r="A185" s="8">
        <v>45873</v>
      </c>
      <c r="B185" s="5" t="s">
        <v>12</v>
      </c>
      <c r="C185" s="9">
        <v>949</v>
      </c>
      <c r="D185" s="9">
        <v>282</v>
      </c>
      <c r="E185" s="9">
        <v>87126</v>
      </c>
      <c r="F185" s="10">
        <v>4.96</v>
      </c>
      <c r="G185" s="9">
        <v>5413</v>
      </c>
      <c r="H185" s="3">
        <f>Table2[[#This Row],[New_Followers]]-Table2[[#This Row],[Unfollows]]</f>
        <v>667</v>
      </c>
      <c r="I185" s="11">
        <f>(Table2[[#This Row],[follower gain]]/Table2[[#This Row],[Total_Followers]])*100</f>
        <v>0.76555792759910934</v>
      </c>
    </row>
    <row r="186" spans="1:9" ht="15.75" customHeight="1">
      <c r="A186" s="8">
        <v>45873</v>
      </c>
      <c r="B186" s="5" t="s">
        <v>13</v>
      </c>
      <c r="C186" s="9">
        <v>640</v>
      </c>
      <c r="D186" s="9">
        <v>141</v>
      </c>
      <c r="E186" s="9">
        <v>267546</v>
      </c>
      <c r="F186" s="10">
        <v>8.58</v>
      </c>
      <c r="G186" s="9">
        <v>25058</v>
      </c>
      <c r="H186" s="3">
        <f>Table2[[#This Row],[New_Followers]]-Table2[[#This Row],[Unfollows]]</f>
        <v>499</v>
      </c>
      <c r="I186" s="11">
        <f>(Table2[[#This Row],[follower gain]]/Table2[[#This Row],[Total_Followers]])*100</f>
        <v>0.18650998332996943</v>
      </c>
    </row>
    <row r="187" spans="1:9" ht="15.75" customHeight="1">
      <c r="A187" s="8">
        <v>45873</v>
      </c>
      <c r="B187" s="5" t="s">
        <v>14</v>
      </c>
      <c r="C187" s="9">
        <v>616</v>
      </c>
      <c r="D187" s="9">
        <v>93</v>
      </c>
      <c r="E187" s="9">
        <v>133082</v>
      </c>
      <c r="F187" s="10">
        <v>8.51</v>
      </c>
      <c r="G187" s="9">
        <v>18303</v>
      </c>
      <c r="H187" s="3">
        <f>Table2[[#This Row],[New_Followers]]-Table2[[#This Row],[Unfollows]]</f>
        <v>523</v>
      </c>
      <c r="I187" s="11">
        <f>(Table2[[#This Row],[follower gain]]/Table2[[#This Row],[Total_Followers]])*100</f>
        <v>0.39299078763469142</v>
      </c>
    </row>
    <row r="188" spans="1:9" ht="15.75" customHeight="1">
      <c r="A188" s="8">
        <v>45880</v>
      </c>
      <c r="B188" s="5" t="s">
        <v>12</v>
      </c>
      <c r="C188" s="9">
        <v>1080</v>
      </c>
      <c r="D188" s="9">
        <v>184</v>
      </c>
      <c r="E188" s="9">
        <v>340557</v>
      </c>
      <c r="F188" s="10">
        <v>5.41</v>
      </c>
      <c r="G188" s="9">
        <v>5526</v>
      </c>
      <c r="H188" s="3">
        <f>Table2[[#This Row],[New_Followers]]-Table2[[#This Row],[Unfollows]]</f>
        <v>896</v>
      </c>
      <c r="I188" s="11">
        <f>(Table2[[#This Row],[follower gain]]/Table2[[#This Row],[Total_Followers]])*100</f>
        <v>0.26309839468870116</v>
      </c>
    </row>
    <row r="189" spans="1:9" ht="15.75" customHeight="1">
      <c r="A189" s="8">
        <v>45880</v>
      </c>
      <c r="B189" s="5" t="s">
        <v>13</v>
      </c>
      <c r="C189" s="9">
        <v>938</v>
      </c>
      <c r="D189" s="9">
        <v>236</v>
      </c>
      <c r="E189" s="9">
        <v>116472</v>
      </c>
      <c r="F189" s="10">
        <v>8.7200000000000006</v>
      </c>
      <c r="G189" s="9">
        <v>17460</v>
      </c>
      <c r="H189" s="3">
        <f>Table2[[#This Row],[New_Followers]]-Table2[[#This Row],[Unfollows]]</f>
        <v>702</v>
      </c>
      <c r="I189" s="11">
        <f>(Table2[[#This Row],[follower gain]]/Table2[[#This Row],[Total_Followers]])*100</f>
        <v>0.60271996703070263</v>
      </c>
    </row>
    <row r="190" spans="1:9" ht="15.75" customHeight="1">
      <c r="A190" s="8">
        <v>45880</v>
      </c>
      <c r="B190" s="5" t="s">
        <v>14</v>
      </c>
      <c r="C190" s="9">
        <v>1007</v>
      </c>
      <c r="D190" s="9">
        <v>258</v>
      </c>
      <c r="E190" s="9">
        <v>113412</v>
      </c>
      <c r="F190" s="10">
        <v>7.71</v>
      </c>
      <c r="G190" s="9">
        <v>14475</v>
      </c>
      <c r="H190" s="3">
        <f>Table2[[#This Row],[New_Followers]]-Table2[[#This Row],[Unfollows]]</f>
        <v>749</v>
      </c>
      <c r="I190" s="11">
        <f>(Table2[[#This Row],[follower gain]]/Table2[[#This Row],[Total_Followers]])*100</f>
        <v>0.6604239410291679</v>
      </c>
    </row>
    <row r="191" spans="1:9" ht="15.75" customHeight="1">
      <c r="A191" s="8">
        <v>45887</v>
      </c>
      <c r="B191" s="5" t="s">
        <v>12</v>
      </c>
      <c r="C191" s="9">
        <v>541</v>
      </c>
      <c r="D191" s="9">
        <v>208</v>
      </c>
      <c r="E191" s="9">
        <v>157547</v>
      </c>
      <c r="F191" s="10">
        <v>8.35</v>
      </c>
      <c r="G191" s="9">
        <v>20162</v>
      </c>
      <c r="H191" s="3">
        <f>Table2[[#This Row],[New_Followers]]-Table2[[#This Row],[Unfollows]]</f>
        <v>333</v>
      </c>
      <c r="I191" s="11">
        <f>(Table2[[#This Row],[follower gain]]/Table2[[#This Row],[Total_Followers]])*100</f>
        <v>0.2113654972801767</v>
      </c>
    </row>
    <row r="192" spans="1:9" ht="15.75" customHeight="1">
      <c r="A192" s="8">
        <v>45887</v>
      </c>
      <c r="B192" s="5" t="s">
        <v>13</v>
      </c>
      <c r="C192" s="9">
        <v>745</v>
      </c>
      <c r="D192" s="9">
        <v>98</v>
      </c>
      <c r="E192" s="9">
        <v>354816</v>
      </c>
      <c r="F192" s="10">
        <v>4.03</v>
      </c>
      <c r="G192" s="9">
        <v>17103</v>
      </c>
      <c r="H192" s="3">
        <f>Table2[[#This Row],[New_Followers]]-Table2[[#This Row],[Unfollows]]</f>
        <v>647</v>
      </c>
      <c r="I192" s="11">
        <f>(Table2[[#This Row],[follower gain]]/Table2[[#This Row],[Total_Followers]])*100</f>
        <v>0.18234803391053389</v>
      </c>
    </row>
    <row r="193" spans="1:9" ht="15.75" customHeight="1">
      <c r="A193" s="8">
        <v>45887</v>
      </c>
      <c r="B193" s="5" t="s">
        <v>14</v>
      </c>
      <c r="C193" s="9">
        <v>936</v>
      </c>
      <c r="D193" s="9">
        <v>97</v>
      </c>
      <c r="E193" s="9">
        <v>151799</v>
      </c>
      <c r="F193" s="10">
        <v>9.3699999999999992</v>
      </c>
      <c r="G193" s="9">
        <v>15461</v>
      </c>
      <c r="H193" s="3">
        <f>Table2[[#This Row],[New_Followers]]-Table2[[#This Row],[Unfollows]]</f>
        <v>839</v>
      </c>
      <c r="I193" s="11">
        <f>(Table2[[#This Row],[follower gain]]/Table2[[#This Row],[Total_Followers]])*100</f>
        <v>0.55270456327116779</v>
      </c>
    </row>
    <row r="194" spans="1:9" ht="15.75" customHeight="1">
      <c r="A194" s="8">
        <v>45894</v>
      </c>
      <c r="B194" s="5" t="s">
        <v>12</v>
      </c>
      <c r="C194" s="9">
        <v>1183</v>
      </c>
      <c r="D194" s="9">
        <v>223</v>
      </c>
      <c r="E194" s="9">
        <v>143811</v>
      </c>
      <c r="F194" s="10">
        <v>6.07</v>
      </c>
      <c r="G194" s="9">
        <v>22103</v>
      </c>
      <c r="H194" s="3">
        <f>Table2[[#This Row],[New_Followers]]-Table2[[#This Row],[Unfollows]]</f>
        <v>960</v>
      </c>
      <c r="I194" s="11">
        <f>(Table2[[#This Row],[follower gain]]/Table2[[#This Row],[Total_Followers]])*100</f>
        <v>0.66754281661347181</v>
      </c>
    </row>
    <row r="195" spans="1:9" ht="15.75" customHeight="1">
      <c r="A195" s="8">
        <v>45894</v>
      </c>
      <c r="B195" s="5" t="s">
        <v>13</v>
      </c>
      <c r="C195" s="9">
        <v>1413</v>
      </c>
      <c r="D195" s="9">
        <v>245</v>
      </c>
      <c r="E195" s="9">
        <v>296450</v>
      </c>
      <c r="F195" s="10">
        <v>6.52</v>
      </c>
      <c r="G195" s="9">
        <v>11625</v>
      </c>
      <c r="H195" s="3">
        <f>Table2[[#This Row],[New_Followers]]-Table2[[#This Row],[Unfollows]]</f>
        <v>1168</v>
      </c>
      <c r="I195" s="11">
        <f>(Table2[[#This Row],[follower gain]]/Table2[[#This Row],[Total_Followers]])*100</f>
        <v>0.39399561477483558</v>
      </c>
    </row>
    <row r="196" spans="1:9" ht="15.75" customHeight="1">
      <c r="A196" s="8">
        <v>45894</v>
      </c>
      <c r="B196" s="5" t="s">
        <v>14</v>
      </c>
      <c r="C196" s="9">
        <v>791</v>
      </c>
      <c r="D196" s="9">
        <v>273</v>
      </c>
      <c r="E196" s="9">
        <v>144049</v>
      </c>
      <c r="F196" s="10">
        <v>3.08</v>
      </c>
      <c r="G196" s="9">
        <v>5281</v>
      </c>
      <c r="H196" s="3">
        <f>Table2[[#This Row],[New_Followers]]-Table2[[#This Row],[Unfollows]]</f>
        <v>518</v>
      </c>
      <c r="I196" s="11">
        <f>(Table2[[#This Row],[follower gain]]/Table2[[#This Row],[Total_Followers]])*100</f>
        <v>0.35959985838152297</v>
      </c>
    </row>
    <row r="197" spans="1:9" ht="15.75" customHeight="1">
      <c r="A197" s="8">
        <v>45901</v>
      </c>
      <c r="B197" s="5" t="s">
        <v>12</v>
      </c>
      <c r="C197" s="9">
        <v>1052</v>
      </c>
      <c r="D197" s="9">
        <v>180</v>
      </c>
      <c r="E197" s="9">
        <v>272534</v>
      </c>
      <c r="F197" s="10">
        <v>5.34</v>
      </c>
      <c r="G197" s="9">
        <v>13424</v>
      </c>
      <c r="H197" s="3">
        <f>Table2[[#This Row],[New_Followers]]-Table2[[#This Row],[Unfollows]]</f>
        <v>872</v>
      </c>
      <c r="I197" s="11">
        <f>(Table2[[#This Row],[follower gain]]/Table2[[#This Row],[Total_Followers]])*100</f>
        <v>0.31996007837554213</v>
      </c>
    </row>
    <row r="198" spans="1:9" ht="15.75" customHeight="1">
      <c r="A198" s="8">
        <v>45901</v>
      </c>
      <c r="B198" s="5" t="s">
        <v>13</v>
      </c>
      <c r="C198" s="9">
        <v>572</v>
      </c>
      <c r="D198" s="9">
        <v>270</v>
      </c>
      <c r="E198" s="9">
        <v>82265</v>
      </c>
      <c r="F198" s="10">
        <v>3.65</v>
      </c>
      <c r="G198" s="9">
        <v>13140</v>
      </c>
      <c r="H198" s="3">
        <f>Table2[[#This Row],[New_Followers]]-Table2[[#This Row],[Unfollows]]</f>
        <v>302</v>
      </c>
      <c r="I198" s="11">
        <f>(Table2[[#This Row],[follower gain]]/Table2[[#This Row],[Total_Followers]])*100</f>
        <v>0.36710630280192064</v>
      </c>
    </row>
    <row r="199" spans="1:9" ht="15.75" customHeight="1">
      <c r="A199" s="8">
        <v>45901</v>
      </c>
      <c r="B199" s="5" t="s">
        <v>14</v>
      </c>
      <c r="C199" s="9">
        <v>503</v>
      </c>
      <c r="D199" s="9">
        <v>253</v>
      </c>
      <c r="E199" s="9">
        <v>313562</v>
      </c>
      <c r="F199" s="10">
        <v>4.18</v>
      </c>
      <c r="G199" s="9">
        <v>19538</v>
      </c>
      <c r="H199" s="3">
        <f>Table2[[#This Row],[New_Followers]]-Table2[[#This Row],[Unfollows]]</f>
        <v>250</v>
      </c>
      <c r="I199" s="11">
        <f>(Table2[[#This Row],[follower gain]]/Table2[[#This Row],[Total_Followers]])*100</f>
        <v>7.9729048800556188E-2</v>
      </c>
    </row>
    <row r="200" spans="1:9" ht="15.75" customHeight="1">
      <c r="A200" s="8">
        <v>45908</v>
      </c>
      <c r="B200" s="5" t="s">
        <v>12</v>
      </c>
      <c r="C200" s="9">
        <v>1017</v>
      </c>
      <c r="D200" s="9">
        <v>197</v>
      </c>
      <c r="E200" s="9">
        <v>89918</v>
      </c>
      <c r="F200" s="10">
        <v>3.91</v>
      </c>
      <c r="G200" s="9">
        <v>7881</v>
      </c>
      <c r="H200" s="3">
        <f>Table2[[#This Row],[New_Followers]]-Table2[[#This Row],[Unfollows]]</f>
        <v>820</v>
      </c>
      <c r="I200" s="11">
        <f>(Table2[[#This Row],[follower gain]]/Table2[[#This Row],[Total_Followers]])*100</f>
        <v>0.91194199159233968</v>
      </c>
    </row>
    <row r="201" spans="1:9" ht="15.75" customHeight="1">
      <c r="A201" s="8">
        <v>45908</v>
      </c>
      <c r="B201" s="5" t="s">
        <v>13</v>
      </c>
      <c r="C201" s="9">
        <v>860</v>
      </c>
      <c r="D201" s="9">
        <v>244</v>
      </c>
      <c r="E201" s="9">
        <v>348686</v>
      </c>
      <c r="F201" s="10">
        <v>5.12</v>
      </c>
      <c r="G201" s="9">
        <v>11418</v>
      </c>
      <c r="H201" s="3">
        <f>Table2[[#This Row],[New_Followers]]-Table2[[#This Row],[Unfollows]]</f>
        <v>616</v>
      </c>
      <c r="I201" s="11">
        <f>(Table2[[#This Row],[follower gain]]/Table2[[#This Row],[Total_Followers]])*100</f>
        <v>0.17666324429429342</v>
      </c>
    </row>
    <row r="202" spans="1:9" ht="15.75" customHeight="1">
      <c r="H202" s="3">
        <f>Table2[[#This Row],[New_Followers]]-Table2[[#This Row],[Unfollows]]</f>
        <v>0</v>
      </c>
      <c r="I202" s="11" t="e">
        <f>(Table2[[#This Row],[follower gain]]/Table2[[#This Row],[Total_Followers]])*100</f>
        <v>#DIV/0!</v>
      </c>
    </row>
    <row r="203" spans="1:9" ht="15.75" customHeight="1">
      <c r="A203" s="15"/>
      <c r="B203"/>
      <c r="C203"/>
      <c r="D203"/>
      <c r="E203"/>
      <c r="F203"/>
      <c r="G203"/>
    </row>
    <row r="204" spans="1:9" ht="15.75" customHeight="1">
      <c r="A204" s="15"/>
      <c r="B204"/>
      <c r="C204"/>
      <c r="D204"/>
      <c r="E204"/>
      <c r="F204"/>
      <c r="G204"/>
    </row>
    <row r="205" spans="1:9" ht="15.75" customHeight="1">
      <c r="A205" s="15"/>
      <c r="B205"/>
      <c r="C205"/>
      <c r="D205"/>
      <c r="E205"/>
      <c r="F205"/>
      <c r="G205"/>
    </row>
    <row r="206" spans="1:9" ht="15.75" customHeight="1">
      <c r="A206" s="15"/>
      <c r="B206"/>
      <c r="C206"/>
      <c r="D206"/>
      <c r="E206"/>
      <c r="F206"/>
      <c r="G206"/>
    </row>
    <row r="207" spans="1:9" ht="15.75" customHeight="1">
      <c r="A207" s="15"/>
      <c r="B207"/>
      <c r="C207"/>
      <c r="D207"/>
      <c r="E207"/>
      <c r="F207"/>
      <c r="G207"/>
    </row>
    <row r="208" spans="1:9" ht="15.75" customHeight="1">
      <c r="A208" s="15"/>
      <c r="B208"/>
      <c r="C208"/>
      <c r="D208"/>
      <c r="E208"/>
      <c r="F208"/>
      <c r="G208"/>
    </row>
    <row r="209" spans="1:1" customFormat="1" ht="15.75" customHeight="1">
      <c r="A209" s="15"/>
    </row>
    <row r="210" spans="1:1" customFormat="1" ht="15.75" customHeight="1">
      <c r="A210" s="15"/>
    </row>
    <row r="211" spans="1:1" customFormat="1" ht="15.75" customHeight="1">
      <c r="A211" s="15"/>
    </row>
    <row r="212" spans="1:1" customFormat="1" ht="15.75" customHeight="1">
      <c r="A212" s="15"/>
    </row>
    <row r="213" spans="1:1" customFormat="1" ht="15.75" customHeight="1">
      <c r="A213" s="15"/>
    </row>
    <row r="214" spans="1:1" customFormat="1" ht="15.75" customHeight="1">
      <c r="A214" s="15"/>
    </row>
    <row r="215" spans="1:1" customFormat="1" ht="15.75" customHeight="1">
      <c r="A215" s="15"/>
    </row>
    <row r="216" spans="1:1" customFormat="1" ht="15.75" customHeight="1">
      <c r="A216" s="15"/>
    </row>
    <row r="217" spans="1:1" customFormat="1" ht="15.75" customHeight="1">
      <c r="A217" s="15"/>
    </row>
    <row r="218" spans="1:1" customFormat="1" ht="15.75" customHeight="1">
      <c r="A218" s="15"/>
    </row>
    <row r="219" spans="1:1" customFormat="1" ht="15.75" customHeight="1">
      <c r="A219" s="15"/>
    </row>
    <row r="220" spans="1:1" customFormat="1" ht="15.75" customHeight="1">
      <c r="A220" s="15"/>
    </row>
    <row r="221" spans="1:1" customFormat="1" ht="15.75" customHeight="1">
      <c r="A221" s="15"/>
    </row>
    <row r="222" spans="1:1" customFormat="1" ht="15.75" customHeight="1">
      <c r="A222" s="15"/>
    </row>
    <row r="223" spans="1:1" customFormat="1" ht="15.75" customHeight="1">
      <c r="A223" s="15"/>
    </row>
    <row r="224" spans="1:1" customFormat="1" ht="15.75" customHeight="1">
      <c r="A224" s="15"/>
    </row>
    <row r="225" spans="1:1" customFormat="1" ht="15.75" customHeight="1">
      <c r="A225" s="15"/>
    </row>
    <row r="226" spans="1:1" customFormat="1" ht="15.75" customHeight="1">
      <c r="A226" s="15"/>
    </row>
    <row r="227" spans="1:1" customFormat="1" ht="15.75" customHeight="1">
      <c r="A227" s="15"/>
    </row>
    <row r="228" spans="1:1" customFormat="1" ht="15.75" customHeight="1">
      <c r="A228" s="15"/>
    </row>
    <row r="229" spans="1:1" customFormat="1" ht="15.75" customHeight="1">
      <c r="A229" s="15"/>
    </row>
    <row r="230" spans="1:1" customFormat="1" ht="15.75" customHeight="1">
      <c r="A230" s="15"/>
    </row>
    <row r="231" spans="1:1" customFormat="1" ht="15.75" customHeight="1">
      <c r="A231" s="15"/>
    </row>
    <row r="232" spans="1:1" customFormat="1" ht="15.75" customHeight="1">
      <c r="A232" s="15"/>
    </row>
    <row r="233" spans="1:1" customFormat="1" ht="15.75" customHeight="1">
      <c r="A233" s="15"/>
    </row>
    <row r="234" spans="1:1" customFormat="1" ht="15.75" customHeight="1">
      <c r="A234" s="15"/>
    </row>
    <row r="235" spans="1:1" customFormat="1" ht="15.75" customHeight="1">
      <c r="A235" s="15"/>
    </row>
    <row r="236" spans="1:1" customFormat="1" ht="15.75" customHeight="1">
      <c r="A236" s="15"/>
    </row>
    <row r="237" spans="1:1" customFormat="1" ht="15.75" customHeight="1">
      <c r="A237" s="15"/>
    </row>
    <row r="238" spans="1:1" customFormat="1" ht="15.75" customHeight="1">
      <c r="A238" s="15"/>
    </row>
    <row r="239" spans="1:1" customFormat="1" ht="15.75" customHeight="1">
      <c r="A239" s="15"/>
    </row>
    <row r="240" spans="1:1" customFormat="1" ht="15.75" customHeight="1">
      <c r="A240" s="15"/>
    </row>
    <row r="241" spans="1:1" customFormat="1" ht="15.75" customHeight="1">
      <c r="A241" s="15"/>
    </row>
    <row r="242" spans="1:1" customFormat="1" ht="15.75" customHeight="1">
      <c r="A242" s="15"/>
    </row>
    <row r="243" spans="1:1" customFormat="1" ht="15.75" customHeight="1">
      <c r="A243" s="15"/>
    </row>
    <row r="244" spans="1:1" customFormat="1" ht="15.75" customHeight="1">
      <c r="A244" s="15"/>
    </row>
    <row r="245" spans="1:1" customFormat="1" ht="15.75" customHeight="1">
      <c r="A245" s="15"/>
    </row>
    <row r="246" spans="1:1" customFormat="1" ht="15.75" customHeight="1">
      <c r="A246" s="15"/>
    </row>
    <row r="247" spans="1:1" customFormat="1" ht="15.75" customHeight="1">
      <c r="A247" s="15"/>
    </row>
    <row r="248" spans="1:1" customFormat="1" ht="15.75" customHeight="1">
      <c r="A248" s="15"/>
    </row>
    <row r="249" spans="1:1" customFormat="1" ht="15.75" customHeight="1">
      <c r="A249" s="15"/>
    </row>
    <row r="250" spans="1:1" customFormat="1" ht="15.75" customHeight="1">
      <c r="A250" s="15"/>
    </row>
    <row r="251" spans="1:1" customFormat="1" ht="15.75" customHeight="1">
      <c r="A251" s="15"/>
    </row>
    <row r="252" spans="1:1" customFormat="1" ht="15.75" customHeight="1">
      <c r="A252" s="15"/>
    </row>
    <row r="253" spans="1:1" customFormat="1" ht="15.75" customHeight="1">
      <c r="A253" s="15"/>
    </row>
    <row r="254" spans="1:1" customFormat="1" ht="15.75" customHeight="1">
      <c r="A254" s="15"/>
    </row>
    <row r="255" spans="1:1" customFormat="1" ht="15.75" customHeight="1">
      <c r="A255" s="15"/>
    </row>
    <row r="256" spans="1:1" customFormat="1" ht="15.75" customHeight="1">
      <c r="A256" s="15"/>
    </row>
    <row r="257" spans="1:1" customFormat="1" ht="15.75" customHeight="1">
      <c r="A257" s="15"/>
    </row>
    <row r="258" spans="1:1" customFormat="1" ht="15.75" customHeight="1">
      <c r="A258" s="15"/>
    </row>
    <row r="259" spans="1:1" customFormat="1" ht="15.75" customHeight="1">
      <c r="A259" s="15"/>
    </row>
    <row r="260" spans="1:1" customFormat="1" ht="15.75" customHeight="1">
      <c r="A260" s="15"/>
    </row>
    <row r="261" spans="1:1" customFormat="1" ht="15.75" customHeight="1">
      <c r="A261" s="15"/>
    </row>
    <row r="262" spans="1:1" customFormat="1" ht="15.75" customHeight="1">
      <c r="A262" s="15"/>
    </row>
    <row r="263" spans="1:1" customFormat="1" ht="15.75" customHeight="1">
      <c r="A263" s="15"/>
    </row>
    <row r="264" spans="1:1" customFormat="1" ht="15.75" customHeight="1">
      <c r="A264" s="15"/>
    </row>
    <row r="265" spans="1:1" customFormat="1" ht="15.75" customHeight="1">
      <c r="A265" s="15"/>
    </row>
    <row r="266" spans="1:1" customFormat="1" ht="15.75" customHeight="1">
      <c r="A266" s="15"/>
    </row>
    <row r="267" spans="1:1" customFormat="1" ht="15.75" customHeight="1">
      <c r="A267" s="15"/>
    </row>
    <row r="268" spans="1:1" customFormat="1" ht="15.75" customHeight="1">
      <c r="A268" s="15"/>
    </row>
    <row r="269" spans="1:1" customFormat="1" ht="15.75" customHeight="1">
      <c r="A269" s="15"/>
    </row>
    <row r="270" spans="1:1" customFormat="1" ht="15.75" customHeight="1">
      <c r="A270" s="15"/>
    </row>
    <row r="271" spans="1:1" customFormat="1" ht="15.75" customHeight="1">
      <c r="A271" s="15"/>
    </row>
    <row r="272" spans="1:1" customFormat="1" ht="15.75" customHeight="1">
      <c r="A272" s="15"/>
    </row>
    <row r="273" spans="1:1" customFormat="1" ht="15.75" customHeight="1">
      <c r="A273" s="15"/>
    </row>
    <row r="274" spans="1:1" customFormat="1" ht="15.75" customHeight="1">
      <c r="A274" s="15"/>
    </row>
    <row r="275" spans="1:1" customFormat="1" ht="15.75" customHeight="1">
      <c r="A275" s="15"/>
    </row>
    <row r="276" spans="1:1" customFormat="1" ht="15.75" customHeight="1">
      <c r="A276" s="15"/>
    </row>
    <row r="277" spans="1:1" customFormat="1" ht="15.75" customHeight="1">
      <c r="A277" s="15"/>
    </row>
    <row r="278" spans="1:1" customFormat="1" ht="15.75" customHeight="1">
      <c r="A278" s="15"/>
    </row>
    <row r="279" spans="1:1" customFormat="1" ht="15.75" customHeight="1">
      <c r="A279" s="15"/>
    </row>
    <row r="280" spans="1:1" customFormat="1" ht="15.75" customHeight="1">
      <c r="A280" s="15"/>
    </row>
    <row r="281" spans="1:1" customFormat="1" ht="15.75" customHeight="1">
      <c r="A281" s="15"/>
    </row>
    <row r="282" spans="1:1" customFormat="1" ht="15.75" customHeight="1">
      <c r="A282" s="15"/>
    </row>
    <row r="283" spans="1:1" customFormat="1" ht="15.75" customHeight="1">
      <c r="A283" s="15"/>
    </row>
    <row r="284" spans="1:1" customFormat="1" ht="15.75" customHeight="1">
      <c r="A284" s="15"/>
    </row>
    <row r="285" spans="1:1" customFormat="1" ht="15.75" customHeight="1">
      <c r="A285" s="15"/>
    </row>
    <row r="286" spans="1:1" customFormat="1" ht="15.75" customHeight="1">
      <c r="A286" s="15"/>
    </row>
    <row r="287" spans="1:1" customFormat="1" ht="15.75" customHeight="1">
      <c r="A287" s="15"/>
    </row>
    <row r="288" spans="1:1" customFormat="1" ht="15.75" customHeight="1">
      <c r="A288" s="15"/>
    </row>
    <row r="289" spans="1:1" customFormat="1" ht="15.75" customHeight="1">
      <c r="A289" s="15"/>
    </row>
    <row r="290" spans="1:1" customFormat="1" ht="15.75" customHeight="1">
      <c r="A290" s="15"/>
    </row>
    <row r="291" spans="1:1" customFormat="1" ht="15.75" customHeight="1">
      <c r="A291" s="15"/>
    </row>
    <row r="292" spans="1:1" customFormat="1" ht="15.75" customHeight="1">
      <c r="A292" s="15"/>
    </row>
    <row r="293" spans="1:1" customFormat="1" ht="15.75" customHeight="1">
      <c r="A293" s="15"/>
    </row>
    <row r="294" spans="1:1" customFormat="1" ht="15.75" customHeight="1">
      <c r="A294" s="15"/>
    </row>
    <row r="295" spans="1:1" customFormat="1" ht="15.75" customHeight="1">
      <c r="A295" s="15"/>
    </row>
    <row r="296" spans="1:1" customFormat="1" ht="15.75" customHeight="1">
      <c r="A296" s="15"/>
    </row>
    <row r="297" spans="1:1" customFormat="1" ht="15.75" customHeight="1">
      <c r="A297" s="15"/>
    </row>
    <row r="298" spans="1:1" customFormat="1" ht="15.75" customHeight="1">
      <c r="A298" s="15"/>
    </row>
    <row r="299" spans="1:1" customFormat="1" ht="15.75" customHeight="1">
      <c r="A299" s="15"/>
    </row>
    <row r="300" spans="1:1" customFormat="1" ht="15.75" customHeight="1">
      <c r="A300" s="15"/>
    </row>
    <row r="301" spans="1:1" customFormat="1" ht="15.75" customHeight="1">
      <c r="A301" s="15"/>
    </row>
    <row r="302" spans="1:1" customFormat="1" ht="15.75" customHeight="1">
      <c r="A302" s="15"/>
    </row>
    <row r="303" spans="1:1" customFormat="1" ht="15.75" customHeight="1">
      <c r="A303" s="15"/>
    </row>
    <row r="304" spans="1:1" customFormat="1" ht="15.75" customHeight="1">
      <c r="A304" s="15"/>
    </row>
    <row r="305" spans="1:1" customFormat="1" ht="15.75" customHeight="1">
      <c r="A305" s="15"/>
    </row>
    <row r="306" spans="1:1" customFormat="1" ht="15.75" customHeight="1">
      <c r="A306" s="15"/>
    </row>
    <row r="307" spans="1:1" customFormat="1" ht="15.75" customHeight="1">
      <c r="A307" s="15"/>
    </row>
    <row r="308" spans="1:1" customFormat="1" ht="15.75" customHeight="1">
      <c r="A308" s="15"/>
    </row>
    <row r="309" spans="1:1" customFormat="1" ht="15.75" customHeight="1">
      <c r="A309" s="15"/>
    </row>
    <row r="310" spans="1:1" customFormat="1" ht="15.75" customHeight="1">
      <c r="A310" s="15"/>
    </row>
    <row r="311" spans="1:1" customFormat="1" ht="15.75" customHeight="1">
      <c r="A311" s="15"/>
    </row>
    <row r="312" spans="1:1" customFormat="1" ht="15.75" customHeight="1">
      <c r="A312" s="15"/>
    </row>
    <row r="313" spans="1:1" customFormat="1" ht="15.75" customHeight="1">
      <c r="A313" s="15"/>
    </row>
    <row r="314" spans="1:1" customFormat="1" ht="15.75" customHeight="1">
      <c r="A314" s="15"/>
    </row>
    <row r="315" spans="1:1" customFormat="1" ht="15.75" customHeight="1">
      <c r="A315" s="15"/>
    </row>
    <row r="316" spans="1:1" customFormat="1" ht="15.75" customHeight="1">
      <c r="A316" s="15"/>
    </row>
    <row r="317" spans="1:1" customFormat="1" ht="15.75" customHeight="1">
      <c r="A317" s="15"/>
    </row>
    <row r="318" spans="1:1" customFormat="1" ht="15.75" customHeight="1">
      <c r="A318" s="15"/>
    </row>
    <row r="319" spans="1:1" customFormat="1" ht="15.75" customHeight="1">
      <c r="A319" s="15"/>
    </row>
    <row r="320" spans="1:1" customFormat="1" ht="15.75" customHeight="1">
      <c r="A320" s="15"/>
    </row>
    <row r="321" spans="1:1" customFormat="1" ht="15.75" customHeight="1">
      <c r="A321" s="15"/>
    </row>
    <row r="322" spans="1:1" customFormat="1" ht="15.75" customHeight="1">
      <c r="A322" s="15"/>
    </row>
    <row r="323" spans="1:1" customFormat="1" ht="15.75" customHeight="1">
      <c r="A323" s="15"/>
    </row>
    <row r="324" spans="1:1" customFormat="1" ht="15.75" customHeight="1">
      <c r="A324" s="15"/>
    </row>
    <row r="325" spans="1:1" customFormat="1" ht="15.75" customHeight="1">
      <c r="A325" s="15"/>
    </row>
    <row r="326" spans="1:1" customFormat="1" ht="15.75" customHeight="1">
      <c r="A326" s="15"/>
    </row>
    <row r="327" spans="1:1" customFormat="1" ht="15.75" customHeight="1">
      <c r="A327" s="15"/>
    </row>
    <row r="328" spans="1:1" customFormat="1" ht="15.75" customHeight="1">
      <c r="A328" s="15"/>
    </row>
    <row r="329" spans="1:1" customFormat="1" ht="15.75" customHeight="1">
      <c r="A329" s="15"/>
    </row>
    <row r="330" spans="1:1" customFormat="1" ht="15.75" customHeight="1">
      <c r="A330" s="15"/>
    </row>
    <row r="331" spans="1:1" customFormat="1" ht="15.75" customHeight="1">
      <c r="A331" s="15"/>
    </row>
    <row r="332" spans="1:1" customFormat="1" ht="15.75" customHeight="1">
      <c r="A332" s="15"/>
    </row>
    <row r="333" spans="1:1" customFormat="1" ht="15.75" customHeight="1">
      <c r="A333" s="15"/>
    </row>
    <row r="334" spans="1:1" customFormat="1" ht="15.75" customHeight="1">
      <c r="A334" s="15"/>
    </row>
    <row r="335" spans="1:1" customFormat="1" ht="15.75" customHeight="1">
      <c r="A335" s="15"/>
    </row>
    <row r="336" spans="1:1" customFormat="1" ht="15.75" customHeight="1">
      <c r="A336" s="15"/>
    </row>
    <row r="337" spans="1:1" customFormat="1" ht="15.75" customHeight="1">
      <c r="A337" s="15"/>
    </row>
    <row r="338" spans="1:1" customFormat="1" ht="15.75" customHeight="1">
      <c r="A338" s="15"/>
    </row>
    <row r="339" spans="1:1" customFormat="1" ht="15.75" customHeight="1">
      <c r="A339" s="15"/>
    </row>
    <row r="340" spans="1:1" customFormat="1" ht="15.75" customHeight="1">
      <c r="A340" s="15"/>
    </row>
    <row r="341" spans="1:1" customFormat="1" ht="15.75" customHeight="1">
      <c r="A341" s="15"/>
    </row>
    <row r="342" spans="1:1" customFormat="1" ht="15.75" customHeight="1">
      <c r="A342" s="15"/>
    </row>
    <row r="343" spans="1:1" customFormat="1" ht="15.75" customHeight="1">
      <c r="A343" s="15"/>
    </row>
    <row r="344" spans="1:1" customFormat="1" ht="15.75" customHeight="1">
      <c r="A344" s="15"/>
    </row>
    <row r="345" spans="1:1" customFormat="1" ht="15.75" customHeight="1">
      <c r="A345" s="15"/>
    </row>
    <row r="346" spans="1:1" customFormat="1" ht="15.75" customHeight="1">
      <c r="A346" s="15"/>
    </row>
    <row r="347" spans="1:1" customFormat="1" ht="15.75" customHeight="1">
      <c r="A347" s="15"/>
    </row>
    <row r="348" spans="1:1" customFormat="1" ht="15.75" customHeight="1">
      <c r="A348" s="15"/>
    </row>
    <row r="349" spans="1:1" customFormat="1" ht="15.75" customHeight="1">
      <c r="A349" s="15"/>
    </row>
    <row r="350" spans="1:1" customFormat="1" ht="15.75" customHeight="1">
      <c r="A350" s="15"/>
    </row>
    <row r="351" spans="1:1" customFormat="1" ht="15.75" customHeight="1">
      <c r="A351" s="15"/>
    </row>
    <row r="352" spans="1:1" customFormat="1" ht="15.75" customHeight="1">
      <c r="A352" s="15"/>
    </row>
    <row r="353" spans="1:1" customFormat="1" ht="15.75" customHeight="1">
      <c r="A353" s="15"/>
    </row>
    <row r="354" spans="1:1" customFormat="1" ht="15.75" customHeight="1">
      <c r="A354" s="15"/>
    </row>
    <row r="355" spans="1:1" customFormat="1" ht="15.75" customHeight="1">
      <c r="A355" s="15"/>
    </row>
    <row r="356" spans="1:1" customFormat="1" ht="15.75" customHeight="1">
      <c r="A356" s="15"/>
    </row>
    <row r="357" spans="1:1" customFormat="1" ht="15.75" customHeight="1">
      <c r="A357" s="15"/>
    </row>
    <row r="358" spans="1:1" customFormat="1" ht="15.75" customHeight="1">
      <c r="A358" s="15"/>
    </row>
    <row r="359" spans="1:1" customFormat="1" ht="15.75" customHeight="1">
      <c r="A359" s="15"/>
    </row>
    <row r="360" spans="1:1" customFormat="1" ht="15.75" customHeight="1">
      <c r="A360" s="15"/>
    </row>
    <row r="361" spans="1:1" customFormat="1" ht="15.75" customHeight="1">
      <c r="A361" s="15"/>
    </row>
    <row r="362" spans="1:1" customFormat="1" ht="15.75" customHeight="1">
      <c r="A362" s="15"/>
    </row>
    <row r="363" spans="1:1" customFormat="1" ht="15.75" customHeight="1">
      <c r="A363" s="15"/>
    </row>
    <row r="364" spans="1:1" customFormat="1" ht="15.75" customHeight="1">
      <c r="A364" s="15"/>
    </row>
    <row r="365" spans="1:1" customFormat="1" ht="15.75" customHeight="1">
      <c r="A365" s="15"/>
    </row>
    <row r="366" spans="1:1" customFormat="1" ht="15.75" customHeight="1">
      <c r="A366" s="15"/>
    </row>
    <row r="367" spans="1:1" customFormat="1" ht="15.75" customHeight="1">
      <c r="A367" s="15"/>
    </row>
    <row r="368" spans="1:1" customFormat="1" ht="15.75" customHeight="1">
      <c r="A368" s="15"/>
    </row>
    <row r="369" spans="1:1" customFormat="1" ht="15.75" customHeight="1">
      <c r="A369" s="15"/>
    </row>
    <row r="370" spans="1:1" customFormat="1" ht="15.75" customHeight="1">
      <c r="A370" s="15"/>
    </row>
    <row r="371" spans="1:1" customFormat="1" ht="15.75" customHeight="1">
      <c r="A371" s="15"/>
    </row>
    <row r="372" spans="1:1" customFormat="1" ht="15.75" customHeight="1">
      <c r="A372" s="15"/>
    </row>
    <row r="373" spans="1:1" customFormat="1" ht="15.75" customHeight="1">
      <c r="A373" s="15"/>
    </row>
    <row r="374" spans="1:1" customFormat="1" ht="15.75" customHeight="1">
      <c r="A374" s="15"/>
    </row>
    <row r="375" spans="1:1" customFormat="1" ht="15.75" customHeight="1">
      <c r="A375" s="15"/>
    </row>
    <row r="376" spans="1:1" customFormat="1" ht="15.75" customHeight="1">
      <c r="A376" s="15"/>
    </row>
    <row r="377" spans="1:1" customFormat="1" ht="15.75" customHeight="1">
      <c r="A377" s="15"/>
    </row>
    <row r="378" spans="1:1" customFormat="1" ht="15.75" customHeight="1">
      <c r="A378" s="15"/>
    </row>
    <row r="379" spans="1:1" customFormat="1" ht="15.75" customHeight="1">
      <c r="A379" s="15"/>
    </row>
    <row r="380" spans="1:1" customFormat="1" ht="15.75" customHeight="1">
      <c r="A380" s="15"/>
    </row>
    <row r="381" spans="1:1" customFormat="1" ht="15.75" customHeight="1">
      <c r="A381" s="15"/>
    </row>
    <row r="382" spans="1:1" customFormat="1" ht="15.75" customHeight="1">
      <c r="A382" s="15"/>
    </row>
    <row r="383" spans="1:1" customFormat="1" ht="15.75" customHeight="1">
      <c r="A383" s="15"/>
    </row>
    <row r="384" spans="1:1" customFormat="1" ht="15.75" customHeight="1">
      <c r="A384" s="15"/>
    </row>
    <row r="385" spans="1:1" customFormat="1" ht="15.75" customHeight="1">
      <c r="A385" s="15"/>
    </row>
    <row r="386" spans="1:1" customFormat="1" ht="15.75" customHeight="1">
      <c r="A386" s="15"/>
    </row>
    <row r="387" spans="1:1" customFormat="1" ht="15.75" customHeight="1">
      <c r="A387" s="15"/>
    </row>
    <row r="388" spans="1:1" customFormat="1" ht="15.75" customHeight="1">
      <c r="A388" s="15"/>
    </row>
    <row r="389" spans="1:1" customFormat="1" ht="15.75" customHeight="1">
      <c r="A389" s="15"/>
    </row>
    <row r="390" spans="1:1" customFormat="1" ht="15.75" customHeight="1">
      <c r="A390" s="15"/>
    </row>
    <row r="391" spans="1:1" customFormat="1" ht="15.75" customHeight="1">
      <c r="A391" s="15"/>
    </row>
    <row r="392" spans="1:1" customFormat="1" ht="15.75" customHeight="1">
      <c r="A392" s="15"/>
    </row>
    <row r="393" spans="1:1" customFormat="1" ht="15.75" customHeight="1">
      <c r="A393" s="15"/>
    </row>
    <row r="394" spans="1:1" customFormat="1" ht="15.75" customHeight="1">
      <c r="A394" s="15"/>
    </row>
    <row r="395" spans="1:1" customFormat="1" ht="15.75" customHeight="1">
      <c r="A395" s="15"/>
    </row>
    <row r="396" spans="1:1" customFormat="1" ht="15.75" customHeight="1">
      <c r="A396" s="15"/>
    </row>
    <row r="397" spans="1:1" customFormat="1" ht="15.75" customHeight="1">
      <c r="A397" s="15"/>
    </row>
    <row r="398" spans="1:1" customFormat="1" ht="15.75" customHeight="1">
      <c r="A398" s="15"/>
    </row>
    <row r="399" spans="1:1" customFormat="1" ht="15.75" customHeight="1">
      <c r="A399" s="15"/>
    </row>
    <row r="400" spans="1:1" customFormat="1" ht="15.75" customHeight="1">
      <c r="A400" s="15"/>
    </row>
    <row r="401" spans="1:1" customFormat="1" ht="15.75" customHeight="1">
      <c r="A401" s="15"/>
    </row>
    <row r="402" spans="1:1" customFormat="1" ht="15.75" customHeight="1">
      <c r="A402" s="15"/>
    </row>
    <row r="403" spans="1:1" customFormat="1" ht="15.75" customHeight="1">
      <c r="A403" s="15"/>
    </row>
    <row r="404" spans="1:1" customFormat="1" ht="15.75" customHeight="1">
      <c r="A404" s="15"/>
    </row>
    <row r="405" spans="1:1" customFormat="1" ht="15.75" customHeight="1">
      <c r="A405" s="15"/>
    </row>
    <row r="406" spans="1:1" customFormat="1" ht="15.75" customHeight="1">
      <c r="A406" s="15"/>
    </row>
    <row r="407" spans="1:1" customFormat="1" ht="15.75" customHeight="1">
      <c r="A407" s="15"/>
    </row>
    <row r="408" spans="1:1" customFormat="1" ht="15.75" customHeight="1">
      <c r="A408" s="15"/>
    </row>
    <row r="409" spans="1:1" customFormat="1" ht="15.75" customHeight="1">
      <c r="A409" s="15"/>
    </row>
    <row r="410" spans="1:1" customFormat="1" ht="15.75" customHeight="1">
      <c r="A410" s="15"/>
    </row>
    <row r="411" spans="1:1" customFormat="1" ht="15.75" customHeight="1">
      <c r="A411" s="15"/>
    </row>
    <row r="412" spans="1:1" customFormat="1" ht="15.75" customHeight="1">
      <c r="A412" s="15"/>
    </row>
    <row r="413" spans="1:1" customFormat="1" ht="15.75" customHeight="1">
      <c r="A413" s="15"/>
    </row>
    <row r="414" spans="1:1" customFormat="1" ht="15.75" customHeight="1">
      <c r="A414" s="15"/>
    </row>
    <row r="415" spans="1:1" customFormat="1" ht="15.75" customHeight="1">
      <c r="A415" s="15"/>
    </row>
    <row r="416" spans="1:1" customFormat="1" ht="15.75" customHeight="1">
      <c r="A416" s="15"/>
    </row>
    <row r="417" spans="1:1" customFormat="1" ht="15.75" customHeight="1">
      <c r="A417" s="15"/>
    </row>
    <row r="418" spans="1:1" customFormat="1" ht="15.75" customHeight="1">
      <c r="A418" s="15"/>
    </row>
    <row r="419" spans="1:1" customFormat="1" ht="15.75" customHeight="1">
      <c r="A419" s="15"/>
    </row>
    <row r="420" spans="1:1" customFormat="1" ht="15.75" customHeight="1">
      <c r="A420" s="15"/>
    </row>
    <row r="421" spans="1:1" customFormat="1" ht="15.75" customHeight="1">
      <c r="A421" s="15"/>
    </row>
    <row r="422" spans="1:1" customFormat="1" ht="15.75" customHeight="1">
      <c r="A422" s="15"/>
    </row>
    <row r="423" spans="1:1" customFormat="1" ht="15.75" customHeight="1">
      <c r="A423" s="15"/>
    </row>
    <row r="424" spans="1:1" customFormat="1" ht="15.75" customHeight="1">
      <c r="A424" s="15"/>
    </row>
    <row r="425" spans="1:1" customFormat="1" ht="15.75" customHeight="1">
      <c r="A425" s="15"/>
    </row>
    <row r="426" spans="1:1" customFormat="1" ht="15.75" customHeight="1">
      <c r="A426" s="15"/>
    </row>
    <row r="427" spans="1:1" customFormat="1" ht="15.75" customHeight="1">
      <c r="A427" s="15"/>
    </row>
    <row r="428" spans="1:1" customFormat="1" ht="15.75" customHeight="1">
      <c r="A428" s="15"/>
    </row>
    <row r="429" spans="1:1" customFormat="1" ht="15.75" customHeight="1">
      <c r="A429" s="15"/>
    </row>
    <row r="430" spans="1:1" customFormat="1" ht="15.75" customHeight="1">
      <c r="A430" s="15"/>
    </row>
    <row r="431" spans="1:1" customFormat="1" ht="15.75" customHeight="1">
      <c r="A431" s="15"/>
    </row>
    <row r="432" spans="1:1" customFormat="1" ht="15.75" customHeight="1">
      <c r="A432" s="15"/>
    </row>
    <row r="433" spans="1:1" customFormat="1" ht="15.75" customHeight="1">
      <c r="A433" s="15"/>
    </row>
    <row r="434" spans="1:1" customFormat="1" ht="15.75" customHeight="1">
      <c r="A434" s="15"/>
    </row>
    <row r="435" spans="1:1" customFormat="1" ht="15.75" customHeight="1">
      <c r="A435" s="15"/>
    </row>
    <row r="436" spans="1:1" customFormat="1" ht="15.75" customHeight="1">
      <c r="A436" s="15"/>
    </row>
    <row r="437" spans="1:1" customFormat="1" ht="15.75" customHeight="1">
      <c r="A437" s="15"/>
    </row>
    <row r="438" spans="1:1" customFormat="1" ht="15.75" customHeight="1">
      <c r="A438" s="15"/>
    </row>
    <row r="439" spans="1:1" customFormat="1" ht="15.75" customHeight="1">
      <c r="A439" s="15"/>
    </row>
    <row r="440" spans="1:1" customFormat="1" ht="15.75" customHeight="1">
      <c r="A440" s="15"/>
    </row>
    <row r="441" spans="1:1" customFormat="1" ht="15.75" customHeight="1">
      <c r="A441" s="15"/>
    </row>
    <row r="442" spans="1:1" customFormat="1" ht="15.75" customHeight="1">
      <c r="A442" s="15"/>
    </row>
    <row r="443" spans="1:1" customFormat="1" ht="15.75" customHeight="1">
      <c r="A443" s="15"/>
    </row>
    <row r="444" spans="1:1" customFormat="1" ht="15.75" customHeight="1">
      <c r="A444" s="15"/>
    </row>
    <row r="445" spans="1:1" customFormat="1" ht="15.75" customHeight="1">
      <c r="A445" s="15"/>
    </row>
    <row r="446" spans="1:1" customFormat="1" ht="15.75" customHeight="1">
      <c r="A446" s="15"/>
    </row>
    <row r="447" spans="1:1" customFormat="1" ht="15.75" customHeight="1">
      <c r="A447" s="15"/>
    </row>
    <row r="448" spans="1:1" customFormat="1" ht="15.75" customHeight="1">
      <c r="A448" s="15"/>
    </row>
    <row r="449" spans="1:1" customFormat="1" ht="15.75" customHeight="1">
      <c r="A449" s="15"/>
    </row>
    <row r="450" spans="1:1" customFormat="1" ht="15.75" customHeight="1">
      <c r="A450" s="15"/>
    </row>
    <row r="451" spans="1:1" customFormat="1" ht="15.75" customHeight="1">
      <c r="A451" s="15"/>
    </row>
    <row r="452" spans="1:1" customFormat="1" ht="15.75" customHeight="1">
      <c r="A452" s="15"/>
    </row>
    <row r="453" spans="1:1" customFormat="1" ht="15.75" customHeight="1">
      <c r="A453" s="15"/>
    </row>
    <row r="454" spans="1:1" customFormat="1" ht="15.75" customHeight="1">
      <c r="A454" s="15"/>
    </row>
    <row r="455" spans="1:1" customFormat="1" ht="15.75" customHeight="1">
      <c r="A455" s="15"/>
    </row>
    <row r="456" spans="1:1" customFormat="1" ht="15.75" customHeight="1">
      <c r="A456" s="15"/>
    </row>
    <row r="457" spans="1:1" customFormat="1" ht="15.75" customHeight="1">
      <c r="A457" s="15"/>
    </row>
    <row r="458" spans="1:1" customFormat="1" ht="15.75" customHeight="1">
      <c r="A458" s="15"/>
    </row>
    <row r="459" spans="1:1" customFormat="1" ht="15.75" customHeight="1">
      <c r="A459" s="15"/>
    </row>
    <row r="460" spans="1:1" customFormat="1" ht="15.75" customHeight="1">
      <c r="A460" s="15"/>
    </row>
    <row r="461" spans="1:1" customFormat="1" ht="15.75" customHeight="1">
      <c r="A461" s="15"/>
    </row>
    <row r="462" spans="1:1" customFormat="1" ht="15.75" customHeight="1">
      <c r="A462" s="15"/>
    </row>
    <row r="463" spans="1:1" customFormat="1" ht="15.75" customHeight="1">
      <c r="A463" s="15"/>
    </row>
    <row r="464" spans="1:1" customFormat="1" ht="15.75" customHeight="1">
      <c r="A464" s="15"/>
    </row>
    <row r="465" spans="1:1" customFormat="1" ht="15.75" customHeight="1">
      <c r="A465" s="15"/>
    </row>
    <row r="466" spans="1:1" customFormat="1" ht="15.75" customHeight="1">
      <c r="A466" s="15"/>
    </row>
    <row r="467" spans="1:1" customFormat="1" ht="15.75" customHeight="1">
      <c r="A467" s="15"/>
    </row>
    <row r="468" spans="1:1" customFormat="1" ht="15.75" customHeight="1">
      <c r="A468" s="15"/>
    </row>
    <row r="469" spans="1:1" customFormat="1" ht="15.75" customHeight="1">
      <c r="A469" s="15"/>
    </row>
    <row r="470" spans="1:1" customFormat="1" ht="15.75" customHeight="1">
      <c r="A470" s="15"/>
    </row>
    <row r="471" spans="1:1" customFormat="1" ht="15.75" customHeight="1">
      <c r="A471" s="15"/>
    </row>
    <row r="472" spans="1:1" customFormat="1" ht="15.75" customHeight="1">
      <c r="A472" s="15"/>
    </row>
    <row r="473" spans="1:1" customFormat="1" ht="15.75" customHeight="1">
      <c r="A473" s="15"/>
    </row>
    <row r="474" spans="1:1" customFormat="1" ht="15.75" customHeight="1">
      <c r="A474" s="15"/>
    </row>
    <row r="475" spans="1:1" customFormat="1" ht="15.75" customHeight="1">
      <c r="A475" s="15"/>
    </row>
    <row r="476" spans="1:1" customFormat="1" ht="15.75" customHeight="1">
      <c r="A476" s="15"/>
    </row>
    <row r="477" spans="1:1" customFormat="1" ht="15.75" customHeight="1">
      <c r="A477" s="15"/>
    </row>
    <row r="478" spans="1:1" customFormat="1" ht="15.75" customHeight="1">
      <c r="A478" s="15"/>
    </row>
    <row r="479" spans="1:1" customFormat="1" ht="15.75" customHeight="1">
      <c r="A479" s="15"/>
    </row>
    <row r="480" spans="1:1" customFormat="1" ht="15.75" customHeight="1">
      <c r="A480" s="15"/>
    </row>
    <row r="481" spans="1:1" customFormat="1" ht="15.75" customHeight="1">
      <c r="A481" s="15"/>
    </row>
    <row r="482" spans="1:1" customFormat="1" ht="15.75" customHeight="1">
      <c r="A482" s="15"/>
    </row>
    <row r="483" spans="1:1" customFormat="1" ht="15.75" customHeight="1">
      <c r="A483" s="15"/>
    </row>
    <row r="484" spans="1:1" customFormat="1" ht="15.75" customHeight="1">
      <c r="A484" s="15"/>
    </row>
    <row r="485" spans="1:1" customFormat="1" ht="15.75" customHeight="1">
      <c r="A485" s="15"/>
    </row>
    <row r="486" spans="1:1" customFormat="1" ht="15.75" customHeight="1">
      <c r="A486" s="15"/>
    </row>
    <row r="487" spans="1:1" customFormat="1" ht="15.75" customHeight="1">
      <c r="A487" s="15"/>
    </row>
    <row r="488" spans="1:1" customFormat="1" ht="15.75" customHeight="1">
      <c r="A488" s="15"/>
    </row>
    <row r="489" spans="1:1" customFormat="1" ht="15.75" customHeight="1">
      <c r="A489" s="15"/>
    </row>
    <row r="490" spans="1:1" customFormat="1" ht="15.75" customHeight="1">
      <c r="A490" s="15"/>
    </row>
    <row r="491" spans="1:1" customFormat="1" ht="15.75" customHeight="1">
      <c r="A491" s="15"/>
    </row>
    <row r="492" spans="1:1" customFormat="1" ht="15.75" customHeight="1">
      <c r="A492" s="15"/>
    </row>
    <row r="493" spans="1:1" customFormat="1" ht="15.75" customHeight="1">
      <c r="A493" s="15"/>
    </row>
    <row r="494" spans="1:1" customFormat="1" ht="15.75" customHeight="1">
      <c r="A494" s="15"/>
    </row>
    <row r="495" spans="1:1" customFormat="1" ht="15.75" customHeight="1">
      <c r="A495" s="15"/>
    </row>
    <row r="496" spans="1:1" customFormat="1" ht="15.75" customHeight="1">
      <c r="A496" s="15"/>
    </row>
    <row r="497" spans="1:1" customFormat="1" ht="15.75" customHeight="1">
      <c r="A497" s="15"/>
    </row>
    <row r="498" spans="1:1" customFormat="1" ht="15.75" customHeight="1">
      <c r="A498" s="15"/>
    </row>
    <row r="499" spans="1:1" customFormat="1" ht="15.75" customHeight="1">
      <c r="A499" s="15"/>
    </row>
    <row r="500" spans="1:1" customFormat="1" ht="15.75" customHeight="1">
      <c r="A500" s="15"/>
    </row>
    <row r="501" spans="1:1" customFormat="1" ht="15.75" customHeight="1">
      <c r="A501" s="15"/>
    </row>
    <row r="502" spans="1:1" customFormat="1" ht="15.75" customHeight="1">
      <c r="A502" s="15"/>
    </row>
    <row r="503" spans="1:1" customFormat="1" ht="15.75" customHeight="1">
      <c r="A503" s="15"/>
    </row>
    <row r="504" spans="1:1" customFormat="1" ht="15.75" customHeight="1">
      <c r="A504" s="15"/>
    </row>
    <row r="505" spans="1:1" customFormat="1" ht="15.75" customHeight="1">
      <c r="A505" s="15"/>
    </row>
    <row r="506" spans="1:1" customFormat="1" ht="15.75" customHeight="1">
      <c r="A506" s="15"/>
    </row>
    <row r="507" spans="1:1" customFormat="1" ht="15.75" customHeight="1">
      <c r="A507" s="15"/>
    </row>
    <row r="508" spans="1:1" customFormat="1" ht="15.75" customHeight="1">
      <c r="A508" s="15"/>
    </row>
    <row r="509" spans="1:1" customFormat="1" ht="15.75" customHeight="1">
      <c r="A509" s="15"/>
    </row>
    <row r="510" spans="1:1" customFormat="1" ht="15.75" customHeight="1">
      <c r="A510" s="15"/>
    </row>
    <row r="511" spans="1:1" customFormat="1" ht="15.75" customHeight="1">
      <c r="A511" s="15"/>
    </row>
    <row r="512" spans="1:1" customFormat="1" ht="15.75" customHeight="1">
      <c r="A512" s="15"/>
    </row>
    <row r="513" spans="1:1" customFormat="1" ht="15.75" customHeight="1">
      <c r="A513" s="15"/>
    </row>
    <row r="514" spans="1:1" customFormat="1" ht="15.75" customHeight="1">
      <c r="A514" s="15"/>
    </row>
    <row r="515" spans="1:1" customFormat="1" ht="15.75" customHeight="1">
      <c r="A515" s="15"/>
    </row>
    <row r="516" spans="1:1" customFormat="1" ht="15.75" customHeight="1">
      <c r="A516" s="15"/>
    </row>
    <row r="517" spans="1:1" customFormat="1" ht="15.75" customHeight="1">
      <c r="A517" s="15"/>
    </row>
    <row r="518" spans="1:1" customFormat="1" ht="15.75" customHeight="1">
      <c r="A518" s="15"/>
    </row>
    <row r="519" spans="1:1" customFormat="1" ht="15.75" customHeight="1">
      <c r="A519" s="15"/>
    </row>
    <row r="520" spans="1:1" customFormat="1" ht="15.75" customHeight="1">
      <c r="A520" s="15"/>
    </row>
    <row r="521" spans="1:1" customFormat="1" ht="15.75" customHeight="1">
      <c r="A521" s="15"/>
    </row>
    <row r="522" spans="1:1" customFormat="1" ht="15.75" customHeight="1">
      <c r="A522" s="15"/>
    </row>
    <row r="523" spans="1:1" customFormat="1" ht="15.75" customHeight="1">
      <c r="A523" s="15"/>
    </row>
    <row r="524" spans="1:1" customFormat="1" ht="15.75" customHeight="1">
      <c r="A524" s="15"/>
    </row>
    <row r="525" spans="1:1" customFormat="1" ht="15.75" customHeight="1">
      <c r="A525" s="15"/>
    </row>
    <row r="526" spans="1:1" customFormat="1" ht="15.75" customHeight="1">
      <c r="A526" s="15"/>
    </row>
    <row r="527" spans="1:1" customFormat="1" ht="15.75" customHeight="1">
      <c r="A527" s="15"/>
    </row>
    <row r="528" spans="1:1" customFormat="1" ht="15.75" customHeight="1">
      <c r="A528" s="15"/>
    </row>
    <row r="529" spans="1:1" customFormat="1" ht="15.75" customHeight="1">
      <c r="A529" s="15"/>
    </row>
    <row r="530" spans="1:1" customFormat="1" ht="15.75" customHeight="1">
      <c r="A530" s="15"/>
    </row>
    <row r="531" spans="1:1" customFormat="1" ht="15.75" customHeight="1">
      <c r="A531" s="15"/>
    </row>
    <row r="532" spans="1:1" customFormat="1" ht="15.75" customHeight="1">
      <c r="A532" s="15"/>
    </row>
    <row r="533" spans="1:1" customFormat="1" ht="15.75" customHeight="1">
      <c r="A533" s="15"/>
    </row>
    <row r="534" spans="1:1" customFormat="1" ht="15.75" customHeight="1">
      <c r="A534" s="15"/>
    </row>
    <row r="535" spans="1:1" customFormat="1" ht="15.75" customHeight="1">
      <c r="A535" s="15"/>
    </row>
    <row r="536" spans="1:1" customFormat="1" ht="15.75" customHeight="1">
      <c r="A536" s="15"/>
    </row>
    <row r="537" spans="1:1" customFormat="1" ht="15.75" customHeight="1">
      <c r="A537" s="15"/>
    </row>
    <row r="538" spans="1:1" customFormat="1" ht="15.75" customHeight="1">
      <c r="A538" s="15"/>
    </row>
    <row r="539" spans="1:1" customFormat="1" ht="15.75" customHeight="1">
      <c r="A539" s="15"/>
    </row>
    <row r="540" spans="1:1" customFormat="1" ht="15.75" customHeight="1">
      <c r="A540" s="15"/>
    </row>
    <row r="541" spans="1:1" customFormat="1" ht="15.75" customHeight="1">
      <c r="A541" s="15"/>
    </row>
    <row r="542" spans="1:1" customFormat="1" ht="15.75" customHeight="1">
      <c r="A542" s="15"/>
    </row>
    <row r="543" spans="1:1" customFormat="1" ht="15.75" customHeight="1">
      <c r="A543" s="15"/>
    </row>
    <row r="544" spans="1:1" customFormat="1" ht="15.75" customHeight="1">
      <c r="A544" s="15"/>
    </row>
    <row r="545" spans="1:1" customFormat="1" ht="15.75" customHeight="1">
      <c r="A545" s="15"/>
    </row>
    <row r="546" spans="1:1" customFormat="1" ht="15.75" customHeight="1">
      <c r="A546" s="15"/>
    </row>
    <row r="547" spans="1:1" customFormat="1" ht="15.75" customHeight="1">
      <c r="A547" s="15"/>
    </row>
    <row r="548" spans="1:1" customFormat="1" ht="15.75" customHeight="1">
      <c r="A548" s="15"/>
    </row>
    <row r="549" spans="1:1" customFormat="1" ht="15.75" customHeight="1">
      <c r="A549" s="15"/>
    </row>
    <row r="550" spans="1:1" customFormat="1" ht="15.75" customHeight="1">
      <c r="A550" s="15"/>
    </row>
    <row r="551" spans="1:1" customFormat="1" ht="15.75" customHeight="1">
      <c r="A551" s="15"/>
    </row>
    <row r="552" spans="1:1" customFormat="1" ht="15.75" customHeight="1">
      <c r="A552" s="15"/>
    </row>
    <row r="553" spans="1:1" customFormat="1" ht="15.75" customHeight="1">
      <c r="A553" s="15"/>
    </row>
    <row r="554" spans="1:1" customFormat="1" ht="15.75" customHeight="1">
      <c r="A554" s="15"/>
    </row>
    <row r="555" spans="1:1" customFormat="1" ht="15.75" customHeight="1">
      <c r="A555" s="15"/>
    </row>
    <row r="556" spans="1:1" customFormat="1" ht="15.75" customHeight="1">
      <c r="A556" s="15"/>
    </row>
    <row r="557" spans="1:1" customFormat="1" ht="15.75" customHeight="1">
      <c r="A557" s="15"/>
    </row>
    <row r="558" spans="1:1" customFormat="1" ht="15.75" customHeight="1">
      <c r="A558" s="15"/>
    </row>
    <row r="559" spans="1:1" customFormat="1" ht="15.75" customHeight="1">
      <c r="A559" s="15"/>
    </row>
    <row r="560" spans="1:1" customFormat="1" ht="15.75" customHeight="1">
      <c r="A560" s="15"/>
    </row>
    <row r="561" spans="1:1" customFormat="1" ht="15.75" customHeight="1">
      <c r="A561" s="15"/>
    </row>
    <row r="562" spans="1:1" customFormat="1" ht="15.75" customHeight="1">
      <c r="A562" s="15"/>
    </row>
    <row r="563" spans="1:1" customFormat="1" ht="15.75" customHeight="1">
      <c r="A563" s="15"/>
    </row>
    <row r="564" spans="1:1" customFormat="1" ht="15.75" customHeight="1">
      <c r="A564" s="15"/>
    </row>
    <row r="565" spans="1:1" customFormat="1" ht="15.75" customHeight="1">
      <c r="A565" s="15"/>
    </row>
    <row r="566" spans="1:1" customFormat="1" ht="15.75" customHeight="1">
      <c r="A566" s="15"/>
    </row>
    <row r="567" spans="1:1" customFormat="1" ht="15.75" customHeight="1">
      <c r="A567" s="15"/>
    </row>
    <row r="568" spans="1:1" customFormat="1" ht="15.75" customHeight="1">
      <c r="A568" s="15"/>
    </row>
    <row r="569" spans="1:1" customFormat="1" ht="15.75" customHeight="1">
      <c r="A569" s="15"/>
    </row>
    <row r="570" spans="1:1" customFormat="1" ht="15.75" customHeight="1">
      <c r="A570" s="15"/>
    </row>
    <row r="571" spans="1:1" customFormat="1" ht="15.75" customHeight="1">
      <c r="A571" s="15"/>
    </row>
    <row r="572" spans="1:1" customFormat="1" ht="15.75" customHeight="1">
      <c r="A572" s="15"/>
    </row>
    <row r="573" spans="1:1" customFormat="1" ht="15.75" customHeight="1">
      <c r="A573" s="15"/>
    </row>
    <row r="574" spans="1:1" customFormat="1" ht="15.75" customHeight="1">
      <c r="A574" s="15"/>
    </row>
    <row r="575" spans="1:1" customFormat="1" ht="15.75" customHeight="1">
      <c r="A575" s="15"/>
    </row>
    <row r="576" spans="1:1" customFormat="1" ht="15.75" customHeight="1">
      <c r="A576" s="15"/>
    </row>
    <row r="577" spans="1:1" customFormat="1" ht="15.75" customHeight="1">
      <c r="A577" s="15"/>
    </row>
    <row r="578" spans="1:1" customFormat="1" ht="15.75" customHeight="1">
      <c r="A578" s="15"/>
    </row>
    <row r="579" spans="1:1" customFormat="1" ht="15.75" customHeight="1">
      <c r="A579" s="15"/>
    </row>
    <row r="580" spans="1:1" customFormat="1" ht="15.75" customHeight="1">
      <c r="A580" s="15"/>
    </row>
    <row r="581" spans="1:1" customFormat="1" ht="15.75" customHeight="1">
      <c r="A581" s="15"/>
    </row>
    <row r="582" spans="1:1" customFormat="1" ht="15.75" customHeight="1">
      <c r="A582" s="15"/>
    </row>
    <row r="583" spans="1:1" customFormat="1" ht="15.75" customHeight="1">
      <c r="A583" s="15"/>
    </row>
    <row r="584" spans="1:1" customFormat="1" ht="15.75" customHeight="1">
      <c r="A584" s="15"/>
    </row>
    <row r="585" spans="1:1" customFormat="1" ht="15.75" customHeight="1">
      <c r="A585" s="15"/>
    </row>
    <row r="586" spans="1:1" customFormat="1" ht="15.75" customHeight="1">
      <c r="A586" s="15"/>
    </row>
    <row r="587" spans="1:1" customFormat="1" ht="15.75" customHeight="1">
      <c r="A587" s="15"/>
    </row>
    <row r="588" spans="1:1" customFormat="1" ht="15.75" customHeight="1">
      <c r="A588" s="15"/>
    </row>
    <row r="589" spans="1:1" customFormat="1" ht="15.75" customHeight="1">
      <c r="A589" s="15"/>
    </row>
    <row r="590" spans="1:1" customFormat="1" ht="15.75" customHeight="1">
      <c r="A590" s="15"/>
    </row>
    <row r="591" spans="1:1" customFormat="1" ht="15.75" customHeight="1">
      <c r="A591" s="15"/>
    </row>
    <row r="592" spans="1:1" customFormat="1" ht="15.75" customHeight="1">
      <c r="A592" s="15"/>
    </row>
    <row r="593" spans="1:1" customFormat="1" ht="15.75" customHeight="1">
      <c r="A593" s="15"/>
    </row>
    <row r="594" spans="1:1" customFormat="1" ht="15.75" customHeight="1">
      <c r="A594" s="15"/>
    </row>
    <row r="595" spans="1:1" customFormat="1" ht="15.75" customHeight="1">
      <c r="A595" s="15"/>
    </row>
    <row r="596" spans="1:1" customFormat="1" ht="15.75" customHeight="1">
      <c r="A596" s="15"/>
    </row>
    <row r="597" spans="1:1" customFormat="1" ht="15.75" customHeight="1">
      <c r="A597" s="15"/>
    </row>
    <row r="598" spans="1:1" customFormat="1" ht="15.75" customHeight="1">
      <c r="A598" s="15"/>
    </row>
    <row r="599" spans="1:1" customFormat="1" ht="15.75" customHeight="1">
      <c r="A599" s="15"/>
    </row>
    <row r="600" spans="1:1" customFormat="1" ht="15.75" customHeight="1">
      <c r="A600" s="15"/>
    </row>
    <row r="601" spans="1:1" customFormat="1" ht="15.75" customHeight="1">
      <c r="A601" s="15"/>
    </row>
    <row r="602" spans="1:1" customFormat="1" ht="15.75" customHeight="1">
      <c r="A602" s="15"/>
    </row>
    <row r="603" spans="1:1" customFormat="1" ht="15.75" customHeight="1">
      <c r="A603" s="15"/>
    </row>
    <row r="604" spans="1:1" customFormat="1" ht="15.75" customHeight="1">
      <c r="A604" s="15"/>
    </row>
    <row r="605" spans="1:1" customFormat="1" ht="15.75" customHeight="1">
      <c r="A605" s="15"/>
    </row>
    <row r="606" spans="1:1" customFormat="1" ht="15.75" customHeight="1">
      <c r="A606" s="15"/>
    </row>
    <row r="607" spans="1:1" customFormat="1" ht="15.75" customHeight="1">
      <c r="A607" s="15"/>
    </row>
    <row r="608" spans="1:1" customFormat="1" ht="15.75" customHeight="1">
      <c r="A608" s="15"/>
    </row>
    <row r="609" spans="1:1" customFormat="1" ht="15.75" customHeight="1">
      <c r="A609" s="15"/>
    </row>
    <row r="610" spans="1:1" customFormat="1" ht="15.75" customHeight="1">
      <c r="A610" s="15"/>
    </row>
    <row r="611" spans="1:1" customFormat="1" ht="15.75" customHeight="1">
      <c r="A611" s="15"/>
    </row>
    <row r="612" spans="1:1" customFormat="1" ht="15.75" customHeight="1">
      <c r="A612" s="15"/>
    </row>
    <row r="613" spans="1:1" customFormat="1" ht="15.75" customHeight="1">
      <c r="A613" s="15"/>
    </row>
    <row r="614" spans="1:1" customFormat="1" ht="15.75" customHeight="1">
      <c r="A614" s="15"/>
    </row>
    <row r="615" spans="1:1" customFormat="1" ht="15.75" customHeight="1">
      <c r="A615" s="15"/>
    </row>
    <row r="616" spans="1:1" customFormat="1" ht="15.75" customHeight="1">
      <c r="A616" s="15"/>
    </row>
    <row r="617" spans="1:1" customFormat="1" ht="15.75" customHeight="1">
      <c r="A617" s="15"/>
    </row>
    <row r="618" spans="1:1" customFormat="1" ht="15.75" customHeight="1">
      <c r="A618" s="15"/>
    </row>
    <row r="619" spans="1:1" customFormat="1" ht="15.75" customHeight="1">
      <c r="A619" s="15"/>
    </row>
    <row r="620" spans="1:1" customFormat="1" ht="15.75" customHeight="1">
      <c r="A620" s="15"/>
    </row>
    <row r="621" spans="1:1" customFormat="1" ht="15.75" customHeight="1">
      <c r="A621" s="15"/>
    </row>
    <row r="622" spans="1:1" customFormat="1" ht="15.75" customHeight="1">
      <c r="A622" s="15"/>
    </row>
    <row r="623" spans="1:1" customFormat="1" ht="15.75" customHeight="1">
      <c r="A623" s="15"/>
    </row>
    <row r="624" spans="1:1" customFormat="1" ht="15.75" customHeight="1">
      <c r="A624" s="15"/>
    </row>
    <row r="625" spans="1:1" customFormat="1" ht="15.75" customHeight="1">
      <c r="A625" s="15"/>
    </row>
    <row r="626" spans="1:1" customFormat="1" ht="15.75" customHeight="1">
      <c r="A626" s="15"/>
    </row>
    <row r="627" spans="1:1" customFormat="1" ht="15.75" customHeight="1">
      <c r="A627" s="15"/>
    </row>
    <row r="628" spans="1:1" customFormat="1" ht="15.75" customHeight="1">
      <c r="A628" s="15"/>
    </row>
    <row r="629" spans="1:1" customFormat="1" ht="15.75" customHeight="1">
      <c r="A629" s="15"/>
    </row>
    <row r="630" spans="1:1" customFormat="1" ht="15.75" customHeight="1">
      <c r="A630" s="15"/>
    </row>
    <row r="631" spans="1:1" customFormat="1" ht="15.75" customHeight="1">
      <c r="A631" s="15"/>
    </row>
    <row r="632" spans="1:1" customFormat="1" ht="15.75" customHeight="1">
      <c r="A632" s="15"/>
    </row>
    <row r="633" spans="1:1" customFormat="1" ht="15.75" customHeight="1">
      <c r="A633" s="15"/>
    </row>
    <row r="634" spans="1:1" customFormat="1" ht="15.75" customHeight="1">
      <c r="A634" s="15"/>
    </row>
    <row r="635" spans="1:1" customFormat="1" ht="15.75" customHeight="1">
      <c r="A635" s="15"/>
    </row>
    <row r="636" spans="1:1" customFormat="1" ht="15.75" customHeight="1">
      <c r="A636" s="15"/>
    </row>
    <row r="637" spans="1:1" customFormat="1" ht="15.75" customHeight="1">
      <c r="A637" s="15"/>
    </row>
    <row r="638" spans="1:1" customFormat="1" ht="15.75" customHeight="1">
      <c r="A638" s="15"/>
    </row>
    <row r="639" spans="1:1" customFormat="1" ht="15.75" customHeight="1">
      <c r="A639" s="15"/>
    </row>
    <row r="640" spans="1:1" customFormat="1" ht="15.75" customHeight="1">
      <c r="A640" s="15"/>
    </row>
    <row r="641" spans="1:1" customFormat="1" ht="15.75" customHeight="1">
      <c r="A641" s="15"/>
    </row>
    <row r="642" spans="1:1" customFormat="1" ht="15.75" customHeight="1">
      <c r="A642" s="15"/>
    </row>
    <row r="643" spans="1:1" customFormat="1" ht="15.75" customHeight="1">
      <c r="A643" s="15"/>
    </row>
    <row r="644" spans="1:1" customFormat="1" ht="15.75" customHeight="1">
      <c r="A644" s="15"/>
    </row>
    <row r="645" spans="1:1" customFormat="1" ht="15.75" customHeight="1">
      <c r="A645" s="15"/>
    </row>
    <row r="646" spans="1:1" customFormat="1" ht="15.75" customHeight="1">
      <c r="A646" s="15"/>
    </row>
    <row r="647" spans="1:1" customFormat="1" ht="15.75" customHeight="1">
      <c r="A647" s="15"/>
    </row>
    <row r="648" spans="1:1" customFormat="1" ht="15.75" customHeight="1">
      <c r="A648" s="15"/>
    </row>
    <row r="649" spans="1:1" customFormat="1" ht="15.75" customHeight="1">
      <c r="A649" s="15"/>
    </row>
    <row r="650" spans="1:1" customFormat="1" ht="15.75" customHeight="1">
      <c r="A650" s="15"/>
    </row>
    <row r="651" spans="1:1" customFormat="1" ht="15.75" customHeight="1">
      <c r="A651" s="15"/>
    </row>
    <row r="652" spans="1:1" customFormat="1" ht="15.75" customHeight="1">
      <c r="A652" s="15"/>
    </row>
    <row r="653" spans="1:1" customFormat="1" ht="15.75" customHeight="1">
      <c r="A653" s="15"/>
    </row>
    <row r="654" spans="1:1" customFormat="1" ht="15.75" customHeight="1">
      <c r="A654" s="15"/>
    </row>
    <row r="655" spans="1:1" customFormat="1" ht="15.75" customHeight="1">
      <c r="A655" s="15"/>
    </row>
    <row r="656" spans="1:1" customFormat="1" ht="15.75" customHeight="1">
      <c r="A656" s="15"/>
    </row>
    <row r="657" spans="1:1" customFormat="1" ht="15.75" customHeight="1">
      <c r="A657" s="15"/>
    </row>
    <row r="658" spans="1:1" customFormat="1" ht="15.75" customHeight="1">
      <c r="A658" s="15"/>
    </row>
    <row r="659" spans="1:1" customFormat="1" ht="15.75" customHeight="1">
      <c r="A659" s="15"/>
    </row>
    <row r="660" spans="1:1" customFormat="1" ht="15.75" customHeight="1">
      <c r="A660" s="15"/>
    </row>
    <row r="661" spans="1:1" customFormat="1" ht="15.75" customHeight="1">
      <c r="A661" s="15"/>
    </row>
    <row r="662" spans="1:1" customFormat="1" ht="15.75" customHeight="1">
      <c r="A662" s="15"/>
    </row>
    <row r="663" spans="1:1" customFormat="1" ht="15.75" customHeight="1">
      <c r="A663" s="15"/>
    </row>
    <row r="664" spans="1:1" customFormat="1" ht="15.75" customHeight="1">
      <c r="A664" s="15"/>
    </row>
    <row r="665" spans="1:1" customFormat="1" ht="15.75" customHeight="1">
      <c r="A665" s="15"/>
    </row>
    <row r="666" spans="1:1" customFormat="1" ht="15.75" customHeight="1">
      <c r="A666" s="15"/>
    </row>
    <row r="667" spans="1:1" customFormat="1" ht="15.75" customHeight="1">
      <c r="A667" s="15"/>
    </row>
    <row r="668" spans="1:1" customFormat="1" ht="15.75" customHeight="1">
      <c r="A668" s="15"/>
    </row>
    <row r="669" spans="1:1" customFormat="1" ht="15.75" customHeight="1">
      <c r="A669" s="15"/>
    </row>
    <row r="670" spans="1:1" customFormat="1" ht="15.75" customHeight="1">
      <c r="A670" s="15"/>
    </row>
    <row r="671" spans="1:1" customFormat="1" ht="15.75" customHeight="1">
      <c r="A671" s="15"/>
    </row>
    <row r="672" spans="1:1" customFormat="1" ht="15.75" customHeight="1">
      <c r="A672" s="15"/>
    </row>
    <row r="673" spans="1:1" customFormat="1" ht="15.75" customHeight="1">
      <c r="A673" s="15"/>
    </row>
    <row r="674" spans="1:1" customFormat="1" ht="15.75" customHeight="1">
      <c r="A674" s="15"/>
    </row>
    <row r="675" spans="1:1" customFormat="1" ht="15.75" customHeight="1">
      <c r="A675" s="15"/>
    </row>
    <row r="676" spans="1:1" customFormat="1" ht="15.75" customHeight="1">
      <c r="A676" s="15"/>
    </row>
    <row r="677" spans="1:1" customFormat="1" ht="15.75" customHeight="1">
      <c r="A677" s="15"/>
    </row>
    <row r="678" spans="1:1" customFormat="1" ht="15.75" customHeight="1">
      <c r="A678" s="15"/>
    </row>
    <row r="679" spans="1:1" customFormat="1" ht="15.75" customHeight="1">
      <c r="A679" s="15"/>
    </row>
    <row r="680" spans="1:1" customFormat="1" ht="15.75" customHeight="1">
      <c r="A680" s="15"/>
    </row>
    <row r="681" spans="1:1" customFormat="1" ht="15.75" customHeight="1">
      <c r="A681" s="15"/>
    </row>
    <row r="682" spans="1:1" customFormat="1" ht="15.75" customHeight="1">
      <c r="A682" s="15"/>
    </row>
    <row r="683" spans="1:1" customFormat="1" ht="15.75" customHeight="1">
      <c r="A683" s="15"/>
    </row>
    <row r="684" spans="1:1" customFormat="1" ht="15.75" customHeight="1">
      <c r="A684" s="15"/>
    </row>
    <row r="685" spans="1:1" customFormat="1" ht="15.75" customHeight="1">
      <c r="A685" s="15"/>
    </row>
    <row r="686" spans="1:1" customFormat="1" ht="15.75" customHeight="1">
      <c r="A686" s="15"/>
    </row>
    <row r="687" spans="1:1" customFormat="1" ht="15.75" customHeight="1">
      <c r="A687" s="15"/>
    </row>
    <row r="688" spans="1:1" customFormat="1" ht="15.75" customHeight="1">
      <c r="A688" s="15"/>
    </row>
    <row r="689" spans="1:1" customFormat="1" ht="15.75" customHeight="1">
      <c r="A689" s="15"/>
    </row>
    <row r="690" spans="1:1" customFormat="1" ht="15.75" customHeight="1">
      <c r="A690" s="15"/>
    </row>
    <row r="691" spans="1:1" customFormat="1" ht="15.75" customHeight="1">
      <c r="A691" s="15"/>
    </row>
    <row r="692" spans="1:1" customFormat="1" ht="15.75" customHeight="1">
      <c r="A692" s="15"/>
    </row>
    <row r="693" spans="1:1" customFormat="1" ht="15.75" customHeight="1">
      <c r="A693" s="15"/>
    </row>
    <row r="694" spans="1:1" customFormat="1" ht="15.75" customHeight="1">
      <c r="A694" s="15"/>
    </row>
    <row r="695" spans="1:1" customFormat="1" ht="15.75" customHeight="1">
      <c r="A695" s="15"/>
    </row>
    <row r="696" spans="1:1" customFormat="1" ht="15.75" customHeight="1">
      <c r="A696" s="15"/>
    </row>
    <row r="697" spans="1:1" customFormat="1" ht="15.75" customHeight="1">
      <c r="A697" s="15"/>
    </row>
    <row r="698" spans="1:1" customFormat="1" ht="15.75" customHeight="1">
      <c r="A698" s="15"/>
    </row>
    <row r="699" spans="1:1" customFormat="1" ht="15.75" customHeight="1">
      <c r="A699" s="15"/>
    </row>
    <row r="700" spans="1:1" customFormat="1" ht="15.75" customHeight="1">
      <c r="A700" s="15"/>
    </row>
    <row r="701" spans="1:1" customFormat="1" ht="15.75" customHeight="1">
      <c r="A701" s="15"/>
    </row>
    <row r="702" spans="1:1" customFormat="1" ht="15.75" customHeight="1">
      <c r="A702" s="15"/>
    </row>
    <row r="703" spans="1:1" customFormat="1" ht="15.75" customHeight="1">
      <c r="A703" s="15"/>
    </row>
    <row r="704" spans="1:1" customFormat="1" ht="15.75" customHeight="1">
      <c r="A704" s="15"/>
    </row>
    <row r="705" spans="1:1" customFormat="1" ht="15.75" customHeight="1">
      <c r="A705" s="15"/>
    </row>
    <row r="706" spans="1:1" customFormat="1" ht="15.75" customHeight="1">
      <c r="A706" s="15"/>
    </row>
    <row r="707" spans="1:1" customFormat="1" ht="15.75" customHeight="1">
      <c r="A707" s="15"/>
    </row>
    <row r="708" spans="1:1" customFormat="1" ht="15.75" customHeight="1">
      <c r="A708" s="15"/>
    </row>
    <row r="709" spans="1:1" customFormat="1" ht="15.75" customHeight="1">
      <c r="A709" s="15"/>
    </row>
    <row r="710" spans="1:1" customFormat="1" ht="15.75" customHeight="1">
      <c r="A710" s="15"/>
    </row>
    <row r="711" spans="1:1" customFormat="1" ht="15.75" customHeight="1">
      <c r="A711" s="15"/>
    </row>
    <row r="712" spans="1:1" customFormat="1" ht="15.75" customHeight="1">
      <c r="A712" s="15"/>
    </row>
    <row r="713" spans="1:1" customFormat="1" ht="15.75" customHeight="1">
      <c r="A713" s="15"/>
    </row>
    <row r="714" spans="1:1" customFormat="1" ht="15.75" customHeight="1">
      <c r="A714" s="15"/>
    </row>
    <row r="715" spans="1:1" customFormat="1" ht="15.75" customHeight="1">
      <c r="A715" s="15"/>
    </row>
    <row r="716" spans="1:1" customFormat="1" ht="15.75" customHeight="1">
      <c r="A716" s="15"/>
    </row>
    <row r="717" spans="1:1" customFormat="1" ht="15.75" customHeight="1">
      <c r="A717" s="15"/>
    </row>
    <row r="718" spans="1:1" customFormat="1" ht="15.75" customHeight="1">
      <c r="A718" s="15"/>
    </row>
    <row r="719" spans="1:1" customFormat="1" ht="15.75" customHeight="1">
      <c r="A719" s="15"/>
    </row>
    <row r="720" spans="1:1" customFormat="1" ht="15.75" customHeight="1">
      <c r="A720" s="15"/>
    </row>
    <row r="721" spans="1:1" customFormat="1" ht="15.75" customHeight="1">
      <c r="A721" s="15"/>
    </row>
    <row r="722" spans="1:1" customFormat="1" ht="15.75" customHeight="1">
      <c r="A722" s="15"/>
    </row>
    <row r="723" spans="1:1" customFormat="1" ht="15.75" customHeight="1">
      <c r="A723" s="15"/>
    </row>
    <row r="724" spans="1:1" customFormat="1" ht="15.75" customHeight="1">
      <c r="A724" s="15"/>
    </row>
    <row r="725" spans="1:1" customFormat="1" ht="15.75" customHeight="1">
      <c r="A725" s="15"/>
    </row>
    <row r="726" spans="1:1" customFormat="1" ht="15.75" customHeight="1">
      <c r="A726" s="15"/>
    </row>
    <row r="727" spans="1:1" customFormat="1" ht="15.75" customHeight="1">
      <c r="A727" s="15"/>
    </row>
    <row r="728" spans="1:1" customFormat="1" ht="15.75" customHeight="1">
      <c r="A728" s="15"/>
    </row>
    <row r="729" spans="1:1" customFormat="1" ht="15.75" customHeight="1">
      <c r="A729" s="15"/>
    </row>
    <row r="730" spans="1:1" customFormat="1" ht="15.75" customHeight="1">
      <c r="A730" s="15"/>
    </row>
    <row r="731" spans="1:1" customFormat="1" ht="15.75" customHeight="1">
      <c r="A731" s="15"/>
    </row>
    <row r="732" spans="1:1" customFormat="1" ht="15.75" customHeight="1">
      <c r="A732" s="15"/>
    </row>
    <row r="733" spans="1:1" customFormat="1" ht="15.75" customHeight="1">
      <c r="A733" s="15"/>
    </row>
    <row r="734" spans="1:1" customFormat="1" ht="15.75" customHeight="1">
      <c r="A734" s="15"/>
    </row>
    <row r="735" spans="1:1" customFormat="1" ht="15.75" customHeight="1">
      <c r="A735" s="15"/>
    </row>
    <row r="736" spans="1:1" customFormat="1" ht="15.75" customHeight="1">
      <c r="A736" s="15"/>
    </row>
    <row r="737" spans="1:1" customFormat="1" ht="15.75" customHeight="1">
      <c r="A737" s="15"/>
    </row>
    <row r="738" spans="1:1" customFormat="1" ht="15.75" customHeight="1">
      <c r="A738" s="15"/>
    </row>
    <row r="739" spans="1:1" customFormat="1" ht="15.75" customHeight="1">
      <c r="A739" s="15"/>
    </row>
    <row r="740" spans="1:1" customFormat="1" ht="15.75" customHeight="1">
      <c r="A740" s="15"/>
    </row>
    <row r="741" spans="1:1" customFormat="1" ht="15.75" customHeight="1">
      <c r="A741" s="15"/>
    </row>
    <row r="742" spans="1:1" customFormat="1" ht="15.75" customHeight="1">
      <c r="A742" s="15"/>
    </row>
    <row r="743" spans="1:1" customFormat="1" ht="15.75" customHeight="1">
      <c r="A743" s="15"/>
    </row>
    <row r="744" spans="1:1" customFormat="1" ht="15.75" customHeight="1">
      <c r="A744" s="15"/>
    </row>
    <row r="745" spans="1:1" customFormat="1" ht="15.75" customHeight="1">
      <c r="A745" s="15"/>
    </row>
    <row r="746" spans="1:1" customFormat="1" ht="15.75" customHeight="1">
      <c r="A746" s="15"/>
    </row>
    <row r="747" spans="1:1" customFormat="1" ht="15.75" customHeight="1">
      <c r="A747" s="15"/>
    </row>
    <row r="748" spans="1:1" customFormat="1" ht="15.75" customHeight="1">
      <c r="A748" s="15"/>
    </row>
    <row r="749" spans="1:1" customFormat="1" ht="15.75" customHeight="1">
      <c r="A749" s="15"/>
    </row>
    <row r="750" spans="1:1" customFormat="1" ht="15.75" customHeight="1">
      <c r="A750" s="15"/>
    </row>
    <row r="751" spans="1:1" customFormat="1" ht="15.75" customHeight="1">
      <c r="A751" s="15"/>
    </row>
    <row r="752" spans="1:1" customFormat="1" ht="15.75" customHeight="1">
      <c r="A752" s="15"/>
    </row>
    <row r="753" spans="1:1" customFormat="1" ht="15.75" customHeight="1">
      <c r="A753" s="15"/>
    </row>
    <row r="754" spans="1:1" customFormat="1" ht="15.75" customHeight="1">
      <c r="A754" s="15"/>
    </row>
    <row r="755" spans="1:1" customFormat="1" ht="15.75" customHeight="1">
      <c r="A755" s="15"/>
    </row>
    <row r="756" spans="1:1" customFormat="1" ht="15.75" customHeight="1">
      <c r="A756" s="15"/>
    </row>
    <row r="757" spans="1:1" customFormat="1" ht="15.75" customHeight="1">
      <c r="A757" s="15"/>
    </row>
    <row r="758" spans="1:1" customFormat="1" ht="15.75" customHeight="1">
      <c r="A758" s="15"/>
    </row>
    <row r="759" spans="1:1" customFormat="1" ht="15.75" customHeight="1">
      <c r="A759" s="15"/>
    </row>
    <row r="760" spans="1:1" customFormat="1" ht="15.75" customHeight="1">
      <c r="A760" s="15"/>
    </row>
    <row r="761" spans="1:1" customFormat="1" ht="15.75" customHeight="1">
      <c r="A761" s="15"/>
    </row>
    <row r="762" spans="1:1" customFormat="1" ht="15.75" customHeight="1">
      <c r="A762" s="15"/>
    </row>
    <row r="763" spans="1:1" customFormat="1" ht="15.75" customHeight="1">
      <c r="A763" s="15"/>
    </row>
    <row r="764" spans="1:1" customFormat="1" ht="15.75" customHeight="1">
      <c r="A764" s="15"/>
    </row>
    <row r="765" spans="1:1" customFormat="1" ht="15.75" customHeight="1">
      <c r="A765" s="15"/>
    </row>
    <row r="766" spans="1:1" customFormat="1" ht="15.75" customHeight="1">
      <c r="A766" s="15"/>
    </row>
    <row r="767" spans="1:1" customFormat="1" ht="15.75" customHeight="1">
      <c r="A767" s="15"/>
    </row>
    <row r="768" spans="1:1" customFormat="1" ht="15.75" customHeight="1">
      <c r="A768" s="15"/>
    </row>
    <row r="769" spans="1:1" customFormat="1" ht="15.75" customHeight="1">
      <c r="A769" s="15"/>
    </row>
    <row r="770" spans="1:1" customFormat="1" ht="15.75" customHeight="1">
      <c r="A770" s="15"/>
    </row>
    <row r="771" spans="1:1" customFormat="1" ht="15.75" customHeight="1">
      <c r="A771" s="15"/>
    </row>
    <row r="772" spans="1:1" customFormat="1" ht="15.75" customHeight="1">
      <c r="A772" s="15"/>
    </row>
    <row r="773" spans="1:1" customFormat="1" ht="15.75" customHeight="1">
      <c r="A773" s="15"/>
    </row>
    <row r="774" spans="1:1" customFormat="1" ht="15.75" customHeight="1">
      <c r="A774" s="15"/>
    </row>
    <row r="775" spans="1:1" customFormat="1" ht="15.75" customHeight="1">
      <c r="A775" s="15"/>
    </row>
    <row r="776" spans="1:1" customFormat="1" ht="15.75" customHeight="1">
      <c r="A776" s="15"/>
    </row>
    <row r="777" spans="1:1" customFormat="1" ht="15.75" customHeight="1">
      <c r="A777" s="15"/>
    </row>
    <row r="778" spans="1:1" customFormat="1" ht="15.75" customHeight="1">
      <c r="A778" s="15"/>
    </row>
    <row r="779" spans="1:1" customFormat="1" ht="15.75" customHeight="1">
      <c r="A779" s="15"/>
    </row>
    <row r="780" spans="1:1" customFormat="1" ht="15.75" customHeight="1">
      <c r="A780" s="15"/>
    </row>
    <row r="781" spans="1:1" customFormat="1" ht="15.75" customHeight="1">
      <c r="A781" s="15"/>
    </row>
    <row r="782" spans="1:1" customFormat="1" ht="15.75" customHeight="1">
      <c r="A782" s="15"/>
    </row>
    <row r="783" spans="1:1" customFormat="1" ht="15.75" customHeight="1">
      <c r="A783" s="15"/>
    </row>
    <row r="784" spans="1:1" customFormat="1" ht="15.75" customHeight="1">
      <c r="A784" s="15"/>
    </row>
    <row r="785" spans="1:1" customFormat="1" ht="15.75" customHeight="1">
      <c r="A785" s="15"/>
    </row>
    <row r="786" spans="1:1" customFormat="1" ht="15.75" customHeight="1">
      <c r="A786" s="15"/>
    </row>
    <row r="787" spans="1:1" customFormat="1" ht="15.75" customHeight="1">
      <c r="A787" s="15"/>
    </row>
    <row r="788" spans="1:1" customFormat="1" ht="15.75" customHeight="1">
      <c r="A788" s="15"/>
    </row>
    <row r="789" spans="1:1" customFormat="1" ht="15.75" customHeight="1">
      <c r="A789" s="15"/>
    </row>
    <row r="790" spans="1:1" customFormat="1" ht="15.75" customHeight="1">
      <c r="A790" s="15"/>
    </row>
    <row r="791" spans="1:1" customFormat="1" ht="15.75" customHeight="1">
      <c r="A791" s="15"/>
    </row>
    <row r="792" spans="1:1" customFormat="1" ht="15.75" customHeight="1">
      <c r="A792" s="15"/>
    </row>
    <row r="793" spans="1:1" customFormat="1" ht="15.75" customHeight="1">
      <c r="A793" s="15"/>
    </row>
    <row r="794" spans="1:1" customFormat="1" ht="15.75" customHeight="1">
      <c r="A794" s="15"/>
    </row>
    <row r="795" spans="1:1" customFormat="1" ht="15.75" customHeight="1">
      <c r="A795" s="15"/>
    </row>
    <row r="796" spans="1:1" customFormat="1" ht="15.75" customHeight="1">
      <c r="A796" s="15"/>
    </row>
    <row r="797" spans="1:1" customFormat="1" ht="15.75" customHeight="1">
      <c r="A797" s="15"/>
    </row>
    <row r="798" spans="1:1" customFormat="1" ht="15.75" customHeight="1">
      <c r="A798" s="15"/>
    </row>
    <row r="799" spans="1:1" customFormat="1" ht="15.75" customHeight="1">
      <c r="A799" s="15"/>
    </row>
    <row r="800" spans="1:1" customFormat="1" ht="15.75" customHeight="1">
      <c r="A800" s="15"/>
    </row>
    <row r="801" spans="1:1" customFormat="1" ht="15.75" customHeight="1">
      <c r="A801" s="15"/>
    </row>
    <row r="802" spans="1:1" customFormat="1" ht="15.75" customHeight="1">
      <c r="A802" s="15"/>
    </row>
    <row r="803" spans="1:1" customFormat="1" ht="15.75" customHeight="1">
      <c r="A803" s="15"/>
    </row>
    <row r="804" spans="1:1" customFormat="1" ht="15.75" customHeight="1">
      <c r="A804" s="15"/>
    </row>
    <row r="805" spans="1:1" customFormat="1" ht="15.75" customHeight="1">
      <c r="A805" s="15"/>
    </row>
    <row r="806" spans="1:1" customFormat="1" ht="15.75" customHeight="1">
      <c r="A806" s="15"/>
    </row>
    <row r="807" spans="1:1" customFormat="1" ht="15.75" customHeight="1">
      <c r="A807" s="15"/>
    </row>
    <row r="808" spans="1:1" customFormat="1" ht="15.75" customHeight="1">
      <c r="A808" s="15"/>
    </row>
    <row r="809" spans="1:1" customFormat="1" ht="15.75" customHeight="1">
      <c r="A809" s="15"/>
    </row>
    <row r="810" spans="1:1" customFormat="1" ht="15.75" customHeight="1">
      <c r="A810" s="15"/>
    </row>
    <row r="811" spans="1:1" customFormat="1" ht="15.75" customHeight="1">
      <c r="A811" s="15"/>
    </row>
    <row r="812" spans="1:1" customFormat="1" ht="15.75" customHeight="1">
      <c r="A812" s="15"/>
    </row>
    <row r="813" spans="1:1" customFormat="1" ht="15.75" customHeight="1">
      <c r="A813" s="15"/>
    </row>
    <row r="814" spans="1:1" customFormat="1" ht="15.75" customHeight="1">
      <c r="A814" s="15"/>
    </row>
    <row r="815" spans="1:1" customFormat="1" ht="15.75" customHeight="1">
      <c r="A815" s="15"/>
    </row>
    <row r="816" spans="1:1" customFormat="1" ht="15.75" customHeight="1">
      <c r="A816" s="15"/>
    </row>
    <row r="817" spans="1:1" customFormat="1" ht="15.75" customHeight="1">
      <c r="A817" s="15"/>
    </row>
    <row r="818" spans="1:1" customFormat="1" ht="15.75" customHeight="1">
      <c r="A818" s="15"/>
    </row>
    <row r="819" spans="1:1" customFormat="1" ht="15.75" customHeight="1">
      <c r="A819" s="15"/>
    </row>
    <row r="820" spans="1:1" customFormat="1" ht="15.75" customHeight="1">
      <c r="A820" s="15"/>
    </row>
    <row r="821" spans="1:1" customFormat="1" ht="15.75" customHeight="1">
      <c r="A821" s="15"/>
    </row>
    <row r="822" spans="1:1" customFormat="1" ht="15.75" customHeight="1">
      <c r="A822" s="15"/>
    </row>
    <row r="823" spans="1:1" customFormat="1" ht="15.75" customHeight="1">
      <c r="A823" s="15"/>
    </row>
    <row r="824" spans="1:1" customFormat="1" ht="15.75" customHeight="1">
      <c r="A824" s="15"/>
    </row>
    <row r="825" spans="1:1" customFormat="1" ht="15.75" customHeight="1">
      <c r="A825" s="15"/>
    </row>
    <row r="826" spans="1:1" customFormat="1" ht="15.75" customHeight="1">
      <c r="A826" s="15"/>
    </row>
    <row r="827" spans="1:1" customFormat="1" ht="15.75" customHeight="1">
      <c r="A827" s="15"/>
    </row>
    <row r="828" spans="1:1" customFormat="1" ht="15.75" customHeight="1">
      <c r="A828" s="15"/>
    </row>
    <row r="829" spans="1:1" customFormat="1" ht="15.75" customHeight="1">
      <c r="A829" s="15"/>
    </row>
    <row r="830" spans="1:1" customFormat="1" ht="15.75" customHeight="1">
      <c r="A830" s="15"/>
    </row>
    <row r="831" spans="1:1" customFormat="1" ht="15.75" customHeight="1">
      <c r="A831" s="15"/>
    </row>
    <row r="832" spans="1:1" customFormat="1" ht="15.75" customHeight="1">
      <c r="A832" s="15"/>
    </row>
    <row r="833" spans="1:1" customFormat="1" ht="15.75" customHeight="1">
      <c r="A833" s="15"/>
    </row>
    <row r="834" spans="1:1" customFormat="1" ht="15.75" customHeight="1">
      <c r="A834" s="15"/>
    </row>
    <row r="835" spans="1:1" customFormat="1" ht="15.75" customHeight="1">
      <c r="A835" s="15"/>
    </row>
    <row r="836" spans="1:1" customFormat="1" ht="15.75" customHeight="1">
      <c r="A836" s="15"/>
    </row>
    <row r="837" spans="1:1" customFormat="1" ht="15.75" customHeight="1">
      <c r="A837" s="15"/>
    </row>
    <row r="838" spans="1:1" customFormat="1" ht="15.75" customHeight="1">
      <c r="A838" s="15"/>
    </row>
    <row r="839" spans="1:1" customFormat="1" ht="15.75" customHeight="1">
      <c r="A839" s="15"/>
    </row>
    <row r="840" spans="1:1" customFormat="1" ht="15.75" customHeight="1">
      <c r="A840" s="15"/>
    </row>
    <row r="841" spans="1:1" customFormat="1" ht="15.75" customHeight="1">
      <c r="A841" s="15"/>
    </row>
    <row r="842" spans="1:1" customFormat="1" ht="15.75" customHeight="1">
      <c r="A842" s="15"/>
    </row>
    <row r="843" spans="1:1" customFormat="1" ht="15.75" customHeight="1">
      <c r="A843" s="15"/>
    </row>
    <row r="844" spans="1:1" customFormat="1" ht="15.75" customHeight="1">
      <c r="A844" s="15"/>
    </row>
    <row r="845" spans="1:1" customFormat="1" ht="15.75" customHeight="1">
      <c r="A845" s="15"/>
    </row>
    <row r="846" spans="1:1" customFormat="1" ht="15.75" customHeight="1">
      <c r="A846" s="15"/>
    </row>
    <row r="847" spans="1:1" customFormat="1" ht="15.75" customHeight="1">
      <c r="A847" s="15"/>
    </row>
    <row r="848" spans="1:1" customFormat="1" ht="15.75" customHeight="1">
      <c r="A848" s="15"/>
    </row>
    <row r="849" spans="1:1" customFormat="1" ht="15.75" customHeight="1">
      <c r="A849" s="15"/>
    </row>
    <row r="850" spans="1:1" customFormat="1" ht="15.75" customHeight="1">
      <c r="A850" s="15"/>
    </row>
    <row r="851" spans="1:1" customFormat="1" ht="15.75" customHeight="1">
      <c r="A851" s="15"/>
    </row>
    <row r="852" spans="1:1" customFormat="1" ht="15.75" customHeight="1">
      <c r="A852" s="15"/>
    </row>
    <row r="853" spans="1:1" customFormat="1" ht="15.75" customHeight="1">
      <c r="A853" s="15"/>
    </row>
    <row r="854" spans="1:1" customFormat="1" ht="15.75" customHeight="1">
      <c r="A854" s="15"/>
    </row>
    <row r="855" spans="1:1" customFormat="1" ht="15.75" customHeight="1">
      <c r="A855" s="15"/>
    </row>
    <row r="856" spans="1:1" customFormat="1" ht="15.75" customHeight="1">
      <c r="A856" s="15"/>
    </row>
    <row r="857" spans="1:1" customFormat="1" ht="15.75" customHeight="1">
      <c r="A857" s="15"/>
    </row>
    <row r="858" spans="1:1" customFormat="1" ht="15.75" customHeight="1">
      <c r="A858" s="15"/>
    </row>
    <row r="859" spans="1:1" customFormat="1" ht="15.75" customHeight="1">
      <c r="A859" s="15"/>
    </row>
    <row r="860" spans="1:1" customFormat="1" ht="15.75" customHeight="1">
      <c r="A860" s="15"/>
    </row>
    <row r="861" spans="1:1" customFormat="1" ht="15.75" customHeight="1">
      <c r="A861" s="15"/>
    </row>
    <row r="862" spans="1:1" customFormat="1" ht="15.75" customHeight="1">
      <c r="A862" s="15"/>
    </row>
    <row r="863" spans="1:1" customFormat="1" ht="15.75" customHeight="1">
      <c r="A863" s="15"/>
    </row>
    <row r="864" spans="1:1" customFormat="1" ht="15.75" customHeight="1">
      <c r="A864" s="15"/>
    </row>
    <row r="865" spans="1:1" customFormat="1" ht="15.75" customHeight="1">
      <c r="A865" s="15"/>
    </row>
    <row r="866" spans="1:1" customFormat="1" ht="15.75" customHeight="1">
      <c r="A866" s="15"/>
    </row>
    <row r="867" spans="1:1" customFormat="1" ht="15.75" customHeight="1">
      <c r="A867" s="15"/>
    </row>
    <row r="868" spans="1:1" customFormat="1" ht="15.75" customHeight="1">
      <c r="A868" s="15"/>
    </row>
    <row r="869" spans="1:1" customFormat="1" ht="15.75" customHeight="1">
      <c r="A869" s="15"/>
    </row>
    <row r="870" spans="1:1" customFormat="1" ht="15.75" customHeight="1">
      <c r="A870" s="15"/>
    </row>
    <row r="871" spans="1:1" customFormat="1" ht="15.75" customHeight="1">
      <c r="A871" s="15"/>
    </row>
    <row r="872" spans="1:1" customFormat="1" ht="15.75" customHeight="1">
      <c r="A872" s="15"/>
    </row>
    <row r="873" spans="1:1" customFormat="1" ht="15.75" customHeight="1">
      <c r="A873" s="15"/>
    </row>
    <row r="874" spans="1:1" customFormat="1" ht="15.75" customHeight="1">
      <c r="A874" s="15"/>
    </row>
    <row r="875" spans="1:1" customFormat="1" ht="15.75" customHeight="1">
      <c r="A875" s="15"/>
    </row>
    <row r="876" spans="1:1" customFormat="1" ht="15.75" customHeight="1">
      <c r="A876" s="15"/>
    </row>
    <row r="877" spans="1:1" customFormat="1" ht="15.75" customHeight="1">
      <c r="A877" s="15"/>
    </row>
    <row r="878" spans="1:1" customFormat="1" ht="15.75" customHeight="1">
      <c r="A878" s="15"/>
    </row>
    <row r="879" spans="1:1" customFormat="1" ht="15.75" customHeight="1">
      <c r="A879" s="15"/>
    </row>
    <row r="880" spans="1:1" customFormat="1" ht="15.75" customHeight="1">
      <c r="A880" s="15"/>
    </row>
    <row r="881" spans="1:1" customFormat="1" ht="15.75" customHeight="1">
      <c r="A881" s="15"/>
    </row>
    <row r="882" spans="1:1" customFormat="1" ht="15.75" customHeight="1">
      <c r="A882" s="15"/>
    </row>
    <row r="883" spans="1:1" customFormat="1" ht="15.75" customHeight="1">
      <c r="A883" s="15"/>
    </row>
    <row r="884" spans="1:1" customFormat="1" ht="15.75" customHeight="1">
      <c r="A884" s="15"/>
    </row>
    <row r="885" spans="1:1" customFormat="1" ht="15.75" customHeight="1">
      <c r="A885" s="15"/>
    </row>
    <row r="886" spans="1:1" customFormat="1" ht="15.75" customHeight="1">
      <c r="A886" s="15"/>
    </row>
    <row r="887" spans="1:1" customFormat="1" ht="15.75" customHeight="1">
      <c r="A887" s="15"/>
    </row>
    <row r="888" spans="1:1" customFormat="1" ht="15.75" customHeight="1">
      <c r="A888" s="15"/>
    </row>
    <row r="889" spans="1:1" customFormat="1" ht="15.75" customHeight="1">
      <c r="A889" s="15"/>
    </row>
    <row r="890" spans="1:1" customFormat="1" ht="15.75" customHeight="1">
      <c r="A890" s="15"/>
    </row>
    <row r="891" spans="1:1" customFormat="1" ht="15.75" customHeight="1">
      <c r="A891" s="15"/>
    </row>
    <row r="892" spans="1:1" customFormat="1" ht="15.75" customHeight="1">
      <c r="A892" s="15"/>
    </row>
    <row r="893" spans="1:1" customFormat="1" ht="15.75" customHeight="1">
      <c r="A893" s="15"/>
    </row>
    <row r="894" spans="1:1" customFormat="1" ht="15.75" customHeight="1">
      <c r="A894" s="15"/>
    </row>
    <row r="895" spans="1:1" customFormat="1" ht="15.75" customHeight="1">
      <c r="A895" s="15"/>
    </row>
    <row r="896" spans="1:1" customFormat="1" ht="15.75" customHeight="1">
      <c r="A896" s="15"/>
    </row>
    <row r="897" spans="1:1" customFormat="1" ht="15.75" customHeight="1">
      <c r="A897" s="15"/>
    </row>
    <row r="898" spans="1:1" customFormat="1" ht="15.75" customHeight="1">
      <c r="A898" s="15"/>
    </row>
    <row r="899" spans="1:1" customFormat="1" ht="15.75" customHeight="1">
      <c r="A899" s="15"/>
    </row>
    <row r="900" spans="1:1" customFormat="1" ht="15.75" customHeight="1">
      <c r="A900" s="15"/>
    </row>
    <row r="901" spans="1:1" customFormat="1" ht="15.75" customHeight="1">
      <c r="A901" s="15"/>
    </row>
    <row r="902" spans="1:1" customFormat="1" ht="15.75" customHeight="1">
      <c r="A902" s="15"/>
    </row>
    <row r="903" spans="1:1" customFormat="1" ht="15.75" customHeight="1">
      <c r="A903" s="15"/>
    </row>
    <row r="904" spans="1:1" customFormat="1" ht="15.75" customHeight="1">
      <c r="A904" s="15"/>
    </row>
    <row r="905" spans="1:1" customFormat="1" ht="15.75" customHeight="1">
      <c r="A905" s="15"/>
    </row>
    <row r="906" spans="1:1" customFormat="1" ht="15.75" customHeight="1">
      <c r="A906" s="15"/>
    </row>
    <row r="907" spans="1:1" customFormat="1" ht="15.75" customHeight="1">
      <c r="A907" s="15"/>
    </row>
    <row r="908" spans="1:1" customFormat="1" ht="15.75" customHeight="1">
      <c r="A908" s="15"/>
    </row>
    <row r="909" spans="1:1" customFormat="1" ht="15.75" customHeight="1">
      <c r="A909" s="15"/>
    </row>
    <row r="910" spans="1:1" customFormat="1" ht="15.75" customHeight="1">
      <c r="A910" s="15"/>
    </row>
    <row r="911" spans="1:1" customFormat="1" ht="15.75" customHeight="1">
      <c r="A911" s="15"/>
    </row>
    <row r="912" spans="1:1" customFormat="1" ht="15.75" customHeight="1">
      <c r="A912" s="15"/>
    </row>
    <row r="913" spans="1:1" customFormat="1" ht="15.75" customHeight="1">
      <c r="A913" s="15"/>
    </row>
    <row r="914" spans="1:1" customFormat="1" ht="15.75" customHeight="1">
      <c r="A914" s="15"/>
    </row>
    <row r="915" spans="1:1" customFormat="1" ht="15.75" customHeight="1">
      <c r="A915" s="15"/>
    </row>
    <row r="916" spans="1:1" customFormat="1" ht="15.75" customHeight="1">
      <c r="A916" s="15"/>
    </row>
    <row r="917" spans="1:1" customFormat="1" ht="15.75" customHeight="1">
      <c r="A917" s="15"/>
    </row>
    <row r="918" spans="1:1" customFormat="1" ht="15.75" customHeight="1">
      <c r="A918" s="15"/>
    </row>
    <row r="919" spans="1:1" customFormat="1" ht="15.75" customHeight="1">
      <c r="A919" s="15"/>
    </row>
    <row r="920" spans="1:1" customFormat="1" ht="15.75" customHeight="1">
      <c r="A920" s="15"/>
    </row>
    <row r="921" spans="1:1" customFormat="1" ht="15.75" customHeight="1">
      <c r="A921" s="15"/>
    </row>
    <row r="922" spans="1:1" customFormat="1" ht="15.75" customHeight="1">
      <c r="A922" s="15"/>
    </row>
    <row r="923" spans="1:1" customFormat="1" ht="15.75" customHeight="1">
      <c r="A923" s="15"/>
    </row>
    <row r="924" spans="1:1" customFormat="1" ht="15.75" customHeight="1">
      <c r="A924" s="15"/>
    </row>
    <row r="925" spans="1:1" customFormat="1" ht="15.75" customHeight="1">
      <c r="A925" s="15"/>
    </row>
    <row r="926" spans="1:1" customFormat="1" ht="15.75" customHeight="1">
      <c r="A926" s="15"/>
    </row>
    <row r="927" spans="1:1" customFormat="1" ht="15.75" customHeight="1">
      <c r="A927" s="15"/>
    </row>
    <row r="928" spans="1:1" customFormat="1" ht="15.75" customHeight="1">
      <c r="A928" s="15"/>
    </row>
    <row r="929" spans="1:1" customFormat="1" ht="15.75" customHeight="1">
      <c r="A929" s="15"/>
    </row>
    <row r="930" spans="1:1" customFormat="1" ht="15.75" customHeight="1">
      <c r="A930" s="15"/>
    </row>
    <row r="931" spans="1:1" customFormat="1" ht="15.75" customHeight="1">
      <c r="A931" s="15"/>
    </row>
    <row r="932" spans="1:1" customFormat="1" ht="15.75" customHeight="1">
      <c r="A932" s="15"/>
    </row>
    <row r="933" spans="1:1" customFormat="1" ht="15.75" customHeight="1">
      <c r="A933" s="15"/>
    </row>
    <row r="934" spans="1:1" customFormat="1" ht="15.75" customHeight="1">
      <c r="A934" s="15"/>
    </row>
    <row r="935" spans="1:1" customFormat="1" ht="15.75" customHeight="1">
      <c r="A935" s="15"/>
    </row>
    <row r="936" spans="1:1" customFormat="1" ht="15.75" customHeight="1">
      <c r="A936" s="15"/>
    </row>
    <row r="937" spans="1:1" customFormat="1" ht="15.75" customHeight="1">
      <c r="A937" s="15"/>
    </row>
    <row r="938" spans="1:1" customFormat="1" ht="15.75" customHeight="1">
      <c r="A938" s="15"/>
    </row>
    <row r="939" spans="1:1" customFormat="1" ht="15.75" customHeight="1">
      <c r="A939" s="15"/>
    </row>
    <row r="940" spans="1:1" customFormat="1" ht="15.75" customHeight="1">
      <c r="A940" s="15"/>
    </row>
    <row r="941" spans="1:1" customFormat="1" ht="15.75" customHeight="1">
      <c r="A941" s="15"/>
    </row>
    <row r="942" spans="1:1" customFormat="1" ht="15.75" customHeight="1">
      <c r="A942" s="15"/>
    </row>
    <row r="943" spans="1:1" customFormat="1" ht="15.75" customHeight="1">
      <c r="A943" s="15"/>
    </row>
    <row r="944" spans="1:1" customFormat="1" ht="15.75" customHeight="1">
      <c r="A944" s="15"/>
    </row>
    <row r="945" spans="1:1" customFormat="1" ht="15.75" customHeight="1">
      <c r="A945" s="15"/>
    </row>
    <row r="946" spans="1:1" customFormat="1" ht="15.75" customHeight="1">
      <c r="A946" s="15"/>
    </row>
    <row r="947" spans="1:1" customFormat="1" ht="15.75" customHeight="1">
      <c r="A947" s="15"/>
    </row>
    <row r="948" spans="1:1" customFormat="1" ht="15.75" customHeight="1">
      <c r="A948" s="15"/>
    </row>
    <row r="949" spans="1:1" customFormat="1" ht="15.75" customHeight="1">
      <c r="A949" s="15"/>
    </row>
    <row r="950" spans="1:1" customFormat="1" ht="15.75" customHeight="1">
      <c r="A950" s="15"/>
    </row>
    <row r="951" spans="1:1" customFormat="1" ht="15.75" customHeight="1">
      <c r="A951" s="15"/>
    </row>
    <row r="952" spans="1:1" customFormat="1" ht="15.75" customHeight="1">
      <c r="A952" s="15"/>
    </row>
    <row r="953" spans="1:1" customFormat="1" ht="15.75" customHeight="1">
      <c r="A953" s="15"/>
    </row>
    <row r="954" spans="1:1" customFormat="1" ht="15.75" customHeight="1">
      <c r="A954" s="15"/>
    </row>
    <row r="955" spans="1:1" customFormat="1" ht="15.75" customHeight="1">
      <c r="A955" s="15"/>
    </row>
    <row r="956" spans="1:1" customFormat="1" ht="15.75" customHeight="1">
      <c r="A956" s="15"/>
    </row>
    <row r="957" spans="1:1" customFormat="1" ht="15.75" customHeight="1">
      <c r="A957" s="15"/>
    </row>
    <row r="958" spans="1:1" customFormat="1" ht="15.75" customHeight="1">
      <c r="A958" s="15"/>
    </row>
    <row r="959" spans="1:1" customFormat="1" ht="15.75" customHeight="1">
      <c r="A959" s="15"/>
    </row>
    <row r="960" spans="1:1" customFormat="1" ht="15.75" customHeight="1">
      <c r="A960" s="15"/>
    </row>
    <row r="961" spans="1:1" customFormat="1" ht="15.75" customHeight="1">
      <c r="A961" s="15"/>
    </row>
    <row r="962" spans="1:1" customFormat="1" ht="15.75" customHeight="1">
      <c r="A962" s="15"/>
    </row>
    <row r="963" spans="1:1" customFormat="1" ht="15.75" customHeight="1">
      <c r="A963" s="15"/>
    </row>
    <row r="964" spans="1:1" customFormat="1" ht="15.75" customHeight="1">
      <c r="A964" s="15"/>
    </row>
    <row r="965" spans="1:1" customFormat="1" ht="15.75" customHeight="1">
      <c r="A965" s="15"/>
    </row>
    <row r="966" spans="1:1" customFormat="1" ht="15.75" customHeight="1">
      <c r="A966" s="15"/>
    </row>
    <row r="967" spans="1:1" customFormat="1" ht="15.75" customHeight="1">
      <c r="A967" s="15"/>
    </row>
    <row r="968" spans="1:1" customFormat="1" ht="15.75" customHeight="1">
      <c r="A968" s="15"/>
    </row>
    <row r="969" spans="1:1" customFormat="1" ht="15.75" customHeight="1">
      <c r="A969" s="15"/>
    </row>
    <row r="970" spans="1:1" customFormat="1" ht="15.75" customHeight="1">
      <c r="A970" s="15"/>
    </row>
    <row r="971" spans="1:1" customFormat="1" ht="15.75" customHeight="1">
      <c r="A971" s="15"/>
    </row>
    <row r="972" spans="1:1" customFormat="1" ht="15.75" customHeight="1">
      <c r="A972" s="15"/>
    </row>
    <row r="973" spans="1:1" customFormat="1" ht="15.75" customHeight="1">
      <c r="A973" s="15"/>
    </row>
    <row r="974" spans="1:1" customFormat="1" ht="15.75" customHeight="1">
      <c r="A974" s="15"/>
    </row>
    <row r="975" spans="1:1" customFormat="1" ht="15.75" customHeight="1">
      <c r="A975" s="15"/>
    </row>
    <row r="976" spans="1:1" customFormat="1" ht="15.75" customHeight="1">
      <c r="A976" s="15"/>
    </row>
    <row r="977" spans="1:1" customFormat="1" ht="15.75" customHeight="1">
      <c r="A977" s="15"/>
    </row>
    <row r="978" spans="1:1" customFormat="1" ht="15.75" customHeight="1">
      <c r="A978" s="15"/>
    </row>
    <row r="979" spans="1:1" customFormat="1" ht="15.75" customHeight="1">
      <c r="A979" s="15"/>
    </row>
    <row r="980" spans="1:1" customFormat="1" ht="15.75" customHeight="1">
      <c r="A980" s="15"/>
    </row>
    <row r="981" spans="1:1" customFormat="1" ht="15.75" customHeight="1">
      <c r="A981" s="15"/>
    </row>
    <row r="982" spans="1:1" customFormat="1" ht="15.75" customHeight="1">
      <c r="A982" s="15"/>
    </row>
    <row r="983" spans="1:1" customFormat="1" ht="15.75" customHeight="1">
      <c r="A983" s="15"/>
    </row>
    <row r="984" spans="1:1" customFormat="1" ht="15.75" customHeight="1">
      <c r="A984" s="15"/>
    </row>
    <row r="985" spans="1:1" customFormat="1" ht="15.75" customHeight="1">
      <c r="A985" s="15"/>
    </row>
    <row r="986" spans="1:1" customFormat="1" ht="15.75" customHeight="1">
      <c r="A986" s="15"/>
    </row>
    <row r="987" spans="1:1" customFormat="1" ht="15.75" customHeight="1">
      <c r="A987" s="15"/>
    </row>
    <row r="988" spans="1:1" customFormat="1" ht="15.75" customHeight="1">
      <c r="A988" s="15"/>
    </row>
    <row r="989" spans="1:1" customFormat="1" ht="15.75" customHeight="1">
      <c r="A989" s="15"/>
    </row>
    <row r="990" spans="1:1" customFormat="1" ht="15.75" customHeight="1">
      <c r="A990" s="15"/>
    </row>
    <row r="991" spans="1:1" customFormat="1" ht="15.75" customHeight="1">
      <c r="A991" s="15"/>
    </row>
    <row r="992" spans="1:1" customFormat="1" ht="15.75" customHeight="1">
      <c r="A992" s="15"/>
    </row>
    <row r="993" spans="1:1" customFormat="1" ht="15.75" customHeight="1">
      <c r="A993" s="15"/>
    </row>
    <row r="994" spans="1:1" customFormat="1" ht="15.75" customHeight="1">
      <c r="A994" s="15"/>
    </row>
    <row r="995" spans="1:1" customFormat="1" ht="15.75" customHeight="1">
      <c r="A995" s="15"/>
    </row>
    <row r="996" spans="1:1" customFormat="1" ht="15.75" customHeight="1">
      <c r="A996" s="15"/>
    </row>
    <row r="997" spans="1:1" customFormat="1" ht="15.75" customHeight="1">
      <c r="A997" s="15"/>
    </row>
    <row r="998" spans="1:1" customFormat="1" ht="15.75" customHeight="1">
      <c r="A998" s="15"/>
    </row>
    <row r="999" spans="1:1" customFormat="1" ht="15.75" customHeight="1">
      <c r="A999" s="15"/>
    </row>
    <row r="1000" spans="1:1" customFormat="1" ht="15.75" customHeight="1">
      <c r="A1000" s="15"/>
    </row>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7A03906-1938-4B62-9E29-F1E0BB2702B6}">
  <ds:schemaRefs/>
</ds:datastoreItem>
</file>

<file path=customXml/itemProps2.xml><?xml version="1.0" encoding="utf-8"?>
<ds:datastoreItem xmlns:ds="http://schemas.openxmlformats.org/officeDocument/2006/customXml" ds:itemID="{163B506A-528F-4B3F-8A9D-823E04C58604}">
  <ds:schemaRefs/>
</ds:datastoreItem>
</file>

<file path=customXml/itemProps3.xml><?xml version="1.0" encoding="utf-8"?>
<ds:datastoreItem xmlns:ds="http://schemas.openxmlformats.org/officeDocument/2006/customXml" ds:itemID="{7B8D0CAD-1677-4C6A-B507-919F76C2F493}">
  <ds:schemaRefs/>
</ds:datastoreItem>
</file>

<file path=customXml/itemProps4.xml><?xml version="1.0" encoding="utf-8"?>
<ds:datastoreItem xmlns:ds="http://schemas.openxmlformats.org/officeDocument/2006/customXml" ds:itemID="{0FD9E60A-9DDE-4360-882D-ED6BF907F6F7}">
  <ds:schemaRefs/>
</ds:datastoreItem>
</file>

<file path=customXml/itemProps5.xml><?xml version="1.0" encoding="utf-8"?>
<ds:datastoreItem xmlns:ds="http://schemas.openxmlformats.org/officeDocument/2006/customXml" ds:itemID="{4AD170AC-1010-40CB-9188-E9146AF7652E}">
  <ds:schemaRefs/>
</ds:datastoreItem>
</file>

<file path=customXml/itemProps6.xml><?xml version="1.0" encoding="utf-8"?>
<ds:datastoreItem xmlns:ds="http://schemas.openxmlformats.org/officeDocument/2006/customXml" ds:itemID="{69806076-15F4-426F-8BF4-3714DDCD0456}">
  <ds:schemaRefs/>
</ds:datastoreItem>
</file>

<file path=customXml/itemProps7.xml><?xml version="1.0" encoding="utf-8"?>
<ds:datastoreItem xmlns:ds="http://schemas.openxmlformats.org/officeDocument/2006/customXml" ds:itemID="{5DB03FE1-8C34-4FCF-BA2A-E8AA619D04EA}">
  <ds:schemaRefs/>
</ds:datastoreItem>
</file>

<file path=customXml/itemProps8.xml><?xml version="1.0" encoding="utf-8"?>
<ds:datastoreItem xmlns:ds="http://schemas.openxmlformats.org/officeDocument/2006/customXml" ds:itemID="{539BD626-01C3-4D7A-B036-618129A98FDA}">
  <ds:schemaRefs/>
</ds:datastoreItem>
</file>

<file path=customXml/itemProps9.xml><?xml version="1.0" encoding="utf-8"?>
<ds:datastoreItem xmlns:ds="http://schemas.openxmlformats.org/officeDocument/2006/customXml" ds:itemID="{23125E5B-7737-4141-B9B1-D8B999A687BE}">
  <ds:schemaRefs/>
</ds:datastoreItem>
</file>

<file path=customXml/itemProps10.xml><?xml version="1.0" encoding="utf-8"?>
<ds:datastoreItem xmlns:ds="http://schemas.openxmlformats.org/officeDocument/2006/customXml" ds:itemID="{06DC2391-8EBE-46C9-A9DE-70D6FDBFCEBE}">
  <ds:schemaRefs/>
</ds:datastoreItem>
</file>

<file path=customXml/itemProps11.xml><?xml version="1.0" encoding="utf-8"?>
<ds:datastoreItem xmlns:ds="http://schemas.openxmlformats.org/officeDocument/2006/customXml" ds:itemID="{B399283C-DD99-4F17-B722-AC5F8DA7BBEC}">
  <ds:schemaRefs/>
</ds:datastoreItem>
</file>

<file path=customXml/itemProps12.xml><?xml version="1.0" encoding="utf-8"?>
<ds:datastoreItem xmlns:ds="http://schemas.openxmlformats.org/officeDocument/2006/customXml" ds:itemID="{ECA3C267-6589-43D8-A391-AE8D16B8897F}">
  <ds:schemaRefs/>
</ds:datastoreItem>
</file>

<file path=customXml/itemProps13.xml><?xml version="1.0" encoding="utf-8"?>
<ds:datastoreItem xmlns:ds="http://schemas.openxmlformats.org/officeDocument/2006/customXml" ds:itemID="{24D3EC88-6682-4490-8D7B-488453E36760}">
  <ds:schemaRefs/>
</ds:datastoreItem>
</file>

<file path=customXml/itemProps14.xml><?xml version="1.0" encoding="utf-8"?>
<ds:datastoreItem xmlns:ds="http://schemas.openxmlformats.org/officeDocument/2006/customXml" ds:itemID="{D49D0CBE-FB50-4B44-8E6C-9B6ADE1DDD85}">
  <ds:schemaRefs/>
</ds:datastoreItem>
</file>

<file path=customXml/itemProps15.xml><?xml version="1.0" encoding="utf-8"?>
<ds:datastoreItem xmlns:ds="http://schemas.openxmlformats.org/officeDocument/2006/customXml" ds:itemID="{21A96A10-5159-4101-85F1-7A6725157392}">
  <ds:schemaRefs/>
</ds:datastoreItem>
</file>

<file path=customXml/itemProps16.xml><?xml version="1.0" encoding="utf-8"?>
<ds:datastoreItem xmlns:ds="http://schemas.openxmlformats.org/officeDocument/2006/customXml" ds:itemID="{147171D9-467B-4520-B1AB-4311837D7520}">
  <ds:schemaRefs/>
</ds:datastoreItem>
</file>

<file path=customXml/itemProps17.xml><?xml version="1.0" encoding="utf-8"?>
<ds:datastoreItem xmlns:ds="http://schemas.openxmlformats.org/officeDocument/2006/customXml" ds:itemID="{92DDE0C5-4E9B-4385-9470-2E4C0DE8C701}">
  <ds:schemaRefs/>
</ds:datastoreItem>
</file>

<file path=customXml/itemProps18.xml><?xml version="1.0" encoding="utf-8"?>
<ds:datastoreItem xmlns:ds="http://schemas.openxmlformats.org/officeDocument/2006/customXml" ds:itemID="{5A3C2E83-DAB6-4BBF-974F-ECC181671061}">
  <ds:schemaRefs/>
</ds:datastoreItem>
</file>

<file path=customXml/itemProps19.xml><?xml version="1.0" encoding="utf-8"?>
<ds:datastoreItem xmlns:ds="http://schemas.openxmlformats.org/officeDocument/2006/customXml" ds:itemID="{D8A6E312-A266-47DA-8E9C-D252833AF7F7}">
  <ds:schemaRefs/>
</ds:datastoreItem>
</file>

<file path=customXml/itemProps20.xml><?xml version="1.0" encoding="utf-8"?>
<ds:datastoreItem xmlns:ds="http://schemas.openxmlformats.org/officeDocument/2006/customXml" ds:itemID="{09D15ADE-02E6-46C6-9070-42B064958943}">
  <ds:schemaRefs/>
</ds:datastoreItem>
</file>

<file path=customXml/itemProps21.xml><?xml version="1.0" encoding="utf-8"?>
<ds:datastoreItem xmlns:ds="http://schemas.openxmlformats.org/officeDocument/2006/customXml" ds:itemID="{8A4EB599-00EA-4950-B368-C9CB8A06F6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Follower growth analysis</vt:lpstr>
      <vt:lpstr>video link </vt:lpstr>
      <vt:lpstr>Engagement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Mudabir Lateef</dc:creator>
  <cp:lastModifiedBy>Mudabir Lateef</cp:lastModifiedBy>
  <dcterms:created xsi:type="dcterms:W3CDTF">2015-06-05T18:17:20Z</dcterms:created>
  <dcterms:modified xsi:type="dcterms:W3CDTF">2026-02-21T04:53:42Z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
  </property>
  <property fmtid="{D5CDD505-2E9C-101B-9397-08002B2CF9AE}" pid="3" name="Workbook type">
    <vt:lpwstr/>
  </property>
  <property fmtid="{D5CDD505-2E9C-101B-9397-08002B2CF9AE}" pid="4" name="Workbook version">
    <vt:lpwstr/>
  </property>
</Properties>
</file>