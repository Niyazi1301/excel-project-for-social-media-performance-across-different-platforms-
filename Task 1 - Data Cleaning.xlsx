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0461eba42148713/Dokumen/Spotify_Social_Media_Analytics_Project/"/>
    </mc:Choice>
  </mc:AlternateContent>
  <xr:revisionPtr revIDLastSave="39" documentId="11_F25DC773A252ABDACC1048FAA99C486C5BDE58ED" xr6:coauthVersionLast="47" xr6:coauthVersionMax="47" xr10:uidLastSave="{25C46E34-12C3-4848-AC76-A3A82825FEED}"/>
  <bookViews>
    <workbookView xWindow="-120" yWindow="-120" windowWidth="20730" windowHeight="11760" activeTab="3" xr2:uid="{00000000-000D-0000-FFFF-FFFF00000000}"/>
  </bookViews>
  <sheets>
    <sheet name="Posts" sheetId="5" r:id="rId1"/>
    <sheet name="Campaign Metadata " sheetId="10" r:id="rId2"/>
    <sheet name="Engagement Summary" sheetId="6" r:id="rId3"/>
    <sheet name="hashtag splitting" sheetId="9" r:id="rId4"/>
  </sheets>
  <definedNames>
    <definedName name="ExternalData_1" localSheetId="3" hidden="1">'hashtag splitting'!$A$1:$B$484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5" l="1"/>
  <c r="P26" i="5"/>
  <c r="P34" i="5"/>
  <c r="P54" i="5"/>
  <c r="P62" i="5"/>
  <c r="P74" i="5"/>
  <c r="P82" i="5"/>
  <c r="P98" i="5"/>
  <c r="P102" i="5"/>
  <c r="P118" i="5"/>
  <c r="P126" i="5"/>
  <c r="P138" i="5"/>
  <c r="P146" i="5"/>
  <c r="P162" i="5"/>
  <c r="P166" i="5"/>
  <c r="P182" i="5"/>
  <c r="P190" i="5"/>
  <c r="P202" i="5"/>
  <c r="P210" i="5"/>
  <c r="P226" i="5"/>
  <c r="P230" i="5"/>
  <c r="P246" i="5"/>
  <c r="P254" i="5"/>
  <c r="P266" i="5"/>
  <c r="P274" i="5"/>
  <c r="P290" i="5"/>
  <c r="P294" i="5"/>
  <c r="O3" i="5"/>
  <c r="O4" i="5"/>
  <c r="O5" i="5"/>
  <c r="O6" i="5"/>
  <c r="O7" i="5"/>
  <c r="O8" i="5"/>
  <c r="O9" i="5"/>
  <c r="O10" i="5"/>
  <c r="O11" i="5"/>
  <c r="O12" i="5"/>
  <c r="O13" i="5"/>
  <c r="O14" i="5"/>
  <c r="P14" i="5" s="1"/>
  <c r="O15" i="5"/>
  <c r="O16" i="5"/>
  <c r="O17" i="5"/>
  <c r="O18" i="5"/>
  <c r="P18" i="5" s="1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P42" i="5" s="1"/>
  <c r="O43" i="5"/>
  <c r="O44" i="5"/>
  <c r="O45" i="5"/>
  <c r="O46" i="5"/>
  <c r="O47" i="5"/>
  <c r="O48" i="5"/>
  <c r="O49" i="5"/>
  <c r="O50" i="5"/>
  <c r="P50" i="5" s="1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P66" i="5" s="1"/>
  <c r="O67" i="5"/>
  <c r="O68" i="5"/>
  <c r="O69" i="5"/>
  <c r="O70" i="5"/>
  <c r="P70" i="5" s="1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P86" i="5" s="1"/>
  <c r="O87" i="5"/>
  <c r="O88" i="5"/>
  <c r="O89" i="5"/>
  <c r="O90" i="5"/>
  <c r="O91" i="5"/>
  <c r="O92" i="5"/>
  <c r="O93" i="5"/>
  <c r="O94" i="5"/>
  <c r="P94" i="5" s="1"/>
  <c r="O95" i="5"/>
  <c r="O96" i="5"/>
  <c r="O97" i="5"/>
  <c r="O98" i="5"/>
  <c r="O99" i="5"/>
  <c r="O100" i="5"/>
  <c r="O101" i="5"/>
  <c r="O102" i="5"/>
  <c r="O103" i="5"/>
  <c r="O104" i="5"/>
  <c r="O105" i="5"/>
  <c r="O106" i="5"/>
  <c r="P106" i="5" s="1"/>
  <c r="O107" i="5"/>
  <c r="O108" i="5"/>
  <c r="O109" i="5"/>
  <c r="O110" i="5"/>
  <c r="O111" i="5"/>
  <c r="O112" i="5"/>
  <c r="O113" i="5"/>
  <c r="O114" i="5"/>
  <c r="P114" i="5" s="1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P130" i="5" s="1"/>
  <c r="O131" i="5"/>
  <c r="O132" i="5"/>
  <c r="O133" i="5"/>
  <c r="O134" i="5"/>
  <c r="P134" i="5" s="1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P150" i="5" s="1"/>
  <c r="O151" i="5"/>
  <c r="O152" i="5"/>
  <c r="O153" i="5"/>
  <c r="O154" i="5"/>
  <c r="O155" i="5"/>
  <c r="O156" i="5"/>
  <c r="O157" i="5"/>
  <c r="O158" i="5"/>
  <c r="P158" i="5" s="1"/>
  <c r="O159" i="5"/>
  <c r="O160" i="5"/>
  <c r="O161" i="5"/>
  <c r="O162" i="5"/>
  <c r="O163" i="5"/>
  <c r="O164" i="5"/>
  <c r="O165" i="5"/>
  <c r="O166" i="5"/>
  <c r="O167" i="5"/>
  <c r="O168" i="5"/>
  <c r="O169" i="5"/>
  <c r="O170" i="5"/>
  <c r="P170" i="5" s="1"/>
  <c r="O171" i="5"/>
  <c r="O172" i="5"/>
  <c r="O173" i="5"/>
  <c r="O174" i="5"/>
  <c r="O175" i="5"/>
  <c r="O176" i="5"/>
  <c r="O177" i="5"/>
  <c r="O178" i="5"/>
  <c r="P178" i="5" s="1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P194" i="5" s="1"/>
  <c r="O195" i="5"/>
  <c r="O196" i="5"/>
  <c r="O197" i="5"/>
  <c r="O198" i="5"/>
  <c r="P198" i="5" s="1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P214" i="5" s="1"/>
  <c r="O215" i="5"/>
  <c r="O216" i="5"/>
  <c r="O217" i="5"/>
  <c r="O218" i="5"/>
  <c r="O219" i="5"/>
  <c r="O220" i="5"/>
  <c r="O221" i="5"/>
  <c r="O222" i="5"/>
  <c r="P222" i="5" s="1"/>
  <c r="O223" i="5"/>
  <c r="O224" i="5"/>
  <c r="O225" i="5"/>
  <c r="O226" i="5"/>
  <c r="O227" i="5"/>
  <c r="O228" i="5"/>
  <c r="O229" i="5"/>
  <c r="O230" i="5"/>
  <c r="O231" i="5"/>
  <c r="O232" i="5"/>
  <c r="O233" i="5"/>
  <c r="O234" i="5"/>
  <c r="P234" i="5" s="1"/>
  <c r="O235" i="5"/>
  <c r="O236" i="5"/>
  <c r="O237" i="5"/>
  <c r="O238" i="5"/>
  <c r="O239" i="5"/>
  <c r="O240" i="5"/>
  <c r="O241" i="5"/>
  <c r="O242" i="5"/>
  <c r="P242" i="5" s="1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P258" i="5" s="1"/>
  <c r="O259" i="5"/>
  <c r="O260" i="5"/>
  <c r="O261" i="5"/>
  <c r="O262" i="5"/>
  <c r="P262" i="5" s="1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P278" i="5" s="1"/>
  <c r="O279" i="5"/>
  <c r="O280" i="5"/>
  <c r="O281" i="5"/>
  <c r="O282" i="5"/>
  <c r="O283" i="5"/>
  <c r="O284" i="5"/>
  <c r="O285" i="5"/>
  <c r="O286" i="5"/>
  <c r="P286" i="5" s="1"/>
  <c r="O287" i="5"/>
  <c r="O288" i="5"/>
  <c r="O289" i="5"/>
  <c r="O290" i="5"/>
  <c r="O291" i="5"/>
  <c r="O292" i="5"/>
  <c r="O293" i="5"/>
  <c r="O294" i="5"/>
  <c r="O295" i="5"/>
  <c r="O296" i="5"/>
  <c r="O297" i="5"/>
  <c r="O298" i="5"/>
  <c r="P298" i="5" s="1"/>
  <c r="O299" i="5"/>
  <c r="O300" i="5"/>
  <c r="O30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E5" i="10"/>
  <c r="E4" i="10"/>
  <c r="E3" i="10"/>
  <c r="E2" i="10"/>
  <c r="E1" i="10"/>
  <c r="I4" i="6"/>
  <c r="Q45" i="5"/>
  <c r="Q47" i="5"/>
  <c r="P301" i="5" l="1"/>
  <c r="P293" i="5"/>
  <c r="P285" i="5"/>
  <c r="P277" i="5"/>
  <c r="P269" i="5"/>
  <c r="P261" i="5"/>
  <c r="P253" i="5"/>
  <c r="P245" i="5"/>
  <c r="P237" i="5"/>
  <c r="P229" i="5"/>
  <c r="P221" i="5"/>
  <c r="P213" i="5"/>
  <c r="P205" i="5"/>
  <c r="P197" i="5"/>
  <c r="P189" i="5"/>
  <c r="P181" i="5"/>
  <c r="P173" i="5"/>
  <c r="P165" i="5"/>
  <c r="P109" i="5"/>
  <c r="P61" i="5"/>
  <c r="P296" i="5"/>
  <c r="P288" i="5"/>
  <c r="P280" i="5"/>
  <c r="P272" i="5"/>
  <c r="P264" i="5"/>
  <c r="P256" i="5"/>
  <c r="P248" i="5"/>
  <c r="P240" i="5"/>
  <c r="P228" i="5"/>
  <c r="P220" i="5"/>
  <c r="P212" i="5"/>
  <c r="P204" i="5"/>
  <c r="P196" i="5"/>
  <c r="P188" i="5"/>
  <c r="P180" i="5"/>
  <c r="P168" i="5"/>
  <c r="P160" i="5"/>
  <c r="P152" i="5"/>
  <c r="P144" i="5"/>
  <c r="P136" i="5"/>
  <c r="P128" i="5"/>
  <c r="P120" i="5"/>
  <c r="P112" i="5"/>
  <c r="P104" i="5"/>
  <c r="P92" i="5"/>
  <c r="P84" i="5"/>
  <c r="P76" i="5"/>
  <c r="P68" i="5"/>
  <c r="P60" i="5"/>
  <c r="P52" i="5"/>
  <c r="P48" i="5"/>
  <c r="P36" i="5"/>
  <c r="P28" i="5"/>
  <c r="P20" i="5"/>
  <c r="P12" i="5"/>
  <c r="P8" i="5"/>
  <c r="P23" i="5"/>
  <c r="P19" i="5"/>
  <c r="P15" i="5"/>
  <c r="P11" i="5"/>
  <c r="P7" i="5"/>
  <c r="P3" i="5"/>
  <c r="P157" i="5"/>
  <c r="P149" i="5"/>
  <c r="P141" i="5"/>
  <c r="P133" i="5"/>
  <c r="P125" i="5"/>
  <c r="P117" i="5"/>
  <c r="P101" i="5"/>
  <c r="P93" i="5"/>
  <c r="P85" i="5"/>
  <c r="P77" i="5"/>
  <c r="P69" i="5"/>
  <c r="P53" i="5"/>
  <c r="P45" i="5"/>
  <c r="P300" i="5"/>
  <c r="P292" i="5"/>
  <c r="P284" i="5"/>
  <c r="P276" i="5"/>
  <c r="P268" i="5"/>
  <c r="P260" i="5"/>
  <c r="P252" i="5"/>
  <c r="P244" i="5"/>
  <c r="P236" i="5"/>
  <c r="P232" i="5"/>
  <c r="P224" i="5"/>
  <c r="P216" i="5"/>
  <c r="P208" i="5"/>
  <c r="P200" i="5"/>
  <c r="P192" i="5"/>
  <c r="P184" i="5"/>
  <c r="P176" i="5"/>
  <c r="P172" i="5"/>
  <c r="P164" i="5"/>
  <c r="P156" i="5"/>
  <c r="P148" i="5"/>
  <c r="P140" i="5"/>
  <c r="P132" i="5"/>
  <c r="P124" i="5"/>
  <c r="P116" i="5"/>
  <c r="P108" i="5"/>
  <c r="P100" i="5"/>
  <c r="P96" i="5"/>
  <c r="P88" i="5"/>
  <c r="P80" i="5"/>
  <c r="P72" i="5"/>
  <c r="P64" i="5"/>
  <c r="P56" i="5"/>
  <c r="P44" i="5"/>
  <c r="P40" i="5"/>
  <c r="P32" i="5"/>
  <c r="P24" i="5"/>
  <c r="P16" i="5"/>
  <c r="P4" i="5"/>
  <c r="P2" i="5"/>
  <c r="P282" i="5"/>
  <c r="P270" i="5"/>
  <c r="P250" i="5"/>
  <c r="P238" i="5"/>
  <c r="P218" i="5"/>
  <c r="P206" i="5"/>
  <c r="P186" i="5"/>
  <c r="P174" i="5"/>
  <c r="P154" i="5"/>
  <c r="P142" i="5"/>
  <c r="P122" i="5"/>
  <c r="P110" i="5"/>
  <c r="P90" i="5"/>
  <c r="P78" i="5"/>
  <c r="P58" i="5"/>
  <c r="P46" i="5"/>
  <c r="P30" i="5"/>
  <c r="P10" i="5"/>
  <c r="P297" i="5"/>
  <c r="P289" i="5"/>
  <c r="P281" i="5"/>
  <c r="P273" i="5"/>
  <c r="P265" i="5"/>
  <c r="P257" i="5"/>
  <c r="P249" i="5"/>
  <c r="P241" i="5"/>
  <c r="P233" i="5"/>
  <c r="P225" i="5"/>
  <c r="P217" i="5"/>
  <c r="P209" i="5"/>
  <c r="P201" i="5"/>
  <c r="P193" i="5"/>
  <c r="P185" i="5"/>
  <c r="P177" i="5"/>
  <c r="P169" i="5"/>
  <c r="P161" i="5"/>
  <c r="P153" i="5"/>
  <c r="P145" i="5"/>
  <c r="P137" i="5"/>
  <c r="P129" i="5"/>
  <c r="P121" i="5"/>
  <c r="P113" i="5"/>
  <c r="P105" i="5"/>
  <c r="P97" i="5"/>
  <c r="P89" i="5"/>
  <c r="P81" i="5"/>
  <c r="P73" i="5"/>
  <c r="P65" i="5"/>
  <c r="P57" i="5"/>
  <c r="P49" i="5"/>
  <c r="P41" i="5"/>
  <c r="P37" i="5"/>
  <c r="P33" i="5"/>
  <c r="P29" i="5"/>
  <c r="P25" i="5"/>
  <c r="P21" i="5"/>
  <c r="P17" i="5"/>
  <c r="P13" i="5"/>
  <c r="P9" i="5"/>
  <c r="P5" i="5"/>
  <c r="P299" i="5"/>
  <c r="P295" i="5"/>
  <c r="P291" i="5"/>
  <c r="P287" i="5"/>
  <c r="P283" i="5"/>
  <c r="P279" i="5"/>
  <c r="P275" i="5"/>
  <c r="P271" i="5"/>
  <c r="P267" i="5"/>
  <c r="P263" i="5"/>
  <c r="P259" i="5"/>
  <c r="P255" i="5"/>
  <c r="P251" i="5"/>
  <c r="P247" i="5"/>
  <c r="P243" i="5"/>
  <c r="P239" i="5"/>
  <c r="P235" i="5"/>
  <c r="P231" i="5"/>
  <c r="P227" i="5"/>
  <c r="P38" i="5"/>
  <c r="P22" i="5"/>
  <c r="P6" i="5"/>
  <c r="P223" i="5"/>
  <c r="P219" i="5"/>
  <c r="P215" i="5"/>
  <c r="P211" i="5"/>
  <c r="P207" i="5"/>
  <c r="P203" i="5"/>
  <c r="P199" i="5"/>
  <c r="P195" i="5"/>
  <c r="P191" i="5"/>
  <c r="P187" i="5"/>
  <c r="P183" i="5"/>
  <c r="P179" i="5"/>
  <c r="P175" i="5"/>
  <c r="P171" i="5"/>
  <c r="P167" i="5"/>
  <c r="P163" i="5"/>
  <c r="P159" i="5"/>
  <c r="P155" i="5"/>
  <c r="P151" i="5"/>
  <c r="P147" i="5"/>
  <c r="P143" i="5"/>
  <c r="P139" i="5"/>
  <c r="P135" i="5"/>
  <c r="P131" i="5"/>
  <c r="P127" i="5"/>
  <c r="P123" i="5"/>
  <c r="P119" i="5"/>
  <c r="P115" i="5"/>
  <c r="P111" i="5"/>
  <c r="P107" i="5"/>
  <c r="P103" i="5"/>
  <c r="P99" i="5"/>
  <c r="P95" i="5"/>
  <c r="P91" i="5"/>
  <c r="P87" i="5"/>
  <c r="P83" i="5"/>
  <c r="P79" i="5"/>
  <c r="P75" i="5"/>
  <c r="P71" i="5"/>
  <c r="P67" i="5"/>
  <c r="P63" i="5"/>
  <c r="P59" i="5"/>
  <c r="P55" i="5"/>
  <c r="P51" i="5"/>
  <c r="P47" i="5"/>
  <c r="P43" i="5"/>
  <c r="P39" i="5"/>
  <c r="P35" i="5"/>
  <c r="P31" i="5"/>
  <c r="P2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583C8B-FF95-4067-B939-3A5D68F0A81E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B8745512-6B93-4763-AE88-98E5DE254A30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<sst xmlns="http://schemas.openxmlformats.org/spreadsheetml/2006/main" count="3014" uniqueCount="373">
  <si>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</si>
  <si>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</si>
  <si>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</si>
  <si>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</si>
  <si>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</si>
  <si>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</si>
  <si>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</si>
  <si>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</si>
  <si>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</si>
  <si>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</si>
  <si>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</si>
  <si>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</si>
  <si>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</si>
  <si>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</si>
  <si>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</si>
  <si>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</si>
  <si>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SP002</t>
  </si>
  <si>
    <t>SP003</t>
  </si>
  <si>
    <t>Twitter</t>
  </si>
  <si>
    <t>Story</t>
  </si>
  <si>
    <t>SP004</t>
  </si>
  <si>
    <t>SP005</t>
  </si>
  <si>
    <t>SP006</t>
  </si>
  <si>
    <t>SP007</t>
  </si>
  <si>
    <t>SP008</t>
  </si>
  <si>
    <t>SP009</t>
  </si>
  <si>
    <t>SP010</t>
  </si>
  <si>
    <t>SP011</t>
  </si>
  <si>
    <t>SP012</t>
  </si>
  <si>
    <t>SP013</t>
  </si>
  <si>
    <t>SP014</t>
  </si>
  <si>
    <t>SP015</t>
  </si>
  <si>
    <t>SP016</t>
  </si>
  <si>
    <t>SP017</t>
  </si>
  <si>
    <t>SP018</t>
  </si>
  <si>
    <t>Wrapped2024</t>
  </si>
  <si>
    <t>SP019</t>
  </si>
  <si>
    <t>Reel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</si>
  <si>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</si>
  <si>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</si>
  <si>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</si>
  <si>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</si>
  <si>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</si>
  <si>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</si>
  <si>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</si>
  <si>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</si>
  <si>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</si>
  <si>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</si>
  <si>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</si>
  <si>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</si>
  <si>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</si>
  <si>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</si>
  <si>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</si>
  <si>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</si>
  <si>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</si>
  <si>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</si>
  <si>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</si>
  <si>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</si>
  <si>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</si>
  <si>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</si>
  <si>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</si>
  <si>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</si>
  <si>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</si>
  <si>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</si>
  <si>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</si>
  <si>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</si>
  <si>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</si>
  <si>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</si>
  <si>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</si>
  <si>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</si>
  <si>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</si>
  <si>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</si>
  <si>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</si>
  <si>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</si>
  <si>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</si>
  <si>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</si>
  <si>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</si>
  <si>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</si>
  <si>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</si>
  <si>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</si>
  <si>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</si>
  <si>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</si>
  <si>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</si>
  <si>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</si>
  <si>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</si>
  <si>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</si>
  <si>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</si>
  <si>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</si>
  <si>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</si>
  <si>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</si>
  <si>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</si>
  <si>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</si>
  <si>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</si>
  <si>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</si>
  <si>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</si>
  <si>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</si>
  <si>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</si>
  <si>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</si>
  <si>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</si>
  <si>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</si>
  <si>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</si>
  <si>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</si>
  <si>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</si>
  <si>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</si>
  <si>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</si>
  <si>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</si>
  <si>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</si>
  <si>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</si>
  <si>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</si>
  <si>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</si>
  <si>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</si>
  <si>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</si>
  <si>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</si>
  <si>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</si>
  <si>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</si>
  <si>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</si>
  <si>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</si>
  <si>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</si>
  <si>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</si>
  <si>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</si>
  <si>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</si>
  <si>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</si>
  <si>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</si>
  <si>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</si>
  <si>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</si>
  <si>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</si>
  <si>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</si>
  <si>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</si>
  <si>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</si>
  <si>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</si>
  <si>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</si>
  <si>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</si>
  <si>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</si>
  <si>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</si>
  <si>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</si>
  <si>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</si>
  <si>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</si>
  <si>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</si>
  <si>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</si>
  <si>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</si>
  <si>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</si>
  <si>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</si>
  <si>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</si>
  <si>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</si>
  <si>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</si>
  <si>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</si>
  <si>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</si>
  <si>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</si>
  <si>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</si>
  <si>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</si>
  <si>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</si>
  <si>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</si>
  <si>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</si>
  <si>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</si>
  <si>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</si>
  <si>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</si>
  <si>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</si>
  <si>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</si>
  <si>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</si>
  <si>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</si>
  <si>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</si>
  <si>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</si>
  <si>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</si>
  <si>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</si>
  <si>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</si>
  <si>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</si>
  <si>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</si>
  <si>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</si>
  <si>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</si>
  <si>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</si>
  <si>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</si>
  <si>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</si>
  <si>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</si>
  <si>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</si>
  <si>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</si>
  <si>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</si>
  <si>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</si>
  <si>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</si>
  <si>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</si>
  <si>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</si>
  <si>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</si>
  <si>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</si>
  <si>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</si>
  <si>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</si>
  <si>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</si>
  <si>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</si>
  <si>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</si>
  <si>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</si>
  <si>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</si>
  <si>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</si>
  <si>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</si>
  <si>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</si>
  <si>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</si>
  <si>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</si>
  <si>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</si>
  <si>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</si>
  <si>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</si>
  <si>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</si>
  <si>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</si>
  <si>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</si>
  <si>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</si>
  <si>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</si>
  <si>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</si>
  <si>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</si>
  <si>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</si>
  <si>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</si>
  <si>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</si>
  <si>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</si>
  <si>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</si>
  <si>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</si>
  <si>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</si>
  <si>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</si>
  <si>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</si>
  <si>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</si>
  <si>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</si>
  <si>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</si>
  <si>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</si>
  <si>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</si>
  <si>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</si>
  <si>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</si>
  <si>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</si>
  <si>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</si>
  <si>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</si>
  <si>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</si>
  <si>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</si>
  <si>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</si>
  <si>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</si>
  <si>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</si>
  <si>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</si>
  <si>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</si>
  <si>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</si>
  <si>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</si>
  <si>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</si>
  <si>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</si>
  <si>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</si>
  <si>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</si>
  <si>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</si>
  <si>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</si>
  <si>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</si>
  <si>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</si>
  <si>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</si>
  <si>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</si>
  <si>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</si>
  <si>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</si>
  <si>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</si>
  <si>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</si>
  <si>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</si>
  <si>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</si>
  <si>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</si>
  <si>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</si>
  <si>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</si>
  <si>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</si>
  <si>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</si>
  <si>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</si>
  <si>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</si>
  <si>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</si>
  <si>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</si>
  <si>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</si>
  <si>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</si>
  <si>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</si>
  <si>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</si>
  <si>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</si>
  <si>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</si>
  <si>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</si>
  <si>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</si>
  <si>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</si>
  <si>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</si>
  <si>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</si>
  <si>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</si>
  <si>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</si>
  <si>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</si>
  <si>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</si>
  <si>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</si>
  <si>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</si>
  <si>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</si>
  <si>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</si>
  <si>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</si>
  <si>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</si>
  <si>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</si>
  <si>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</si>
  <si>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</si>
  <si>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</si>
  <si>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</si>
  <si>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</si>
  <si>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</si>
  <si>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</si>
  <si>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</si>
  <si>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</si>
  <si>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</si>
  <si>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</si>
  <si>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</si>
  <si>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</si>
  <si>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</si>
  <si>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</si>
  <si>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</si>
  <si>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</si>
  <si>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</si>
  <si>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</si>
  <si>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</si>
  <si>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</si>
  <si>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</si>
  <si>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</si>
  <si>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</si>
  <si>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</si>
  <si>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</si>
  <si>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</si>
  <si>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</si>
  <si>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</si>
  <si>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</si>
  <si>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</si>
  <si>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</si>
  <si>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</si>
  <si>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</si>
  <si>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</si>
  <si>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</si>
  <si>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</si>
  <si>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</si>
  <si>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</si>
  <si>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</si>
  <si>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</si>
  <si>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</si>
  <si>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</si>
  <si>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</si>
  <si>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</si>
  <si>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</si>
  <si>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</si>
  <si>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</si>
  <si>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</si>
  <si>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</si>
  <si>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</si>
  <si>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</si>
  <si>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</si>
  <si>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Engagement</t>
  </si>
  <si>
    <t>Product Launch</t>
  </si>
  <si>
    <t>Instagram,Twitter</t>
  </si>
  <si>
    <t>Traffic</t>
  </si>
  <si>
    <t>Facebook,Instagram</t>
  </si>
  <si>
    <t>Discover Fresh Beats On Spotify!</t>
  </si>
  <si>
    <t>#Soundtrackoflife,#Nowplaying</t>
  </si>
  <si>
    <t>Chillvibes</t>
  </si>
  <si>
    <t>Explore The Latest Podcasts Now.</t>
  </si>
  <si>
    <t>#Discoverweekly</t>
  </si>
  <si>
    <t>Indiewave</t>
  </si>
  <si>
    <t>New Music Just Dropped. Hit Play!</t>
  </si>
  <si>
    <t>#Musicforeveryone,#Nowplaying</t>
  </si>
  <si>
    <t>Wrapped Is Here! Relive Your Top Tracks Ðÿž§</t>
  </si>
  <si>
    <t>Youtube</t>
  </si>
  <si>
    <t>Music That Moves Youâ€”Only On Spotify.</t>
  </si>
  <si>
    <t>#Discoverweekly,#Spotifywrapped</t>
  </si>
  <si>
    <t>Whatâ€™S Your Vibe Today? #Spotifyhits</t>
  </si>
  <si>
    <t>Get Into The Groove With Our New Drop!</t>
  </si>
  <si>
    <t>#Discoverweekly,#Musicforeveryone</t>
  </si>
  <si>
    <t>Top Trending Tracks Updated Daily!</t>
  </si>
  <si>
    <t>#Nowplaying</t>
  </si>
  <si>
    <t>#Soundtrackoflife</t>
  </si>
  <si>
    <t>From Pop To Podcasts, Itâ€™S All Here.</t>
  </si>
  <si>
    <t>Your Weekend Playlist Is Waiting.</t>
  </si>
  <si>
    <t>#Discoverweekly,#Soundtrackoflife</t>
  </si>
  <si>
    <t>Summerbeats</t>
  </si>
  <si>
    <t>#soundtrackoflife</t>
  </si>
  <si>
    <t>#nowplaying</t>
  </si>
  <si>
    <t>#discoverweekly</t>
  </si>
  <si>
    <t>#musicforeveryone</t>
  </si>
  <si>
    <t>#spotifywrapped</t>
  </si>
  <si>
    <t>Instagram,YouTube</t>
  </si>
  <si>
    <t>#SpotifyWrapped,#MusicForEveryone</t>
  </si>
  <si>
    <t>Twitter,YouTube</t>
  </si>
  <si>
    <t>#SpotifyWrapped,#NowPlaying</t>
  </si>
  <si>
    <t>#ChillVibes,#SoundtrackOfLife</t>
  </si>
  <si>
    <t>#DiscoverWeekly,#IndieWave</t>
  </si>
  <si>
    <t>Campaign phase</t>
  </si>
  <si>
    <t xml:space="preserve">Campaign start date </t>
  </si>
  <si>
    <t>Campaign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</si>
</sst>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4009]yyyy/mm/dd;@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&quot;Aptos Narrow&quot;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1" fillId="0" borderId="0" xfId="0" applyFont="1"/>
    <xf numFmtId="49" fontId="2" fillId="0" borderId="0" xfId="0" applyNumberFormat="1" applyFont="1"/>
    <xf numFmtId="49" fontId="0" fillId="0" borderId="0" xfId="0" applyNumberFormat="1"/>
    <xf numFmtId="164" fontId="0" fillId="0" borderId="0" xfId="0" applyNumberFormat="1"/>
    <xf numFmtId="1" fontId="2" fillId="0" borderId="0" xfId="0" applyNumberFormat="1" applyFont="1"/>
    <xf numFmtId="1" fontId="2" fillId="0" borderId="0" xfId="0" applyNumberFormat="1" applyFont="1" applyAlignment="1">
      <alignment horizontal="right"/>
    </xf>
    <xf numFmtId="1" fontId="0" fillId="0" borderId="0" xfId="0" applyNumberFormat="1"/>
    <xf numFmtId="2" fontId="2" fillId="0" borderId="0" xfId="0" applyNumberFormat="1" applyFont="1" applyAlignment="1">
      <alignment horizontal="right"/>
    </xf>
    <xf numFmtId="2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164" fontId="0" fillId="0" borderId="0" xfId="0" applyNumberFormat="1" applyAlignment="1">
      <alignment horizontal="right"/>
    </xf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14" fontId="1" fillId="0" borderId="0" xfId="0" applyNumberFormat="1" applyFont="1"/>
    <xf numFmtId="14" fontId="0" fillId="0" borderId="0" xfId="0" applyNumberFormat="1"/>
    <xf numFmtId="14" fontId="0" fillId="0" borderId="0" xfId="0" applyNumberFormat="1" applyAlignment="1">
      <alignment horizontal="right"/>
    </xf>
    <xf numFmtId="2" fontId="2" fillId="0" borderId="0" xfId="0" applyNumberFormat="1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right"/>
    </xf>
    <xf numFmtId="14" fontId="2" fillId="0" borderId="0" xfId="0" applyNumberFormat="1" applyFont="1"/>
    <xf numFmtId="49" fontId="3" fillId="0" borderId="1" xfId="0" applyNumberFormat="1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4" fontId="0" fillId="0" borderId="0" xfId="0" applyNumberFormat="1" applyFont="1"/>
    <xf numFmtId="14" fontId="6" fillId="0" borderId="0" xfId="0" applyNumberFormat="1" applyFon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30" formatCode="@"/>
      <alignment horizontal="lef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fill>
        <patternFill patternType="none">
          <fgColor indexed="64"/>
          <bgColor auto="1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64" formatCode="[$-14009]yyyy/mm/dd;@"/>
      <alignment horizontal="right" vertical="bottom" textRotation="0" wrapText="0" indent="0" justifyLastLine="0" shrinkToFit="0" readingOrder="0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</dxf>
  </dxfs>
  <tableStyles count="1" defaultTableStyle="TableStyleMedium2" defaultPivotStyle="PivotStyleLight16">
    <tableStyle name="Invisible" pivot="0" table="0" count="0" xr9:uid="{B301F566-1D0A-4A35-A571-01862E58FA1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A339FE7-0F54-4AF7-8BD2-DCA1E8D40633}" autoFormatId="16" applyNumberFormats="0" applyBorderFormats="0" applyFontFormats="0" applyPatternFormats="0" applyAlignmentFormats="0" applyWidthHeightFormats="0">
  <queryTableRefresh nextId="3">
    <queryTableFields count="2">
      <queryTableField id="1" name="Post ID" tableColumnId="1"/>
      <queryTableField id="2" name="Hashtags Used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7CF7DE-95F2-4DAD-BEBD-EFDBA413DBA5}" name="Table4" displayName="Table4" ref="A1:P302" totalsRowShown="0" headerRowDxfId="24">
  <autoFilter ref="A1:P302" xr:uid="{F97CF7DE-95F2-4DAD-BEBD-EFDBA413DBA5}">
    <filterColumn colId="11">
      <customFilters>
        <customFilter operator="notEqual" val=" "/>
      </customFilters>
    </filterColumn>
  </autoFilter>
  <tableColumns count="16">
    <tableColumn id="1" xr3:uid="{A8F08954-2D04-44B3-A6C4-90668E04BA0A}" name="Post ID"/>
    <tableColumn id="2" xr3:uid="{6867CECD-7473-4BAC-B3F6-3C18C66D1496}" name="Platform" dataDxfId="23"/>
    <tableColumn id="3" xr3:uid="{81BE68CF-B4CE-4B4F-AD6A-8FA1E26087B8}" name="Date" dataDxfId="22"/>
    <tableColumn id="4" xr3:uid="{C8E038E0-FF27-447E-90AE-0AA914A5F6FB}" name="Content Type" dataDxfId="21"/>
    <tableColumn id="5" xr3:uid="{1E99C9F3-5D14-4786-8131-6A71EBE02BC1}" name="Post Text" dataDxfId="20"/>
    <tableColumn id="6" xr3:uid="{AA185B06-2B11-4B29-8A54-A2130EE9D89B}" name="Likes" dataDxfId="19"/>
    <tableColumn id="7" xr3:uid="{1685B7E3-69AA-4F1D-9716-CDA25A6FFCC5}" name="Shares" dataDxfId="18"/>
    <tableColumn id="8" xr3:uid="{46202831-391F-44AF-AC00-823017D037F9}" name="Comments" dataDxfId="17"/>
    <tableColumn id="9" xr3:uid="{9696A1EF-D7F6-4083-BFA7-B0F3428A54C1}" name="Impressions" dataDxfId="16"/>
    <tableColumn id="10" xr3:uid="{F5F6386A-A7C2-452E-8489-C42815067787}" name="Reach" dataDxfId="15"/>
    <tableColumn id="11" xr3:uid="{2B68FF1B-83B3-40F5-A554-6ED09F78AAD1}" name="Clicks" dataDxfId="14"/>
    <tableColumn id="12" xr3:uid="{83EF6A66-3B83-4C1B-B343-5710CCB1EC13}" name="Hashtags Used" dataDxfId="13"/>
    <tableColumn id="13" xr3:uid="{77435D37-9E0B-4364-B029-F51B0B3BEF7C}" name="Campaign_Name"/>
    <tableColumn id="17" xr3:uid="{AF5E7530-8007-493E-9FAA-924ED18932A3}" name="Campaign start date " dataDxfId="12"/>
    <tableColumn id="18" xr3:uid="{6C5DBDA4-FA46-4916-8FCF-82133B81628D}" name="Campaign end date" dataDxfId="11"/>
    <tableColumn id="21" xr3:uid="{80A90F8E-6E04-4503-A7C5-22D75DFAF69A}" name="Campaign phase" dataDxfId="10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3BF1AF-C845-4DFE-A346-14C63B987195}" name="Table2" displayName="Table2" ref="A1:G202" totalsRowShown="0" headerRowDxfId="9">
  <autoFilter ref="A1:G202" xr:uid="{2E3BF1AF-C845-4DFE-A346-14C63B987195}"/>
  <tableColumns count="7">
    <tableColumn id="1" xr3:uid="{743696C5-E97F-4751-B659-A9F0D520EEC5}" name="Week_Start_Date" dataDxfId="8"/>
    <tableColumn id="2" xr3:uid="{9D7CC815-A6A6-439A-853D-2DFAD19F5C60}" name="Platform" dataDxfId="7"/>
    <tableColumn id="3" xr3:uid="{B3EF715B-BE69-417A-83F5-A0398BA732F4}" name="New_Followers" dataDxfId="6"/>
    <tableColumn id="4" xr3:uid="{972EFD7F-33DB-4F9A-A7F4-7148ED4BD782}" name="Unfollows" dataDxfId="5"/>
    <tableColumn id="5" xr3:uid="{5F20B552-4D7F-4A32-A2A1-9AD2F270BC0D}" name="Total_Followers" dataDxfId="4"/>
    <tableColumn id="6" xr3:uid="{4C4E38C4-F5D7-4781-92AA-DF528A9832A4}" name="Engagement_Rate" dataDxfId="3"/>
    <tableColumn id="7" xr3:uid="{33D59C18-C94A-4A1A-9CEF-CB400727B102}" name="Ad_Spend" dataDxfId="2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711DC0-04EB-4E22-9DBE-2E29B16121C0}" name="Table2_1" displayName="Table2_1" ref="A1:B484" tableType="queryTable" totalsRowShown="0">
  <autoFilter ref="A1:B484" xr:uid="{91711DC0-04EB-4E22-9DBE-2E29B16121C0}"/>
  <tableColumns count="2">
    <tableColumn id="1" xr3:uid="{4C03A8FB-322A-4C54-9769-31CD3537903E}" uniqueName="1" name="Post ID" queryTableFieldId="1" dataDxfId="1"/>
    <tableColumn id="2" xr3:uid="{C6552051-8D4D-491E-A2F4-35956B9D05ED}" uniqueName="2" name="Hashtags Used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2DE5-F1AB-40B2-A3F2-8EB33E5F5955}">
  <dimension ref="A1:Q1000"/>
  <sheetViews>
    <sheetView zoomScaleNormal="100" workbookViewId="0">
      <selection sqref="A1:A1048576"/>
    </sheetView>
  </sheetViews>
  <sheetFormatPr defaultColWidth="14.42578125" defaultRowHeight="15" customHeight="1"/>
  <cols>
    <col min="1" max="1" width="10" customWidth="1"/>
    <col min="2" max="2" width="15.42578125" style="4" customWidth="1"/>
    <col min="3" max="3" width="18.85546875" style="18" customWidth="1"/>
    <col min="4" max="4" width="15.5703125" style="4" customWidth="1"/>
    <col min="5" max="5" width="42.140625" style="4" customWidth="1"/>
    <col min="6" max="6" width="8.7109375" style="8" customWidth="1"/>
    <col min="7" max="7" width="9.85546875" style="8" customWidth="1"/>
    <col min="8" max="8" width="13.5703125" style="8" customWidth="1"/>
    <col min="9" max="9" width="14.5703125" style="8" customWidth="1"/>
    <col min="10" max="10" width="9.28515625" style="8" customWidth="1"/>
    <col min="11" max="11" width="8.85546875" style="8" customWidth="1"/>
    <col min="12" max="12" width="37.140625" style="4" customWidth="1"/>
    <col min="13" max="13" width="19.42578125" style="4" customWidth="1"/>
    <col min="14" max="14" width="24.28515625" style="27" customWidth="1"/>
    <col min="15" max="15" width="23.28515625" style="17" customWidth="1"/>
    <col min="16" max="16" width="23.28515625" style="4" customWidth="1"/>
  </cols>
  <sheetData>
    <row r="1" spans="1:16">
      <c r="A1" s="1" t="s">
        <v>0</v>
      </c>
      <c r="B1" s="3" t="s">
        <v>1</v>
      </c>
      <c r="C1" s="20" t="s">
        <v>2</v>
      </c>
      <c r="D1" s="3" t="s">
        <v>3</v>
      </c>
      <c r="E1" s="3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3" t="s">
        <v>11</v>
      </c>
      <c r="M1" s="3" t="s">
        <v>12</v>
      </c>
      <c r="N1" s="28" t="s">
        <v>371</v>
      </c>
      <c r="O1" s="22" t="s">
        <v>372</v>
      </c>
      <c r="P1" s="3" t="s">
        <v>370</v>
      </c>
    </row>
    <row r="2" spans="1:16">
      <c r="A2" s="1" t="s">
        <v>13</v>
      </c>
      <c r="B2" s="3" t="s">
        <v>14</v>
      </c>
      <c r="C2" s="21">
        <v>45781</v>
      </c>
      <c r="D2" s="3" t="s">
        <v>15</v>
      </c>
      <c r="E2" s="3" t="s">
        <v>337</v>
      </c>
      <c r="F2" s="7">
        <v>2414</v>
      </c>
      <c r="G2" s="7">
        <v>245</v>
      </c>
      <c r="H2" s="7">
        <v>137</v>
      </c>
      <c r="I2" s="7">
        <v>21181</v>
      </c>
      <c r="J2" s="7">
        <v>45292</v>
      </c>
      <c r="K2" s="7">
        <v>133</v>
      </c>
      <c r="L2" s="3" t="s">
        <v>338</v>
      </c>
      <c r="M2" s="3" t="s">
        <v>339</v>
      </c>
      <c r="N2" s="27">
        <f>INDEX('Campaign Metadata '!B:B,MATCH(M2,'Campaign Metadata '!A:A,0))</f>
        <v>45667</v>
      </c>
      <c r="O2" s="17">
        <f>INDEX('Campaign Metadata '!C:C,MATCH(M2,'Campaign Metadata '!A:A,0))</f>
        <v>45698</v>
      </c>
      <c r="P2" s="4" t="str">
        <f>IF(AND(C2&lt;=O2,C2&gt;=N2),"DURING",IF(C2&lt;O2,"BEFORE", "AFTER"))</f>
        <v>AFTER</v>
      </c>
    </row>
    <row r="3" spans="1:16">
      <c r="A3" s="1" t="s">
        <v>16</v>
      </c>
      <c r="B3" s="3" t="s">
        <v>14</v>
      </c>
      <c r="C3" s="21">
        <v>45689</v>
      </c>
      <c r="D3" s="3" t="s">
        <v>15</v>
      </c>
      <c r="E3" s="3" t="s">
        <v>340</v>
      </c>
      <c r="F3" s="7">
        <v>1934</v>
      </c>
      <c r="G3" s="7">
        <v>210</v>
      </c>
      <c r="H3" s="7">
        <v>393</v>
      </c>
      <c r="I3" s="7">
        <v>29129</v>
      </c>
      <c r="J3" s="7">
        <v>73287</v>
      </c>
      <c r="K3" s="7">
        <v>273</v>
      </c>
      <c r="L3" s="3" t="s">
        <v>341</v>
      </c>
      <c r="M3" s="3" t="s">
        <v>342</v>
      </c>
      <c r="N3" s="27">
        <f>INDEX('Campaign Metadata '!B:B,MATCH(M3,'Campaign Metadata '!A:A,0))</f>
        <v>45717</v>
      </c>
      <c r="O3" s="17">
        <f>INDEX('Campaign Metadata '!C:C,MATCH(M3,'Campaign Metadata '!A:A,0))</f>
        <v>45747</v>
      </c>
      <c r="P3" s="4" t="str">
        <f t="shared" ref="P3:P66" si="0">IF(AND(C3&lt;=O3,C3&gt;=N3),"DURING",IF(C3&lt;O3,"BEFORE", "AFTER"))</f>
        <v>BEFORE</v>
      </c>
    </row>
    <row r="4" spans="1:16">
      <c r="A4" s="1" t="s">
        <v>17</v>
      </c>
      <c r="B4" s="3" t="s">
        <v>18</v>
      </c>
      <c r="C4" s="21">
        <v>45629</v>
      </c>
      <c r="D4" s="3" t="s">
        <v>19</v>
      </c>
      <c r="E4" s="3" t="s">
        <v>343</v>
      </c>
      <c r="F4" s="7">
        <v>3092</v>
      </c>
      <c r="G4" s="7">
        <v>177</v>
      </c>
      <c r="H4" s="7">
        <v>81</v>
      </c>
      <c r="I4" s="7">
        <v>47533</v>
      </c>
      <c r="J4" s="7">
        <v>29220</v>
      </c>
      <c r="K4" s="7">
        <v>121</v>
      </c>
      <c r="L4" s="3" t="s">
        <v>344</v>
      </c>
      <c r="M4" s="3" t="s">
        <v>339</v>
      </c>
      <c r="N4" s="27">
        <f>INDEX('Campaign Metadata '!B:B,MATCH(M4,'Campaign Metadata '!A:A,0))</f>
        <v>45667</v>
      </c>
      <c r="O4" s="17">
        <f>INDEX('Campaign Metadata '!C:C,MATCH(M4,'Campaign Metadata '!A:A,0))</f>
        <v>45698</v>
      </c>
      <c r="P4" s="4" t="str">
        <f t="shared" si="0"/>
        <v>BEFORE</v>
      </c>
    </row>
    <row r="5" spans="1:16">
      <c r="A5" s="1" t="s">
        <v>20</v>
      </c>
      <c r="B5" s="3" t="s">
        <v>14</v>
      </c>
      <c r="C5" s="21">
        <v>45629</v>
      </c>
      <c r="D5" s="3" t="s">
        <v>15</v>
      </c>
      <c r="E5" s="3" t="s">
        <v>345</v>
      </c>
      <c r="F5" s="7">
        <v>3173</v>
      </c>
      <c r="G5" s="7">
        <v>229</v>
      </c>
      <c r="H5" s="7">
        <v>197</v>
      </c>
      <c r="I5" s="7">
        <v>29604</v>
      </c>
      <c r="J5" s="7">
        <v>21809</v>
      </c>
      <c r="K5" s="7">
        <v>272</v>
      </c>
      <c r="L5" s="3" t="s">
        <v>338</v>
      </c>
      <c r="M5" s="3" t="s">
        <v>339</v>
      </c>
      <c r="N5" s="27">
        <f>INDEX('Campaign Metadata '!B:B,MATCH(M5,'Campaign Metadata '!A:A,0))</f>
        <v>45667</v>
      </c>
      <c r="O5" s="17">
        <f>INDEX('Campaign Metadata '!C:C,MATCH(M5,'Campaign Metadata '!A:A,0))</f>
        <v>45698</v>
      </c>
      <c r="P5" s="4" t="str">
        <f t="shared" si="0"/>
        <v>BEFORE</v>
      </c>
    </row>
    <row r="6" spans="1:16">
      <c r="A6" s="1" t="s">
        <v>21</v>
      </c>
      <c r="B6" s="3" t="s">
        <v>346</v>
      </c>
      <c r="C6" s="21">
        <v>45388</v>
      </c>
      <c r="D6" s="3" t="s">
        <v>15</v>
      </c>
      <c r="E6" s="3" t="s">
        <v>347</v>
      </c>
      <c r="F6" s="7">
        <v>2748</v>
      </c>
      <c r="G6" s="7">
        <v>145</v>
      </c>
      <c r="H6" s="7">
        <v>315</v>
      </c>
      <c r="I6" s="7">
        <v>24401</v>
      </c>
      <c r="J6" s="7">
        <v>61182</v>
      </c>
      <c r="K6" s="7">
        <v>200</v>
      </c>
      <c r="L6" s="3" t="s">
        <v>348</v>
      </c>
      <c r="M6" s="3" t="s">
        <v>342</v>
      </c>
      <c r="N6" s="27">
        <f>INDEX('Campaign Metadata '!B:B,MATCH(M6,'Campaign Metadata '!A:A,0))</f>
        <v>45717</v>
      </c>
      <c r="O6" s="17">
        <f>INDEX('Campaign Metadata '!C:C,MATCH(M6,'Campaign Metadata '!A:A,0))</f>
        <v>45747</v>
      </c>
      <c r="P6" s="4" t="str">
        <f t="shared" si="0"/>
        <v>BEFORE</v>
      </c>
    </row>
    <row r="7" spans="1:16">
      <c r="A7" s="1" t="s">
        <v>22</v>
      </c>
      <c r="B7" s="3" t="s">
        <v>346</v>
      </c>
      <c r="C7" s="21">
        <v>45456</v>
      </c>
      <c r="D7" s="3" t="s">
        <v>15</v>
      </c>
      <c r="E7" s="3" t="s">
        <v>349</v>
      </c>
      <c r="F7" s="7">
        <v>3882</v>
      </c>
      <c r="G7" s="7">
        <v>239</v>
      </c>
      <c r="H7" s="7">
        <v>275</v>
      </c>
      <c r="I7" s="7">
        <v>58748</v>
      </c>
      <c r="J7" s="7">
        <v>44646</v>
      </c>
      <c r="K7" s="7">
        <v>149</v>
      </c>
      <c r="L7" s="3" t="s">
        <v>348</v>
      </c>
      <c r="M7" s="3" t="s">
        <v>342</v>
      </c>
      <c r="N7" s="27">
        <f>INDEX('Campaign Metadata '!B:B,MATCH(M7,'Campaign Metadata '!A:A,0))</f>
        <v>45717</v>
      </c>
      <c r="O7" s="17">
        <f>INDEX('Campaign Metadata '!C:C,MATCH(M7,'Campaign Metadata '!A:A,0))</f>
        <v>45747</v>
      </c>
      <c r="P7" s="4" t="str">
        <f t="shared" si="0"/>
        <v>BEFORE</v>
      </c>
    </row>
    <row r="8" spans="1:16">
      <c r="A8" s="1" t="s">
        <v>23</v>
      </c>
      <c r="B8" s="3" t="s">
        <v>18</v>
      </c>
      <c r="C8" s="21">
        <v>45645</v>
      </c>
      <c r="D8" s="3" t="s">
        <v>19</v>
      </c>
      <c r="E8" s="3" t="s">
        <v>350</v>
      </c>
      <c r="F8" s="7">
        <v>4674</v>
      </c>
      <c r="G8" s="7">
        <v>409</v>
      </c>
      <c r="H8" s="7">
        <v>327</v>
      </c>
      <c r="I8" s="7">
        <v>20756</v>
      </c>
      <c r="J8" s="7">
        <v>63599</v>
      </c>
      <c r="K8" s="7">
        <v>212</v>
      </c>
      <c r="L8" s="3" t="s">
        <v>338</v>
      </c>
      <c r="M8" s="3" t="s">
        <v>339</v>
      </c>
      <c r="N8" s="27">
        <f>INDEX('Campaign Metadata '!B:B,MATCH(M8,'Campaign Metadata '!A:A,0))</f>
        <v>45667</v>
      </c>
      <c r="O8" s="17">
        <f>INDEX('Campaign Metadata '!C:C,MATCH(M8,'Campaign Metadata '!A:A,0))</f>
        <v>45698</v>
      </c>
      <c r="P8" s="4" t="str">
        <f t="shared" si="0"/>
        <v>BEFORE</v>
      </c>
    </row>
    <row r="9" spans="1:16">
      <c r="A9" s="1" t="s">
        <v>24</v>
      </c>
      <c r="B9" s="3" t="s">
        <v>18</v>
      </c>
      <c r="C9" s="21">
        <v>45421</v>
      </c>
      <c r="D9" s="3" t="s">
        <v>19</v>
      </c>
      <c r="E9" s="3" t="s">
        <v>345</v>
      </c>
      <c r="F9" s="7">
        <v>1428</v>
      </c>
      <c r="G9" s="7">
        <v>347</v>
      </c>
      <c r="H9" s="7">
        <v>67</v>
      </c>
      <c r="I9" s="7">
        <v>21148</v>
      </c>
      <c r="J9" s="7">
        <v>19712</v>
      </c>
      <c r="K9" s="7">
        <v>120</v>
      </c>
      <c r="L9" s="3" t="s">
        <v>351</v>
      </c>
      <c r="M9" s="3" t="s">
        <v>339</v>
      </c>
      <c r="N9" s="27">
        <f>INDEX('Campaign Metadata '!B:B,MATCH(M9,'Campaign Metadata '!A:A,0))</f>
        <v>45667</v>
      </c>
      <c r="O9" s="17">
        <f>INDEX('Campaign Metadata '!C:C,MATCH(M9,'Campaign Metadata '!A:A,0))</f>
        <v>45698</v>
      </c>
      <c r="P9" s="4" t="str">
        <f t="shared" si="0"/>
        <v>BEFORE</v>
      </c>
    </row>
    <row r="10" spans="1:16">
      <c r="A10" s="1" t="s">
        <v>25</v>
      </c>
      <c r="B10" s="3" t="s">
        <v>18</v>
      </c>
      <c r="C10" s="21">
        <v>45823</v>
      </c>
      <c r="D10" s="3" t="s">
        <v>15</v>
      </c>
      <c r="E10" s="3" t="s">
        <v>352</v>
      </c>
      <c r="F10" s="7">
        <v>4432</v>
      </c>
      <c r="G10" s="7">
        <v>223</v>
      </c>
      <c r="H10" s="7">
        <v>299</v>
      </c>
      <c r="I10" s="7">
        <v>59016</v>
      </c>
      <c r="J10" s="7">
        <v>21742</v>
      </c>
      <c r="K10" s="7">
        <v>171</v>
      </c>
      <c r="L10" s="3" t="s">
        <v>353</v>
      </c>
      <c r="M10" s="3" t="s">
        <v>339</v>
      </c>
      <c r="N10" s="27">
        <f>INDEX('Campaign Metadata '!B:B,MATCH(M10,'Campaign Metadata '!A:A,0))</f>
        <v>45667</v>
      </c>
      <c r="O10" s="17">
        <f>INDEX('Campaign Metadata '!C:C,MATCH(M10,'Campaign Metadata '!A:A,0))</f>
        <v>45698</v>
      </c>
      <c r="P10" s="4" t="str">
        <f t="shared" si="0"/>
        <v>AFTER</v>
      </c>
    </row>
    <row r="11" spans="1:16">
      <c r="A11" s="1" t="s">
        <v>26</v>
      </c>
      <c r="B11" s="3" t="s">
        <v>18</v>
      </c>
      <c r="C11" s="21">
        <v>45630</v>
      </c>
      <c r="D11" s="3" t="s">
        <v>15</v>
      </c>
      <c r="E11" s="3" t="s">
        <v>345</v>
      </c>
      <c r="F11" s="7">
        <v>2357</v>
      </c>
      <c r="G11" s="7">
        <v>274</v>
      </c>
      <c r="H11" s="7">
        <v>172</v>
      </c>
      <c r="I11" s="7">
        <v>21566</v>
      </c>
      <c r="J11" s="7">
        <v>66829</v>
      </c>
      <c r="K11" s="7">
        <v>284</v>
      </c>
      <c r="L11" s="3" t="s">
        <v>353</v>
      </c>
      <c r="M11" s="3" t="s">
        <v>339</v>
      </c>
      <c r="N11" s="27">
        <f>INDEX('Campaign Metadata '!B:B,MATCH(M11,'Campaign Metadata '!A:A,0))</f>
        <v>45667</v>
      </c>
      <c r="O11" s="17">
        <f>INDEX('Campaign Metadata '!C:C,MATCH(M11,'Campaign Metadata '!A:A,0))</f>
        <v>45698</v>
      </c>
      <c r="P11" s="4" t="str">
        <f t="shared" si="0"/>
        <v>BEFORE</v>
      </c>
    </row>
    <row r="12" spans="1:16">
      <c r="A12" s="1" t="s">
        <v>27</v>
      </c>
      <c r="B12" s="3" t="s">
        <v>18</v>
      </c>
      <c r="C12" s="21">
        <v>45357</v>
      </c>
      <c r="D12" s="3" t="s">
        <v>15</v>
      </c>
      <c r="E12" s="3" t="s">
        <v>337</v>
      </c>
      <c r="F12" s="7">
        <v>1971</v>
      </c>
      <c r="G12" s="7">
        <v>370</v>
      </c>
      <c r="H12" s="7">
        <v>306</v>
      </c>
      <c r="I12" s="7">
        <v>31316</v>
      </c>
      <c r="J12" s="7">
        <v>27897</v>
      </c>
      <c r="K12" s="7">
        <v>88</v>
      </c>
      <c r="L12" s="3" t="s">
        <v>354</v>
      </c>
      <c r="M12" s="3" t="s">
        <v>342</v>
      </c>
      <c r="N12" s="27">
        <f>INDEX('Campaign Metadata '!B:B,MATCH(M12,'Campaign Metadata '!A:A,0))</f>
        <v>45717</v>
      </c>
      <c r="O12" s="17">
        <f>INDEX('Campaign Metadata '!C:C,MATCH(M12,'Campaign Metadata '!A:A,0))</f>
        <v>45747</v>
      </c>
      <c r="P12" s="4" t="str">
        <f t="shared" si="0"/>
        <v>BEFORE</v>
      </c>
    </row>
    <row r="13" spans="1:16">
      <c r="A13" s="1" t="s">
        <v>28</v>
      </c>
      <c r="B13" s="3" t="s">
        <v>14</v>
      </c>
      <c r="C13" s="21">
        <v>45426</v>
      </c>
      <c r="D13" s="3" t="s">
        <v>15</v>
      </c>
      <c r="E13" s="3" t="s">
        <v>337</v>
      </c>
      <c r="F13" s="7">
        <v>1485</v>
      </c>
      <c r="G13" s="7">
        <v>353</v>
      </c>
      <c r="H13" s="7">
        <v>244</v>
      </c>
      <c r="I13" s="7">
        <v>38419</v>
      </c>
      <c r="J13" s="7">
        <v>38556</v>
      </c>
      <c r="K13" s="7">
        <v>86</v>
      </c>
      <c r="L13" s="3" t="s">
        <v>338</v>
      </c>
      <c r="M13" s="3" t="s">
        <v>339</v>
      </c>
      <c r="N13" s="27">
        <f>INDEX('Campaign Metadata '!B:B,MATCH(M13,'Campaign Metadata '!A:A,0))</f>
        <v>45667</v>
      </c>
      <c r="O13" s="17">
        <f>INDEX('Campaign Metadata '!C:C,MATCH(M13,'Campaign Metadata '!A:A,0))</f>
        <v>45698</v>
      </c>
      <c r="P13" s="4" t="str">
        <f t="shared" si="0"/>
        <v>BEFORE</v>
      </c>
    </row>
    <row r="14" spans="1:16">
      <c r="A14" s="1" t="s">
        <v>29</v>
      </c>
      <c r="B14" s="3" t="s">
        <v>18</v>
      </c>
      <c r="C14" s="21">
        <v>45826</v>
      </c>
      <c r="D14" s="3" t="s">
        <v>19</v>
      </c>
      <c r="E14" s="3" t="s">
        <v>337</v>
      </c>
      <c r="F14" s="7">
        <v>3956</v>
      </c>
      <c r="G14" s="7">
        <v>319</v>
      </c>
      <c r="H14" s="7">
        <v>61</v>
      </c>
      <c r="I14" s="7">
        <v>58162</v>
      </c>
      <c r="J14" s="7">
        <v>28720</v>
      </c>
      <c r="K14" s="7">
        <v>213</v>
      </c>
      <c r="L14" s="3" t="s">
        <v>344</v>
      </c>
      <c r="M14" s="3" t="s">
        <v>339</v>
      </c>
      <c r="N14" s="27">
        <f>INDEX('Campaign Metadata '!B:B,MATCH(M14,'Campaign Metadata '!A:A,0))</f>
        <v>45667</v>
      </c>
      <c r="O14" s="17">
        <f>INDEX('Campaign Metadata '!C:C,MATCH(M14,'Campaign Metadata '!A:A,0))</f>
        <v>45698</v>
      </c>
      <c r="P14" s="4" t="str">
        <f t="shared" si="0"/>
        <v>AFTER</v>
      </c>
    </row>
    <row r="15" spans="1:16">
      <c r="A15" s="1" t="s">
        <v>30</v>
      </c>
      <c r="B15" s="3" t="s">
        <v>18</v>
      </c>
      <c r="C15" s="21">
        <v>45573</v>
      </c>
      <c r="D15" s="3" t="s">
        <v>15</v>
      </c>
      <c r="E15" s="3" t="s">
        <v>355</v>
      </c>
      <c r="F15" s="7">
        <v>2460</v>
      </c>
      <c r="G15" s="7">
        <v>409</v>
      </c>
      <c r="H15" s="7">
        <v>253</v>
      </c>
      <c r="I15" s="7">
        <v>36702</v>
      </c>
      <c r="J15" s="7">
        <v>46122</v>
      </c>
      <c r="K15" s="7">
        <v>264</v>
      </c>
      <c r="L15" s="3" t="s">
        <v>353</v>
      </c>
      <c r="M15" s="3" t="s">
        <v>339</v>
      </c>
      <c r="N15" s="27">
        <f>INDEX('Campaign Metadata '!B:B,MATCH(M15,'Campaign Metadata '!A:A,0))</f>
        <v>45667</v>
      </c>
      <c r="O15" s="17">
        <f>INDEX('Campaign Metadata '!C:C,MATCH(M15,'Campaign Metadata '!A:A,0))</f>
        <v>45698</v>
      </c>
      <c r="P15" s="4" t="str">
        <f t="shared" si="0"/>
        <v>BEFORE</v>
      </c>
    </row>
    <row r="16" spans="1:16">
      <c r="A16" s="1" t="s">
        <v>31</v>
      </c>
      <c r="B16" s="3" t="s">
        <v>18</v>
      </c>
      <c r="C16" s="21">
        <v>45418</v>
      </c>
      <c r="D16" s="3" t="s">
        <v>15</v>
      </c>
      <c r="E16" s="3" t="s">
        <v>356</v>
      </c>
      <c r="F16" s="7">
        <v>3476</v>
      </c>
      <c r="G16" s="7">
        <v>355</v>
      </c>
      <c r="H16" s="7">
        <v>396</v>
      </c>
      <c r="I16" s="7">
        <v>37492</v>
      </c>
      <c r="J16" s="7">
        <v>27285</v>
      </c>
      <c r="K16" s="7">
        <v>179</v>
      </c>
      <c r="L16" s="3" t="s">
        <v>353</v>
      </c>
      <c r="M16" s="3" t="s">
        <v>339</v>
      </c>
      <c r="N16" s="27">
        <f>INDEX('Campaign Metadata '!B:B,MATCH(M16,'Campaign Metadata '!A:A,0))</f>
        <v>45667</v>
      </c>
      <c r="O16" s="17">
        <f>INDEX('Campaign Metadata '!C:C,MATCH(M16,'Campaign Metadata '!A:A,0))</f>
        <v>45698</v>
      </c>
      <c r="P16" s="4" t="str">
        <f t="shared" si="0"/>
        <v>BEFORE</v>
      </c>
    </row>
    <row r="17" spans="1:16">
      <c r="A17" s="1" t="s">
        <v>32</v>
      </c>
      <c r="B17" s="3" t="s">
        <v>18</v>
      </c>
      <c r="C17" s="21">
        <v>45655</v>
      </c>
      <c r="D17" s="3" t="s">
        <v>19</v>
      </c>
      <c r="E17" s="3" t="s">
        <v>343</v>
      </c>
      <c r="F17" s="7">
        <v>4049</v>
      </c>
      <c r="G17" s="7">
        <v>377</v>
      </c>
      <c r="H17" s="7">
        <v>94</v>
      </c>
      <c r="I17" s="7">
        <v>48182</v>
      </c>
      <c r="J17" s="7">
        <v>42875</v>
      </c>
      <c r="K17" s="7">
        <v>172</v>
      </c>
      <c r="L17" s="3" t="s">
        <v>344</v>
      </c>
      <c r="M17" s="3" t="s">
        <v>339</v>
      </c>
      <c r="N17" s="27">
        <f>INDEX('Campaign Metadata '!B:B,MATCH(M17,'Campaign Metadata '!A:A,0))</f>
        <v>45667</v>
      </c>
      <c r="O17" s="17">
        <f>INDEX('Campaign Metadata '!C:C,MATCH(M17,'Campaign Metadata '!A:A,0))</f>
        <v>45698</v>
      </c>
      <c r="P17" s="4" t="str">
        <f t="shared" si="0"/>
        <v>BEFORE</v>
      </c>
    </row>
    <row r="18" spans="1:16">
      <c r="A18" s="1" t="s">
        <v>33</v>
      </c>
      <c r="B18" s="3" t="s">
        <v>18</v>
      </c>
      <c r="C18" s="21">
        <v>45453</v>
      </c>
      <c r="D18" s="3" t="s">
        <v>15</v>
      </c>
      <c r="E18" s="3" t="s">
        <v>349</v>
      </c>
      <c r="F18" s="7">
        <v>1514</v>
      </c>
      <c r="G18" s="7">
        <v>164</v>
      </c>
      <c r="H18" s="7">
        <v>275</v>
      </c>
      <c r="I18" s="7">
        <v>41364</v>
      </c>
      <c r="J18" s="7">
        <v>44389</v>
      </c>
      <c r="K18" s="7">
        <v>83</v>
      </c>
      <c r="L18" s="3" t="s">
        <v>353</v>
      </c>
      <c r="M18" s="3" t="s">
        <v>339</v>
      </c>
      <c r="N18" s="27">
        <f>INDEX('Campaign Metadata '!B:B,MATCH(M18,'Campaign Metadata '!A:A,0))</f>
        <v>45667</v>
      </c>
      <c r="O18" s="17">
        <f>INDEX('Campaign Metadata '!C:C,MATCH(M18,'Campaign Metadata '!A:A,0))</f>
        <v>45698</v>
      </c>
      <c r="P18" s="4" t="str">
        <f t="shared" si="0"/>
        <v>BEFORE</v>
      </c>
    </row>
    <row r="19" spans="1:16">
      <c r="A19" s="1" t="s">
        <v>34</v>
      </c>
      <c r="B19" s="3" t="s">
        <v>14</v>
      </c>
      <c r="C19" s="21">
        <v>45325</v>
      </c>
      <c r="D19" s="3" t="s">
        <v>19</v>
      </c>
      <c r="E19" s="3" t="s">
        <v>347</v>
      </c>
      <c r="F19" s="7">
        <v>4281</v>
      </c>
      <c r="G19" s="7">
        <v>101</v>
      </c>
      <c r="H19" s="7">
        <v>163</v>
      </c>
      <c r="I19" s="7">
        <v>32278</v>
      </c>
      <c r="J19" s="7">
        <v>53382</v>
      </c>
      <c r="K19" s="7">
        <v>235</v>
      </c>
      <c r="L19" s="3" t="s">
        <v>353</v>
      </c>
      <c r="M19" s="3" t="s">
        <v>35</v>
      </c>
      <c r="N19" s="27">
        <f>INDEX('Campaign Metadata '!B:B,MATCH(M19,'Campaign Metadata '!A:A,0))</f>
        <v>45627</v>
      </c>
      <c r="O19" s="17">
        <f>INDEX('Campaign Metadata '!C:C,MATCH(M19,'Campaign Metadata '!A:A,0))</f>
        <v>45657</v>
      </c>
      <c r="P19" s="4" t="str">
        <f t="shared" si="0"/>
        <v>BEFORE</v>
      </c>
    </row>
    <row r="20" spans="1:16">
      <c r="A20" s="1" t="s">
        <v>36</v>
      </c>
      <c r="B20" s="3" t="s">
        <v>346</v>
      </c>
      <c r="C20" s="21">
        <v>45458</v>
      </c>
      <c r="D20" s="3" t="s">
        <v>37</v>
      </c>
      <c r="E20" s="3" t="s">
        <v>350</v>
      </c>
      <c r="F20" s="7">
        <v>1751</v>
      </c>
      <c r="G20" s="7">
        <v>143</v>
      </c>
      <c r="H20" s="7">
        <v>151</v>
      </c>
      <c r="I20" s="7">
        <v>31826</v>
      </c>
      <c r="J20" s="7">
        <v>47729</v>
      </c>
      <c r="K20" s="7">
        <v>95</v>
      </c>
      <c r="L20" s="3" t="s">
        <v>357</v>
      </c>
      <c r="M20" s="3" t="s">
        <v>358</v>
      </c>
      <c r="N20" s="27">
        <f>INDEX('Campaign Metadata '!B:B,MATCH(M20,'Campaign Metadata '!A:A,0))</f>
        <v>45458</v>
      </c>
      <c r="O20" s="17">
        <f>INDEX('Campaign Metadata '!C:C,MATCH(M20,'Campaign Metadata '!A:A,0))</f>
        <v>45488</v>
      </c>
      <c r="P20" s="4" t="str">
        <f t="shared" si="0"/>
        <v>DURING</v>
      </c>
    </row>
    <row r="21" spans="1:16" ht="15.75" customHeight="1">
      <c r="A21" s="1" t="s">
        <v>38</v>
      </c>
      <c r="B21" s="3" t="s">
        <v>14</v>
      </c>
      <c r="C21" s="21">
        <v>45478</v>
      </c>
      <c r="D21" s="3" t="s">
        <v>15</v>
      </c>
      <c r="E21" s="3" t="s">
        <v>356</v>
      </c>
      <c r="F21" s="7">
        <v>3753</v>
      </c>
      <c r="G21" s="7">
        <v>411</v>
      </c>
      <c r="H21" s="7">
        <v>308</v>
      </c>
      <c r="I21" s="7">
        <v>29138</v>
      </c>
      <c r="J21" s="7">
        <v>27678</v>
      </c>
      <c r="K21" s="7">
        <v>90</v>
      </c>
      <c r="L21" s="3" t="s">
        <v>341</v>
      </c>
      <c r="M21" s="3" t="s">
        <v>342</v>
      </c>
      <c r="N21" s="27">
        <f>INDEX('Campaign Metadata '!B:B,MATCH(M21,'Campaign Metadata '!A:A,0))</f>
        <v>45717</v>
      </c>
      <c r="O21" s="17">
        <f>INDEX('Campaign Metadata '!C:C,MATCH(M21,'Campaign Metadata '!A:A,0))</f>
        <v>45747</v>
      </c>
      <c r="P21" s="4" t="str">
        <f t="shared" si="0"/>
        <v>BEFORE</v>
      </c>
    </row>
    <row r="22" spans="1:16" ht="15.75" customHeight="1">
      <c r="A22" s="1" t="s">
        <v>39</v>
      </c>
      <c r="B22" s="3" t="s">
        <v>14</v>
      </c>
      <c r="C22" s="21">
        <v>45603</v>
      </c>
      <c r="D22" s="3" t="s">
        <v>19</v>
      </c>
      <c r="E22" s="3" t="s">
        <v>345</v>
      </c>
      <c r="F22" s="7">
        <v>1678</v>
      </c>
      <c r="G22" s="7">
        <v>423</v>
      </c>
      <c r="H22" s="7">
        <v>323</v>
      </c>
      <c r="I22" s="7">
        <v>55668</v>
      </c>
      <c r="J22" s="7">
        <v>37945</v>
      </c>
      <c r="K22" s="7">
        <v>230</v>
      </c>
      <c r="L22" s="3" t="s">
        <v>353</v>
      </c>
      <c r="M22" s="3" t="s">
        <v>35</v>
      </c>
      <c r="N22" s="27">
        <f>INDEX('Campaign Metadata '!B:B,MATCH(M22,'Campaign Metadata '!A:A,0))</f>
        <v>45627</v>
      </c>
      <c r="O22" s="17">
        <f>INDEX('Campaign Metadata '!C:C,MATCH(M22,'Campaign Metadata '!A:A,0))</f>
        <v>45657</v>
      </c>
      <c r="P22" s="4" t="str">
        <f t="shared" si="0"/>
        <v>BEFORE</v>
      </c>
    </row>
    <row r="23" spans="1:16" ht="15.75" customHeight="1">
      <c r="A23" s="1" t="s">
        <v>40</v>
      </c>
      <c r="B23" s="3" t="s">
        <v>14</v>
      </c>
      <c r="C23" s="21">
        <v>45823</v>
      </c>
      <c r="D23" s="3" t="s">
        <v>15</v>
      </c>
      <c r="E23" s="3" t="s">
        <v>349</v>
      </c>
      <c r="F23" s="7">
        <v>4896</v>
      </c>
      <c r="G23" s="7">
        <v>466</v>
      </c>
      <c r="H23" s="7">
        <v>233</v>
      </c>
      <c r="I23" s="7">
        <v>28621</v>
      </c>
      <c r="J23" s="7">
        <v>34270</v>
      </c>
      <c r="K23" s="7">
        <v>84</v>
      </c>
      <c r="L23" s="3" t="s">
        <v>338</v>
      </c>
      <c r="M23" s="3" t="s">
        <v>339</v>
      </c>
      <c r="N23" s="27">
        <f>INDEX('Campaign Metadata '!B:B,MATCH(M23,'Campaign Metadata '!A:A,0))</f>
        <v>45667</v>
      </c>
      <c r="O23" s="17">
        <f>INDEX('Campaign Metadata '!C:C,MATCH(M23,'Campaign Metadata '!A:A,0))</f>
        <v>45698</v>
      </c>
      <c r="P23" s="4" t="str">
        <f t="shared" si="0"/>
        <v>AFTER</v>
      </c>
    </row>
    <row r="24" spans="1:16" ht="15.75" customHeight="1">
      <c r="A24" s="1" t="s">
        <v>41</v>
      </c>
      <c r="B24" s="3" t="s">
        <v>346</v>
      </c>
      <c r="C24" s="21">
        <v>45452</v>
      </c>
      <c r="D24" s="3" t="s">
        <v>37</v>
      </c>
      <c r="E24" s="3" t="s">
        <v>355</v>
      </c>
      <c r="F24" s="7">
        <v>2786</v>
      </c>
      <c r="G24" s="7">
        <v>368</v>
      </c>
      <c r="H24" s="7">
        <v>208</v>
      </c>
      <c r="I24" s="7">
        <v>42000</v>
      </c>
      <c r="J24" s="7">
        <v>39967</v>
      </c>
      <c r="K24" s="7">
        <v>103</v>
      </c>
      <c r="L24" s="3" t="s">
        <v>357</v>
      </c>
      <c r="M24" s="3" t="s">
        <v>358</v>
      </c>
      <c r="N24" s="27">
        <f>INDEX('Campaign Metadata '!B:B,MATCH(M24,'Campaign Metadata '!A:A,0))</f>
        <v>45458</v>
      </c>
      <c r="O24" s="17">
        <f>INDEX('Campaign Metadata '!C:C,MATCH(M24,'Campaign Metadata '!A:A,0))</f>
        <v>45488</v>
      </c>
      <c r="P24" s="4" t="str">
        <f t="shared" si="0"/>
        <v>BEFORE</v>
      </c>
    </row>
    <row r="25" spans="1:16" ht="15.75" customHeight="1">
      <c r="A25" s="1" t="s">
        <v>42</v>
      </c>
      <c r="B25" s="3" t="s">
        <v>18</v>
      </c>
      <c r="C25" s="21">
        <v>45583</v>
      </c>
      <c r="D25" s="3" t="s">
        <v>15</v>
      </c>
      <c r="E25" s="3" t="s">
        <v>343</v>
      </c>
      <c r="F25" s="7">
        <v>2607</v>
      </c>
      <c r="G25" s="7">
        <v>379</v>
      </c>
      <c r="H25" s="7">
        <v>180</v>
      </c>
      <c r="I25" s="7">
        <v>28712</v>
      </c>
      <c r="J25" s="7">
        <v>61620</v>
      </c>
      <c r="K25" s="7">
        <v>174</v>
      </c>
      <c r="L25" s="3" t="s">
        <v>354</v>
      </c>
      <c r="M25" s="3" t="s">
        <v>342</v>
      </c>
      <c r="N25" s="27">
        <f>INDEX('Campaign Metadata '!B:B,MATCH(M25,'Campaign Metadata '!A:A,0))</f>
        <v>45717</v>
      </c>
      <c r="O25" s="17">
        <f>INDEX('Campaign Metadata '!C:C,MATCH(M25,'Campaign Metadata '!A:A,0))</f>
        <v>45747</v>
      </c>
      <c r="P25" s="4" t="str">
        <f t="shared" si="0"/>
        <v>BEFORE</v>
      </c>
    </row>
    <row r="26" spans="1:16" ht="15.75" customHeight="1">
      <c r="A26" s="1" t="s">
        <v>43</v>
      </c>
      <c r="B26" s="3" t="s">
        <v>346</v>
      </c>
      <c r="C26" s="21">
        <v>45575</v>
      </c>
      <c r="D26" s="3" t="s">
        <v>37</v>
      </c>
      <c r="E26" s="3" t="s">
        <v>355</v>
      </c>
      <c r="F26" s="7">
        <v>4013</v>
      </c>
      <c r="G26" s="7">
        <v>320</v>
      </c>
      <c r="H26" s="7">
        <v>92</v>
      </c>
      <c r="I26" s="7">
        <v>54605</v>
      </c>
      <c r="J26" s="7">
        <v>60169</v>
      </c>
      <c r="K26" s="7">
        <v>232</v>
      </c>
      <c r="L26" s="3" t="s">
        <v>357</v>
      </c>
      <c r="M26" s="3" t="s">
        <v>358</v>
      </c>
      <c r="N26" s="27">
        <f>INDEX('Campaign Metadata '!B:B,MATCH(M26,'Campaign Metadata '!A:A,0))</f>
        <v>45458</v>
      </c>
      <c r="O26" s="17">
        <f>INDEX('Campaign Metadata '!C:C,MATCH(M26,'Campaign Metadata '!A:A,0))</f>
        <v>45488</v>
      </c>
      <c r="P26" s="4" t="str">
        <f t="shared" si="0"/>
        <v>AFTER</v>
      </c>
    </row>
    <row r="27" spans="1:16" ht="15.75" customHeight="1">
      <c r="A27" s="1" t="s">
        <v>44</v>
      </c>
      <c r="B27" s="3" t="s">
        <v>18</v>
      </c>
      <c r="C27" s="21">
        <v>45791</v>
      </c>
      <c r="D27" s="3" t="s">
        <v>19</v>
      </c>
      <c r="E27" s="3" t="s">
        <v>355</v>
      </c>
      <c r="F27" s="7">
        <v>2707</v>
      </c>
      <c r="G27" s="7">
        <v>103</v>
      </c>
      <c r="H27" s="7">
        <v>51</v>
      </c>
      <c r="I27" s="7">
        <v>55302</v>
      </c>
      <c r="J27" s="7">
        <v>18801</v>
      </c>
      <c r="K27" s="7">
        <v>147</v>
      </c>
      <c r="L27" s="3" t="s">
        <v>351</v>
      </c>
      <c r="M27" s="3" t="s">
        <v>339</v>
      </c>
      <c r="N27" s="27">
        <f>INDEX('Campaign Metadata '!B:B,MATCH(M27,'Campaign Metadata '!A:A,0))</f>
        <v>45667</v>
      </c>
      <c r="O27" s="17">
        <f>INDEX('Campaign Metadata '!C:C,MATCH(M27,'Campaign Metadata '!A:A,0))</f>
        <v>45698</v>
      </c>
      <c r="P27" s="4" t="str">
        <f t="shared" si="0"/>
        <v>AFTER</v>
      </c>
    </row>
    <row r="28" spans="1:16" ht="15.75" customHeight="1">
      <c r="A28" s="1" t="s">
        <v>45</v>
      </c>
      <c r="B28" s="3" t="s">
        <v>14</v>
      </c>
      <c r="C28" s="21">
        <v>45625</v>
      </c>
      <c r="D28" s="3" t="s">
        <v>15</v>
      </c>
      <c r="E28" s="3" t="s">
        <v>349</v>
      </c>
      <c r="F28" s="7">
        <v>2824</v>
      </c>
      <c r="G28" s="7">
        <v>425</v>
      </c>
      <c r="H28" s="7">
        <v>274</v>
      </c>
      <c r="I28" s="7">
        <v>31004</v>
      </c>
      <c r="J28" s="7">
        <v>53488</v>
      </c>
      <c r="K28" s="7">
        <v>268</v>
      </c>
      <c r="L28" s="3" t="s">
        <v>338</v>
      </c>
      <c r="M28" s="3" t="s">
        <v>339</v>
      </c>
      <c r="N28" s="27">
        <f>INDEX('Campaign Metadata '!B:B,MATCH(M28,'Campaign Metadata '!A:A,0))</f>
        <v>45667</v>
      </c>
      <c r="O28" s="17">
        <f>INDEX('Campaign Metadata '!C:C,MATCH(M28,'Campaign Metadata '!A:A,0))</f>
        <v>45698</v>
      </c>
      <c r="P28" s="4" t="str">
        <f t="shared" si="0"/>
        <v>BEFORE</v>
      </c>
    </row>
    <row r="29" spans="1:16" ht="15.75" customHeight="1">
      <c r="A29" s="1" t="s">
        <v>46</v>
      </c>
      <c r="B29" s="3" t="s">
        <v>346</v>
      </c>
      <c r="C29" s="21">
        <v>45356</v>
      </c>
      <c r="D29" s="3" t="s">
        <v>37</v>
      </c>
      <c r="E29" s="3" t="s">
        <v>340</v>
      </c>
      <c r="F29" s="7">
        <v>3558</v>
      </c>
      <c r="G29" s="7">
        <v>314</v>
      </c>
      <c r="H29" s="7">
        <v>199</v>
      </c>
      <c r="I29" s="7">
        <v>49612</v>
      </c>
      <c r="J29" s="7">
        <v>53929</v>
      </c>
      <c r="K29" s="7">
        <v>206</v>
      </c>
      <c r="L29" s="3" t="s">
        <v>357</v>
      </c>
      <c r="M29" s="3" t="s">
        <v>358</v>
      </c>
      <c r="N29" s="27">
        <f>INDEX('Campaign Metadata '!B:B,MATCH(M29,'Campaign Metadata '!A:A,0))</f>
        <v>45458</v>
      </c>
      <c r="O29" s="17">
        <f>INDEX('Campaign Metadata '!C:C,MATCH(M29,'Campaign Metadata '!A:A,0))</f>
        <v>45488</v>
      </c>
      <c r="P29" s="4" t="str">
        <f t="shared" si="0"/>
        <v>BEFORE</v>
      </c>
    </row>
    <row r="30" spans="1:16" ht="15.75" customHeight="1">
      <c r="A30" s="1" t="s">
        <v>47</v>
      </c>
      <c r="B30" s="3" t="s">
        <v>18</v>
      </c>
      <c r="C30" s="21">
        <v>45734</v>
      </c>
      <c r="D30" s="3" t="s">
        <v>19</v>
      </c>
      <c r="E30" s="3" t="s">
        <v>340</v>
      </c>
      <c r="F30" s="7">
        <v>3418</v>
      </c>
      <c r="G30" s="7">
        <v>188</v>
      </c>
      <c r="H30" s="7">
        <v>387</v>
      </c>
      <c r="I30" s="7">
        <v>57431</v>
      </c>
      <c r="J30" s="7">
        <v>36933</v>
      </c>
      <c r="K30" s="7">
        <v>202</v>
      </c>
      <c r="L30" s="3" t="s">
        <v>344</v>
      </c>
      <c r="M30" s="3" t="s">
        <v>339</v>
      </c>
      <c r="N30" s="27">
        <f>INDEX('Campaign Metadata '!B:B,MATCH(M30,'Campaign Metadata '!A:A,0))</f>
        <v>45667</v>
      </c>
      <c r="O30" s="17">
        <f>INDEX('Campaign Metadata '!C:C,MATCH(M30,'Campaign Metadata '!A:A,0))</f>
        <v>45698</v>
      </c>
      <c r="P30" s="4" t="str">
        <f t="shared" si="0"/>
        <v>AFTER</v>
      </c>
    </row>
    <row r="31" spans="1:16" ht="15.75" customHeight="1">
      <c r="A31" s="1" t="s">
        <v>48</v>
      </c>
      <c r="B31" s="3" t="s">
        <v>18</v>
      </c>
      <c r="C31" s="21">
        <v>45773</v>
      </c>
      <c r="D31" s="3" t="s">
        <v>15</v>
      </c>
      <c r="E31" s="3" t="s">
        <v>337</v>
      </c>
      <c r="F31" s="7">
        <v>2411</v>
      </c>
      <c r="G31" s="7">
        <v>194</v>
      </c>
      <c r="H31" s="7">
        <v>168</v>
      </c>
      <c r="I31" s="7">
        <v>26665</v>
      </c>
      <c r="J31" s="7">
        <v>71699</v>
      </c>
      <c r="K31" s="7">
        <v>197</v>
      </c>
      <c r="L31" s="3" t="s">
        <v>353</v>
      </c>
      <c r="M31" s="3" t="s">
        <v>339</v>
      </c>
      <c r="N31" s="27">
        <f>INDEX('Campaign Metadata '!B:B,MATCH(M31,'Campaign Metadata '!A:A,0))</f>
        <v>45667</v>
      </c>
      <c r="O31" s="17">
        <f>INDEX('Campaign Metadata '!C:C,MATCH(M31,'Campaign Metadata '!A:A,0))</f>
        <v>45698</v>
      </c>
      <c r="P31" s="4" t="str">
        <f t="shared" si="0"/>
        <v>AFTER</v>
      </c>
    </row>
    <row r="32" spans="1:16" ht="15.75" customHeight="1">
      <c r="A32" s="1" t="s">
        <v>49</v>
      </c>
      <c r="B32" s="3" t="s">
        <v>14</v>
      </c>
      <c r="C32" s="21">
        <v>45658</v>
      </c>
      <c r="D32" s="3" t="s">
        <v>15</v>
      </c>
      <c r="E32" s="3" t="s">
        <v>343</v>
      </c>
      <c r="F32" s="7">
        <v>4036</v>
      </c>
      <c r="G32" s="7">
        <v>112</v>
      </c>
      <c r="H32" s="7">
        <v>382</v>
      </c>
      <c r="I32" s="7">
        <v>56284</v>
      </c>
      <c r="J32" s="7">
        <v>29440</v>
      </c>
      <c r="K32" s="7">
        <v>279</v>
      </c>
      <c r="L32" s="3" t="s">
        <v>338</v>
      </c>
      <c r="M32" s="3" t="s">
        <v>339</v>
      </c>
      <c r="N32" s="27">
        <f>INDEX('Campaign Metadata '!B:B,MATCH(M32,'Campaign Metadata '!A:A,0))</f>
        <v>45667</v>
      </c>
      <c r="O32" s="17">
        <f>INDEX('Campaign Metadata '!C:C,MATCH(M32,'Campaign Metadata '!A:A,0))</f>
        <v>45698</v>
      </c>
      <c r="P32" s="4" t="str">
        <f t="shared" si="0"/>
        <v>BEFORE</v>
      </c>
    </row>
    <row r="33" spans="1:17" ht="15.75" customHeight="1">
      <c r="A33" s="1" t="s">
        <v>50</v>
      </c>
      <c r="B33" s="3" t="s">
        <v>18</v>
      </c>
      <c r="C33" s="21">
        <v>45419</v>
      </c>
      <c r="D33" s="3" t="s">
        <v>19</v>
      </c>
      <c r="E33" s="3" t="s">
        <v>340</v>
      </c>
      <c r="F33" s="7">
        <v>2776</v>
      </c>
      <c r="G33" s="7">
        <v>307</v>
      </c>
      <c r="H33" s="7">
        <v>178</v>
      </c>
      <c r="I33" s="7">
        <v>43365</v>
      </c>
      <c r="J33" s="7">
        <v>48408</v>
      </c>
      <c r="K33" s="7">
        <v>138</v>
      </c>
      <c r="L33" s="3" t="s">
        <v>338</v>
      </c>
      <c r="M33" s="3" t="s">
        <v>339</v>
      </c>
      <c r="N33" s="27">
        <f>INDEX('Campaign Metadata '!B:B,MATCH(M33,'Campaign Metadata '!A:A,0))</f>
        <v>45667</v>
      </c>
      <c r="O33" s="17">
        <f>INDEX('Campaign Metadata '!C:C,MATCH(M33,'Campaign Metadata '!A:A,0))</f>
        <v>45698</v>
      </c>
      <c r="P33" s="4" t="str">
        <f t="shared" si="0"/>
        <v>BEFORE</v>
      </c>
    </row>
    <row r="34" spans="1:17" ht="15.75" customHeight="1">
      <c r="A34" s="1" t="s">
        <v>51</v>
      </c>
      <c r="B34" s="3" t="s">
        <v>18</v>
      </c>
      <c r="C34" s="21">
        <v>45574</v>
      </c>
      <c r="D34" s="3" t="s">
        <v>19</v>
      </c>
      <c r="E34" s="3" t="s">
        <v>337</v>
      </c>
      <c r="F34" s="7">
        <v>4929</v>
      </c>
      <c r="G34" s="7">
        <v>182</v>
      </c>
      <c r="H34" s="7">
        <v>95</v>
      </c>
      <c r="I34" s="7">
        <v>32181</v>
      </c>
      <c r="J34" s="7">
        <v>31084</v>
      </c>
      <c r="K34" s="7">
        <v>289</v>
      </c>
      <c r="L34" s="3" t="s">
        <v>351</v>
      </c>
      <c r="M34" s="3" t="s">
        <v>339</v>
      </c>
      <c r="N34" s="27">
        <f>INDEX('Campaign Metadata '!B:B,MATCH(M34,'Campaign Metadata '!A:A,0))</f>
        <v>45667</v>
      </c>
      <c r="O34" s="17">
        <f>INDEX('Campaign Metadata '!C:C,MATCH(M34,'Campaign Metadata '!A:A,0))</f>
        <v>45698</v>
      </c>
      <c r="P34" s="4" t="str">
        <f t="shared" si="0"/>
        <v>BEFORE</v>
      </c>
    </row>
    <row r="35" spans="1:17" ht="15.75" customHeight="1">
      <c r="A35" s="1" t="s">
        <v>52</v>
      </c>
      <c r="B35" s="3" t="s">
        <v>14</v>
      </c>
      <c r="C35" s="21">
        <v>45666</v>
      </c>
      <c r="D35" s="3" t="s">
        <v>15</v>
      </c>
      <c r="E35" s="3" t="s">
        <v>343</v>
      </c>
      <c r="F35" s="7">
        <v>1015</v>
      </c>
      <c r="G35" s="7">
        <v>366</v>
      </c>
      <c r="H35" s="7">
        <v>308</v>
      </c>
      <c r="I35" s="7">
        <v>38127</v>
      </c>
      <c r="J35" s="7">
        <v>63790</v>
      </c>
      <c r="K35" s="7">
        <v>287</v>
      </c>
      <c r="L35" s="3" t="s">
        <v>338</v>
      </c>
      <c r="M35" s="3" t="s">
        <v>339</v>
      </c>
      <c r="N35" s="27">
        <f>INDEX('Campaign Metadata '!B:B,MATCH(M35,'Campaign Metadata '!A:A,0))</f>
        <v>45667</v>
      </c>
      <c r="O35" s="17">
        <f>INDEX('Campaign Metadata '!C:C,MATCH(M35,'Campaign Metadata '!A:A,0))</f>
        <v>45698</v>
      </c>
      <c r="P35" s="4" t="str">
        <f t="shared" si="0"/>
        <v>BEFORE</v>
      </c>
    </row>
    <row r="36" spans="1:17" ht="15.75" customHeight="1">
      <c r="A36" s="1" t="s">
        <v>53</v>
      </c>
      <c r="B36" s="3" t="s">
        <v>18</v>
      </c>
      <c r="C36" s="21">
        <v>45785</v>
      </c>
      <c r="D36" s="3" t="s">
        <v>19</v>
      </c>
      <c r="E36" s="3" t="s">
        <v>356</v>
      </c>
      <c r="F36" s="7">
        <v>3316</v>
      </c>
      <c r="G36" s="7">
        <v>332</v>
      </c>
      <c r="H36" s="7">
        <v>268</v>
      </c>
      <c r="I36" s="7">
        <v>40095</v>
      </c>
      <c r="J36" s="7">
        <v>36913</v>
      </c>
      <c r="K36" s="7">
        <v>265</v>
      </c>
      <c r="L36" s="3" t="s">
        <v>344</v>
      </c>
      <c r="M36" s="3" t="s">
        <v>339</v>
      </c>
      <c r="N36" s="27">
        <f>INDEX('Campaign Metadata '!B:B,MATCH(M36,'Campaign Metadata '!A:A,0))</f>
        <v>45667</v>
      </c>
      <c r="O36" s="17">
        <f>INDEX('Campaign Metadata '!C:C,MATCH(M36,'Campaign Metadata '!A:A,0))</f>
        <v>45698</v>
      </c>
      <c r="P36" s="4" t="str">
        <f t="shared" si="0"/>
        <v>AFTER</v>
      </c>
    </row>
    <row r="37" spans="1:17" ht="15.75" customHeight="1">
      <c r="A37" s="1" t="s">
        <v>54</v>
      </c>
      <c r="B37" s="3" t="s">
        <v>14</v>
      </c>
      <c r="C37" s="21">
        <v>45416</v>
      </c>
      <c r="D37" s="3" t="s">
        <v>15</v>
      </c>
      <c r="E37" s="3" t="s">
        <v>345</v>
      </c>
      <c r="F37" s="7">
        <v>2274</v>
      </c>
      <c r="G37" s="7">
        <v>243</v>
      </c>
      <c r="H37" s="7">
        <v>222</v>
      </c>
      <c r="I37" s="7">
        <v>43066</v>
      </c>
      <c r="J37" s="7">
        <v>59174</v>
      </c>
      <c r="K37" s="7">
        <v>80</v>
      </c>
      <c r="L37" s="3" t="s">
        <v>341</v>
      </c>
      <c r="M37" s="3" t="s">
        <v>342</v>
      </c>
      <c r="N37" s="27">
        <f>INDEX('Campaign Metadata '!B:B,MATCH(M37,'Campaign Metadata '!A:A,0))</f>
        <v>45717</v>
      </c>
      <c r="O37" s="17">
        <f>INDEX('Campaign Metadata '!C:C,MATCH(M37,'Campaign Metadata '!A:A,0))</f>
        <v>45747</v>
      </c>
      <c r="P37" s="4" t="str">
        <f t="shared" si="0"/>
        <v>BEFORE</v>
      </c>
    </row>
    <row r="38" spans="1:17" ht="15.75" customHeight="1">
      <c r="A38" s="1" t="s">
        <v>55</v>
      </c>
      <c r="B38" s="3" t="s">
        <v>18</v>
      </c>
      <c r="C38" s="21">
        <v>45804</v>
      </c>
      <c r="D38" s="3" t="s">
        <v>19</v>
      </c>
      <c r="E38" s="3" t="s">
        <v>340</v>
      </c>
      <c r="F38" s="7">
        <v>4095</v>
      </c>
      <c r="G38" s="7">
        <v>385</v>
      </c>
      <c r="H38" s="7">
        <v>400</v>
      </c>
      <c r="I38" s="7">
        <v>45300</v>
      </c>
      <c r="J38" s="7">
        <v>31795</v>
      </c>
      <c r="K38" s="7">
        <v>80</v>
      </c>
      <c r="L38" s="3" t="s">
        <v>344</v>
      </c>
      <c r="M38" s="3" t="s">
        <v>339</v>
      </c>
      <c r="N38" s="27">
        <f>INDEX('Campaign Metadata '!B:B,MATCH(M38,'Campaign Metadata '!A:A,0))</f>
        <v>45667</v>
      </c>
      <c r="O38" s="17">
        <f>INDEX('Campaign Metadata '!C:C,MATCH(M38,'Campaign Metadata '!A:A,0))</f>
        <v>45698</v>
      </c>
      <c r="P38" s="4" t="str">
        <f t="shared" si="0"/>
        <v>AFTER</v>
      </c>
    </row>
    <row r="39" spans="1:17" ht="15.75" customHeight="1">
      <c r="A39" s="1" t="s">
        <v>56</v>
      </c>
      <c r="B39" s="3" t="s">
        <v>14</v>
      </c>
      <c r="C39" s="21">
        <v>45545</v>
      </c>
      <c r="D39" s="3" t="s">
        <v>19</v>
      </c>
      <c r="E39" s="3" t="s">
        <v>343</v>
      </c>
      <c r="F39" s="7">
        <v>1230</v>
      </c>
      <c r="G39" s="7">
        <v>309</v>
      </c>
      <c r="H39" s="7">
        <v>207</v>
      </c>
      <c r="I39" s="7">
        <v>44629</v>
      </c>
      <c r="J39" s="7">
        <v>40699</v>
      </c>
      <c r="K39" s="7">
        <v>195</v>
      </c>
      <c r="L39" s="3" t="s">
        <v>353</v>
      </c>
      <c r="M39" s="3" t="s">
        <v>35</v>
      </c>
      <c r="N39" s="27">
        <f>INDEX('Campaign Metadata '!B:B,MATCH(M39,'Campaign Metadata '!A:A,0))</f>
        <v>45627</v>
      </c>
      <c r="O39" s="17">
        <f>INDEX('Campaign Metadata '!C:C,MATCH(M39,'Campaign Metadata '!A:A,0))</f>
        <v>45657</v>
      </c>
      <c r="P39" s="4" t="str">
        <f t="shared" si="0"/>
        <v>BEFORE</v>
      </c>
    </row>
    <row r="40" spans="1:17" ht="15.75" customHeight="1">
      <c r="A40" s="1" t="s">
        <v>57</v>
      </c>
      <c r="B40" s="3" t="s">
        <v>14</v>
      </c>
      <c r="C40" s="21">
        <v>45621</v>
      </c>
      <c r="D40" s="3" t="s">
        <v>15</v>
      </c>
      <c r="E40" s="3" t="s">
        <v>355</v>
      </c>
      <c r="F40" s="7">
        <v>1341</v>
      </c>
      <c r="G40" s="7">
        <v>472</v>
      </c>
      <c r="H40" s="7">
        <v>238</v>
      </c>
      <c r="I40" s="7">
        <v>51386</v>
      </c>
      <c r="J40" s="7">
        <v>51706</v>
      </c>
      <c r="K40" s="7">
        <v>133</v>
      </c>
      <c r="L40" s="3" t="s">
        <v>341</v>
      </c>
      <c r="M40" s="3" t="s">
        <v>342</v>
      </c>
      <c r="N40" s="27">
        <f>INDEX('Campaign Metadata '!B:B,MATCH(M40,'Campaign Metadata '!A:A,0))</f>
        <v>45717</v>
      </c>
      <c r="O40" s="17">
        <f>INDEX('Campaign Metadata '!C:C,MATCH(M40,'Campaign Metadata '!A:A,0))</f>
        <v>45747</v>
      </c>
      <c r="P40" s="4" t="str">
        <f t="shared" si="0"/>
        <v>BEFORE</v>
      </c>
    </row>
    <row r="41" spans="1:17" ht="15.75" customHeight="1">
      <c r="A41" s="1" t="s">
        <v>58</v>
      </c>
      <c r="B41" s="3" t="s">
        <v>18</v>
      </c>
      <c r="C41" s="21">
        <v>45818</v>
      </c>
      <c r="D41" s="3" t="s">
        <v>15</v>
      </c>
      <c r="E41" s="3" t="s">
        <v>340</v>
      </c>
      <c r="F41" s="7">
        <v>3615</v>
      </c>
      <c r="G41" s="7">
        <v>192</v>
      </c>
      <c r="H41" s="7">
        <v>162</v>
      </c>
      <c r="I41" s="7">
        <v>27492</v>
      </c>
      <c r="J41" s="7">
        <v>35341</v>
      </c>
      <c r="K41" s="7">
        <v>125</v>
      </c>
      <c r="L41" s="3" t="s">
        <v>353</v>
      </c>
      <c r="M41" s="3" t="s">
        <v>339</v>
      </c>
      <c r="N41" s="27">
        <f>INDEX('Campaign Metadata '!B:B,MATCH(M41,'Campaign Metadata '!A:A,0))</f>
        <v>45667</v>
      </c>
      <c r="O41" s="17">
        <f>INDEX('Campaign Metadata '!C:C,MATCH(M41,'Campaign Metadata '!A:A,0))</f>
        <v>45698</v>
      </c>
      <c r="P41" s="4" t="str">
        <f t="shared" si="0"/>
        <v>AFTER</v>
      </c>
    </row>
    <row r="42" spans="1:17" ht="15.75" customHeight="1">
      <c r="A42" s="1" t="s">
        <v>59</v>
      </c>
      <c r="B42" s="3" t="s">
        <v>14</v>
      </c>
      <c r="C42" s="21">
        <v>45401</v>
      </c>
      <c r="D42" s="3" t="s">
        <v>15</v>
      </c>
      <c r="E42" s="3" t="s">
        <v>343</v>
      </c>
      <c r="F42" s="7">
        <v>4001</v>
      </c>
      <c r="G42" s="7">
        <v>353</v>
      </c>
      <c r="H42" s="7">
        <v>129</v>
      </c>
      <c r="I42" s="7">
        <v>41265</v>
      </c>
      <c r="J42" s="7">
        <v>37279</v>
      </c>
      <c r="K42" s="7">
        <v>275</v>
      </c>
      <c r="L42" s="3" t="s">
        <v>338</v>
      </c>
      <c r="M42" s="3" t="s">
        <v>339</v>
      </c>
      <c r="N42" s="27">
        <f>INDEX('Campaign Metadata '!B:B,MATCH(M42,'Campaign Metadata '!A:A,0))</f>
        <v>45667</v>
      </c>
      <c r="O42" s="17">
        <f>INDEX('Campaign Metadata '!C:C,MATCH(M42,'Campaign Metadata '!A:A,0))</f>
        <v>45698</v>
      </c>
      <c r="P42" s="4" t="str">
        <f t="shared" si="0"/>
        <v>BEFORE</v>
      </c>
    </row>
    <row r="43" spans="1:17" ht="15.75" customHeight="1">
      <c r="A43" s="1" t="s">
        <v>60</v>
      </c>
      <c r="B43" s="3" t="s">
        <v>14</v>
      </c>
      <c r="C43" s="21">
        <v>45683</v>
      </c>
      <c r="D43" s="3" t="s">
        <v>19</v>
      </c>
      <c r="E43" s="3" t="s">
        <v>349</v>
      </c>
      <c r="F43" s="7">
        <v>3451</v>
      </c>
      <c r="G43" s="7">
        <v>363</v>
      </c>
      <c r="H43" s="7">
        <v>393</v>
      </c>
      <c r="I43" s="7">
        <v>44853</v>
      </c>
      <c r="J43" s="7">
        <v>69032</v>
      </c>
      <c r="K43" s="7">
        <v>211</v>
      </c>
      <c r="L43" s="3" t="s">
        <v>353</v>
      </c>
      <c r="M43" s="3" t="s">
        <v>35</v>
      </c>
      <c r="N43" s="27">
        <f>INDEX('Campaign Metadata '!B:B,MATCH(M43,'Campaign Metadata '!A:A,0))</f>
        <v>45627</v>
      </c>
      <c r="O43" s="17">
        <f>INDEX('Campaign Metadata '!C:C,MATCH(M43,'Campaign Metadata '!A:A,0))</f>
        <v>45657</v>
      </c>
      <c r="P43" s="4" t="str">
        <f t="shared" si="0"/>
        <v>AFTER</v>
      </c>
    </row>
    <row r="44" spans="1:17" ht="15.75" customHeight="1">
      <c r="A44" s="1" t="s">
        <v>61</v>
      </c>
      <c r="B44" s="3" t="s">
        <v>14</v>
      </c>
      <c r="C44" s="21">
        <v>45702</v>
      </c>
      <c r="D44" s="3" t="s">
        <v>15</v>
      </c>
      <c r="E44" s="3" t="s">
        <v>352</v>
      </c>
      <c r="F44" s="7">
        <v>4891</v>
      </c>
      <c r="G44" s="7">
        <v>450</v>
      </c>
      <c r="H44" s="7">
        <v>387</v>
      </c>
      <c r="I44" s="7">
        <v>48746</v>
      </c>
      <c r="J44" s="7">
        <v>37312</v>
      </c>
      <c r="K44" s="7">
        <v>154</v>
      </c>
      <c r="L44" s="3" t="s">
        <v>338</v>
      </c>
      <c r="M44" s="3" t="s">
        <v>339</v>
      </c>
      <c r="N44" s="27">
        <f>INDEX('Campaign Metadata '!B:B,MATCH(M44,'Campaign Metadata '!A:A,0))</f>
        <v>45667</v>
      </c>
      <c r="O44" s="17">
        <f>INDEX('Campaign Metadata '!C:C,MATCH(M44,'Campaign Metadata '!A:A,0))</f>
        <v>45698</v>
      </c>
      <c r="P44" s="4" t="str">
        <f t="shared" si="0"/>
        <v>AFTER</v>
      </c>
    </row>
    <row r="45" spans="1:17" ht="15.75" customHeight="1">
      <c r="A45" s="1" t="s">
        <v>62</v>
      </c>
      <c r="B45" s="3" t="s">
        <v>14</v>
      </c>
      <c r="C45" s="21">
        <v>45541</v>
      </c>
      <c r="D45" s="3" t="s">
        <v>15</v>
      </c>
      <c r="E45" s="3" t="s">
        <v>343</v>
      </c>
      <c r="F45" s="7">
        <v>1452</v>
      </c>
      <c r="G45" s="7">
        <v>281</v>
      </c>
      <c r="H45" s="7">
        <v>326</v>
      </c>
      <c r="I45" s="7">
        <v>51556</v>
      </c>
      <c r="J45" s="7">
        <v>62599</v>
      </c>
      <c r="K45" s="7">
        <v>290</v>
      </c>
      <c r="L45" s="3" t="s">
        <v>341</v>
      </c>
      <c r="M45" s="3" t="s">
        <v>342</v>
      </c>
      <c r="N45" s="27">
        <f>INDEX('Campaign Metadata '!B:B,MATCH(M45,'Campaign Metadata '!A:A,0))</f>
        <v>45717</v>
      </c>
      <c r="O45" s="17">
        <f>INDEX('Campaign Metadata '!C:C,MATCH(M45,'Campaign Metadata '!A:A,0))</f>
        <v>45747</v>
      </c>
      <c r="P45" s="4" t="str">
        <f t="shared" si="0"/>
        <v>BEFORE</v>
      </c>
      <c r="Q45" t="b">
        <f>ISNUMBER(C2)</f>
        <v>1</v>
      </c>
    </row>
    <row r="46" spans="1:17" ht="15.75" customHeight="1">
      <c r="A46" s="1" t="s">
        <v>63</v>
      </c>
      <c r="B46" s="3" t="s">
        <v>346</v>
      </c>
      <c r="C46" s="21">
        <v>45487</v>
      </c>
      <c r="D46" s="3" t="s">
        <v>15</v>
      </c>
      <c r="E46" s="3" t="s">
        <v>356</v>
      </c>
      <c r="F46" s="7">
        <v>3806</v>
      </c>
      <c r="G46" s="7">
        <v>114</v>
      </c>
      <c r="H46" s="7">
        <v>278</v>
      </c>
      <c r="I46" s="7">
        <v>36148</v>
      </c>
      <c r="J46" s="7">
        <v>24209</v>
      </c>
      <c r="K46" s="7">
        <v>201</v>
      </c>
      <c r="L46" s="3" t="s">
        <v>348</v>
      </c>
      <c r="M46" s="3" t="s">
        <v>342</v>
      </c>
      <c r="N46" s="27">
        <f>INDEX('Campaign Metadata '!B:B,MATCH(M46,'Campaign Metadata '!A:A,0))</f>
        <v>45717</v>
      </c>
      <c r="O46" s="17">
        <f>INDEX('Campaign Metadata '!C:C,MATCH(M46,'Campaign Metadata '!A:A,0))</f>
        <v>45747</v>
      </c>
      <c r="P46" s="4" t="str">
        <f t="shared" si="0"/>
        <v>BEFORE</v>
      </c>
    </row>
    <row r="47" spans="1:17" ht="15.75" customHeight="1">
      <c r="A47" s="1" t="s">
        <v>64</v>
      </c>
      <c r="B47" s="3" t="s">
        <v>14</v>
      </c>
      <c r="C47" s="21">
        <v>45334</v>
      </c>
      <c r="D47" s="3" t="s">
        <v>15</v>
      </c>
      <c r="E47" s="3" t="s">
        <v>340</v>
      </c>
      <c r="F47" s="7">
        <v>2923</v>
      </c>
      <c r="G47" s="7">
        <v>330</v>
      </c>
      <c r="H47" s="7">
        <v>250</v>
      </c>
      <c r="I47" s="7">
        <v>23993</v>
      </c>
      <c r="J47" s="7">
        <v>74590</v>
      </c>
      <c r="K47" s="7">
        <v>92</v>
      </c>
      <c r="L47" s="3" t="s">
        <v>341</v>
      </c>
      <c r="M47" s="3" t="s">
        <v>342</v>
      </c>
      <c r="N47" s="27">
        <f>INDEX('Campaign Metadata '!B:B,MATCH(M47,'Campaign Metadata '!A:A,0))</f>
        <v>45717</v>
      </c>
      <c r="O47" s="17">
        <f>INDEX('Campaign Metadata '!C:C,MATCH(M47,'Campaign Metadata '!A:A,0))</f>
        <v>45747</v>
      </c>
      <c r="P47" s="4" t="str">
        <f t="shared" si="0"/>
        <v>BEFORE</v>
      </c>
      <c r="Q47" s="5">
        <f>C2+1</f>
        <v>45782</v>
      </c>
    </row>
    <row r="48" spans="1:17" ht="15.75" customHeight="1">
      <c r="A48" s="1" t="s">
        <v>65</v>
      </c>
      <c r="B48" s="3" t="s">
        <v>346</v>
      </c>
      <c r="C48" s="21">
        <v>45365</v>
      </c>
      <c r="D48" s="3" t="s">
        <v>37</v>
      </c>
      <c r="E48" s="3" t="s">
        <v>355</v>
      </c>
      <c r="F48" s="7">
        <v>3361</v>
      </c>
      <c r="G48" s="7">
        <v>188</v>
      </c>
      <c r="H48" s="7">
        <v>358</v>
      </c>
      <c r="I48" s="7">
        <v>39838</v>
      </c>
      <c r="J48" s="7">
        <v>24536</v>
      </c>
      <c r="K48" s="7">
        <v>120</v>
      </c>
      <c r="L48" s="3" t="s">
        <v>357</v>
      </c>
      <c r="M48" s="3" t="s">
        <v>358</v>
      </c>
      <c r="N48" s="27">
        <f>INDEX('Campaign Metadata '!B:B,MATCH(M48,'Campaign Metadata '!A:A,0))</f>
        <v>45458</v>
      </c>
      <c r="O48" s="17">
        <f>INDEX('Campaign Metadata '!C:C,MATCH(M48,'Campaign Metadata '!A:A,0))</f>
        <v>45488</v>
      </c>
      <c r="P48" s="4" t="str">
        <f t="shared" si="0"/>
        <v>BEFORE</v>
      </c>
    </row>
    <row r="49" spans="1:16" ht="15.75" customHeight="1">
      <c r="A49" s="1" t="s">
        <v>66</v>
      </c>
      <c r="B49" s="3" t="s">
        <v>14</v>
      </c>
      <c r="C49" s="21">
        <v>45693</v>
      </c>
      <c r="D49" s="3" t="s">
        <v>19</v>
      </c>
      <c r="E49" s="3" t="s">
        <v>347</v>
      </c>
      <c r="F49" s="7">
        <v>3074</v>
      </c>
      <c r="G49" s="7">
        <v>371</v>
      </c>
      <c r="H49" s="7">
        <v>348</v>
      </c>
      <c r="I49" s="7">
        <v>24104</v>
      </c>
      <c r="J49" s="7">
        <v>57803</v>
      </c>
      <c r="K49" s="7">
        <v>213</v>
      </c>
      <c r="L49" s="3" t="s">
        <v>353</v>
      </c>
      <c r="M49" s="3" t="s">
        <v>35</v>
      </c>
      <c r="N49" s="27">
        <f>INDEX('Campaign Metadata '!B:B,MATCH(M49,'Campaign Metadata '!A:A,0))</f>
        <v>45627</v>
      </c>
      <c r="O49" s="17">
        <f>INDEX('Campaign Metadata '!C:C,MATCH(M49,'Campaign Metadata '!A:A,0))</f>
        <v>45657</v>
      </c>
      <c r="P49" s="4" t="str">
        <f t="shared" si="0"/>
        <v>AFTER</v>
      </c>
    </row>
    <row r="50" spans="1:16" ht="15.75" customHeight="1">
      <c r="A50" s="1" t="s">
        <v>67</v>
      </c>
      <c r="B50" s="3" t="s">
        <v>18</v>
      </c>
      <c r="C50" s="21">
        <v>45533</v>
      </c>
      <c r="D50" s="3" t="s">
        <v>19</v>
      </c>
      <c r="E50" s="3" t="s">
        <v>350</v>
      </c>
      <c r="F50" s="7">
        <v>4276</v>
      </c>
      <c r="G50" s="7">
        <v>227</v>
      </c>
      <c r="H50" s="7">
        <v>223</v>
      </c>
      <c r="I50" s="7">
        <v>43443</v>
      </c>
      <c r="J50" s="7">
        <v>41005</v>
      </c>
      <c r="K50" s="7">
        <v>191</v>
      </c>
      <c r="L50" s="3" t="s">
        <v>351</v>
      </c>
      <c r="M50" s="3" t="s">
        <v>339</v>
      </c>
      <c r="N50" s="27">
        <f>INDEX('Campaign Metadata '!B:B,MATCH(M50,'Campaign Metadata '!A:A,0))</f>
        <v>45667</v>
      </c>
      <c r="O50" s="17">
        <f>INDEX('Campaign Metadata '!C:C,MATCH(M50,'Campaign Metadata '!A:A,0))</f>
        <v>45698</v>
      </c>
      <c r="P50" s="4" t="str">
        <f t="shared" si="0"/>
        <v>BEFORE</v>
      </c>
    </row>
    <row r="51" spans="1:16" ht="15.75" customHeight="1">
      <c r="A51" s="1" t="s">
        <v>68</v>
      </c>
      <c r="B51" s="3" t="s">
        <v>18</v>
      </c>
      <c r="C51" s="21">
        <v>45769</v>
      </c>
      <c r="D51" s="3" t="s">
        <v>15</v>
      </c>
      <c r="E51" s="3" t="s">
        <v>337</v>
      </c>
      <c r="F51" s="7">
        <v>4401</v>
      </c>
      <c r="G51" s="7">
        <v>421</v>
      </c>
      <c r="H51" s="7">
        <v>216</v>
      </c>
      <c r="I51" s="7">
        <v>24890</v>
      </c>
      <c r="J51" s="7">
        <v>54361</v>
      </c>
      <c r="K51" s="7">
        <v>148</v>
      </c>
      <c r="L51" s="3" t="s">
        <v>353</v>
      </c>
      <c r="M51" s="3" t="s">
        <v>339</v>
      </c>
      <c r="N51" s="27">
        <f>INDEX('Campaign Metadata '!B:B,MATCH(M51,'Campaign Metadata '!A:A,0))</f>
        <v>45667</v>
      </c>
      <c r="O51" s="17">
        <f>INDEX('Campaign Metadata '!C:C,MATCH(M51,'Campaign Metadata '!A:A,0))</f>
        <v>45698</v>
      </c>
      <c r="P51" s="4" t="str">
        <f t="shared" si="0"/>
        <v>AFTER</v>
      </c>
    </row>
    <row r="52" spans="1:16" ht="15.75" customHeight="1">
      <c r="A52" s="1" t="s">
        <v>69</v>
      </c>
      <c r="B52" s="3" t="s">
        <v>346</v>
      </c>
      <c r="C52" s="21">
        <v>45425</v>
      </c>
      <c r="D52" s="3" t="s">
        <v>37</v>
      </c>
      <c r="E52" s="3" t="s">
        <v>340</v>
      </c>
      <c r="F52" s="7">
        <v>4161</v>
      </c>
      <c r="G52" s="7">
        <v>481</v>
      </c>
      <c r="H52" s="7">
        <v>61</v>
      </c>
      <c r="I52" s="7">
        <v>45884</v>
      </c>
      <c r="J52" s="7">
        <v>48955</v>
      </c>
      <c r="K52" s="7">
        <v>215</v>
      </c>
      <c r="L52" s="3" t="s">
        <v>357</v>
      </c>
      <c r="M52" s="3" t="s">
        <v>358</v>
      </c>
      <c r="N52" s="27">
        <f>INDEX('Campaign Metadata '!B:B,MATCH(M52,'Campaign Metadata '!A:A,0))</f>
        <v>45458</v>
      </c>
      <c r="O52" s="17">
        <f>INDEX('Campaign Metadata '!C:C,MATCH(M52,'Campaign Metadata '!A:A,0))</f>
        <v>45488</v>
      </c>
      <c r="P52" s="4" t="str">
        <f t="shared" si="0"/>
        <v>BEFORE</v>
      </c>
    </row>
    <row r="53" spans="1:16" ht="15.75" customHeight="1">
      <c r="A53" s="1" t="s">
        <v>70</v>
      </c>
      <c r="B53" s="3" t="s">
        <v>18</v>
      </c>
      <c r="C53" s="21">
        <v>45539</v>
      </c>
      <c r="D53" s="3" t="s">
        <v>19</v>
      </c>
      <c r="E53" s="3" t="s">
        <v>343</v>
      </c>
      <c r="F53" s="7">
        <v>2613</v>
      </c>
      <c r="G53" s="7">
        <v>455</v>
      </c>
      <c r="H53" s="7">
        <v>228</v>
      </c>
      <c r="I53" s="7">
        <v>21645</v>
      </c>
      <c r="J53" s="7">
        <v>61334</v>
      </c>
      <c r="K53" s="7">
        <v>261</v>
      </c>
      <c r="L53" s="3" t="s">
        <v>351</v>
      </c>
      <c r="M53" s="3" t="s">
        <v>339</v>
      </c>
      <c r="N53" s="27">
        <f>INDEX('Campaign Metadata '!B:B,MATCH(M53,'Campaign Metadata '!A:A,0))</f>
        <v>45667</v>
      </c>
      <c r="O53" s="17">
        <f>INDEX('Campaign Metadata '!C:C,MATCH(M53,'Campaign Metadata '!A:A,0))</f>
        <v>45698</v>
      </c>
      <c r="P53" s="4" t="str">
        <f t="shared" si="0"/>
        <v>BEFORE</v>
      </c>
    </row>
    <row r="54" spans="1:16" ht="15.75" customHeight="1">
      <c r="A54" s="1" t="s">
        <v>71</v>
      </c>
      <c r="B54" s="3" t="s">
        <v>18</v>
      </c>
      <c r="C54" s="21">
        <v>45516</v>
      </c>
      <c r="D54" s="3" t="s">
        <v>19</v>
      </c>
      <c r="E54" s="3" t="s">
        <v>349</v>
      </c>
      <c r="F54" s="7">
        <v>2842</v>
      </c>
      <c r="G54" s="7">
        <v>213</v>
      </c>
      <c r="H54" s="7">
        <v>331</v>
      </c>
      <c r="I54" s="7">
        <v>57660</v>
      </c>
      <c r="J54" s="7">
        <v>68606</v>
      </c>
      <c r="K54" s="7">
        <v>87</v>
      </c>
      <c r="L54" s="3" t="s">
        <v>344</v>
      </c>
      <c r="M54" s="3" t="s">
        <v>339</v>
      </c>
      <c r="N54" s="27">
        <f>INDEX('Campaign Metadata '!B:B,MATCH(M54,'Campaign Metadata '!A:A,0))</f>
        <v>45667</v>
      </c>
      <c r="O54" s="17">
        <f>INDEX('Campaign Metadata '!C:C,MATCH(M54,'Campaign Metadata '!A:A,0))</f>
        <v>45698</v>
      </c>
      <c r="P54" s="4" t="str">
        <f t="shared" si="0"/>
        <v>BEFORE</v>
      </c>
    </row>
    <row r="55" spans="1:16" ht="15.75" customHeight="1">
      <c r="A55" s="1" t="s">
        <v>72</v>
      </c>
      <c r="B55" s="3" t="s">
        <v>14</v>
      </c>
      <c r="C55" s="21">
        <v>45722</v>
      </c>
      <c r="D55" s="3" t="s">
        <v>15</v>
      </c>
      <c r="E55" s="3" t="s">
        <v>350</v>
      </c>
      <c r="F55" s="7">
        <v>4851</v>
      </c>
      <c r="G55" s="7">
        <v>460</v>
      </c>
      <c r="H55" s="7">
        <v>212</v>
      </c>
      <c r="I55" s="7">
        <v>58075</v>
      </c>
      <c r="J55" s="7">
        <v>59574</v>
      </c>
      <c r="K55" s="7">
        <v>239</v>
      </c>
      <c r="L55" s="3" t="s">
        <v>341</v>
      </c>
      <c r="M55" s="3" t="s">
        <v>342</v>
      </c>
      <c r="N55" s="27">
        <f>INDEX('Campaign Metadata '!B:B,MATCH(M55,'Campaign Metadata '!A:A,0))</f>
        <v>45717</v>
      </c>
      <c r="O55" s="17">
        <f>INDEX('Campaign Metadata '!C:C,MATCH(M55,'Campaign Metadata '!A:A,0))</f>
        <v>45747</v>
      </c>
      <c r="P55" s="4" t="str">
        <f t="shared" si="0"/>
        <v>DURING</v>
      </c>
    </row>
    <row r="56" spans="1:16" ht="15.75" customHeight="1">
      <c r="A56" s="1" t="s">
        <v>73</v>
      </c>
      <c r="B56" s="3" t="s">
        <v>18</v>
      </c>
      <c r="C56" s="21">
        <v>45420</v>
      </c>
      <c r="D56" s="3" t="s">
        <v>15</v>
      </c>
      <c r="E56" s="3" t="s">
        <v>340</v>
      </c>
      <c r="F56" s="7">
        <v>1828</v>
      </c>
      <c r="G56" s="7">
        <v>450</v>
      </c>
      <c r="H56" s="7">
        <v>214</v>
      </c>
      <c r="I56" s="7">
        <v>52115</v>
      </c>
      <c r="J56" s="7">
        <v>19166</v>
      </c>
      <c r="K56" s="7">
        <v>190</v>
      </c>
      <c r="L56" s="3" t="s">
        <v>353</v>
      </c>
      <c r="M56" s="3" t="s">
        <v>339</v>
      </c>
      <c r="N56" s="27">
        <f>INDEX('Campaign Metadata '!B:B,MATCH(M56,'Campaign Metadata '!A:A,0))</f>
        <v>45667</v>
      </c>
      <c r="O56" s="17">
        <f>INDEX('Campaign Metadata '!C:C,MATCH(M56,'Campaign Metadata '!A:A,0))</f>
        <v>45698</v>
      </c>
      <c r="P56" s="4" t="str">
        <f t="shared" si="0"/>
        <v>BEFORE</v>
      </c>
    </row>
    <row r="57" spans="1:16" ht="15.75" customHeight="1">
      <c r="A57" s="1" t="s">
        <v>74</v>
      </c>
      <c r="B57" s="3" t="s">
        <v>14</v>
      </c>
      <c r="C57" s="21">
        <v>45707</v>
      </c>
      <c r="D57" s="3" t="s">
        <v>19</v>
      </c>
      <c r="E57" s="3" t="s">
        <v>355</v>
      </c>
      <c r="F57" s="7">
        <v>2422</v>
      </c>
      <c r="G57" s="7">
        <v>455</v>
      </c>
      <c r="H57" s="7">
        <v>376</v>
      </c>
      <c r="I57" s="7">
        <v>23428</v>
      </c>
      <c r="J57" s="7">
        <v>46775</v>
      </c>
      <c r="K57" s="7">
        <v>259</v>
      </c>
      <c r="L57" s="3" t="s">
        <v>353</v>
      </c>
      <c r="M57" s="3" t="s">
        <v>35</v>
      </c>
      <c r="N57" s="27">
        <f>INDEX('Campaign Metadata '!B:B,MATCH(M57,'Campaign Metadata '!A:A,0))</f>
        <v>45627</v>
      </c>
      <c r="O57" s="17">
        <f>INDEX('Campaign Metadata '!C:C,MATCH(M57,'Campaign Metadata '!A:A,0))</f>
        <v>45657</v>
      </c>
      <c r="P57" s="4" t="str">
        <f t="shared" si="0"/>
        <v>AFTER</v>
      </c>
    </row>
    <row r="58" spans="1:16" ht="15.75" customHeight="1">
      <c r="A58" s="1" t="s">
        <v>75</v>
      </c>
      <c r="B58" s="3" t="s">
        <v>14</v>
      </c>
      <c r="C58" s="21">
        <v>45299</v>
      </c>
      <c r="D58" s="3" t="s">
        <v>15</v>
      </c>
      <c r="E58" s="3" t="s">
        <v>352</v>
      </c>
      <c r="F58" s="7">
        <v>2683</v>
      </c>
      <c r="G58" s="7">
        <v>405</v>
      </c>
      <c r="H58" s="7">
        <v>223</v>
      </c>
      <c r="I58" s="7">
        <v>31233</v>
      </c>
      <c r="J58" s="7">
        <v>58106</v>
      </c>
      <c r="K58" s="7">
        <v>291</v>
      </c>
      <c r="L58" s="3" t="s">
        <v>341</v>
      </c>
      <c r="M58" s="3" t="s">
        <v>342</v>
      </c>
      <c r="N58" s="27">
        <f>INDEX('Campaign Metadata '!B:B,MATCH(M58,'Campaign Metadata '!A:A,0))</f>
        <v>45717</v>
      </c>
      <c r="O58" s="17">
        <f>INDEX('Campaign Metadata '!C:C,MATCH(M58,'Campaign Metadata '!A:A,0))</f>
        <v>45747</v>
      </c>
      <c r="P58" s="4" t="str">
        <f t="shared" si="0"/>
        <v>BEFORE</v>
      </c>
    </row>
    <row r="59" spans="1:16" ht="15.75" customHeight="1">
      <c r="A59" s="1" t="s">
        <v>76</v>
      </c>
      <c r="B59" s="3" t="s">
        <v>346</v>
      </c>
      <c r="C59" s="21">
        <v>45490</v>
      </c>
      <c r="D59" s="3" t="s">
        <v>15</v>
      </c>
      <c r="E59" s="3" t="s">
        <v>352</v>
      </c>
      <c r="F59" s="7">
        <v>3135</v>
      </c>
      <c r="G59" s="7">
        <v>110</v>
      </c>
      <c r="H59" s="7">
        <v>215</v>
      </c>
      <c r="I59" s="7">
        <v>39192</v>
      </c>
      <c r="J59" s="7">
        <v>24744</v>
      </c>
      <c r="K59" s="7">
        <v>177</v>
      </c>
      <c r="L59" s="3" t="s">
        <v>348</v>
      </c>
      <c r="M59" s="3" t="s">
        <v>342</v>
      </c>
      <c r="N59" s="27">
        <f>INDEX('Campaign Metadata '!B:B,MATCH(M59,'Campaign Metadata '!A:A,0))</f>
        <v>45717</v>
      </c>
      <c r="O59" s="17">
        <f>INDEX('Campaign Metadata '!C:C,MATCH(M59,'Campaign Metadata '!A:A,0))</f>
        <v>45747</v>
      </c>
      <c r="P59" s="4" t="str">
        <f t="shared" si="0"/>
        <v>BEFORE</v>
      </c>
    </row>
    <row r="60" spans="1:16" ht="15.75" customHeight="1">
      <c r="A60" s="1" t="s">
        <v>77</v>
      </c>
      <c r="B60" s="3" t="s">
        <v>346</v>
      </c>
      <c r="C60" s="21">
        <v>45514</v>
      </c>
      <c r="D60" s="3" t="s">
        <v>15</v>
      </c>
      <c r="E60" s="3" t="s">
        <v>355</v>
      </c>
      <c r="F60" s="7">
        <v>1105</v>
      </c>
      <c r="G60" s="7">
        <v>181</v>
      </c>
      <c r="H60" s="7">
        <v>55</v>
      </c>
      <c r="I60" s="7">
        <v>53581</v>
      </c>
      <c r="J60" s="7">
        <v>74048</v>
      </c>
      <c r="K60" s="7">
        <v>220</v>
      </c>
      <c r="L60" s="3" t="s">
        <v>348</v>
      </c>
      <c r="M60" s="3" t="s">
        <v>342</v>
      </c>
      <c r="N60" s="27">
        <f>INDEX('Campaign Metadata '!B:B,MATCH(M60,'Campaign Metadata '!A:A,0))</f>
        <v>45717</v>
      </c>
      <c r="O60" s="17">
        <f>INDEX('Campaign Metadata '!C:C,MATCH(M60,'Campaign Metadata '!A:A,0))</f>
        <v>45747</v>
      </c>
      <c r="P60" s="4" t="str">
        <f t="shared" si="0"/>
        <v>BEFORE</v>
      </c>
    </row>
    <row r="61" spans="1:16" ht="15.75" customHeight="1">
      <c r="A61" s="1" t="s">
        <v>78</v>
      </c>
      <c r="B61" s="3" t="s">
        <v>346</v>
      </c>
      <c r="C61" s="21">
        <v>45398</v>
      </c>
      <c r="D61" s="3" t="s">
        <v>15</v>
      </c>
      <c r="E61" s="3" t="s">
        <v>337</v>
      </c>
      <c r="F61" s="7">
        <v>4674</v>
      </c>
      <c r="G61" s="7">
        <v>326</v>
      </c>
      <c r="H61" s="7">
        <v>62</v>
      </c>
      <c r="I61" s="7">
        <v>45503</v>
      </c>
      <c r="J61" s="7">
        <v>46814</v>
      </c>
      <c r="K61" s="7">
        <v>116</v>
      </c>
      <c r="L61" s="3" t="s">
        <v>348</v>
      </c>
      <c r="M61" s="3" t="s">
        <v>342</v>
      </c>
      <c r="N61" s="27">
        <f>INDEX('Campaign Metadata '!B:B,MATCH(M61,'Campaign Metadata '!A:A,0))</f>
        <v>45717</v>
      </c>
      <c r="O61" s="17">
        <f>INDEX('Campaign Metadata '!C:C,MATCH(M61,'Campaign Metadata '!A:A,0))</f>
        <v>45747</v>
      </c>
      <c r="P61" s="4" t="str">
        <f t="shared" si="0"/>
        <v>BEFORE</v>
      </c>
    </row>
    <row r="62" spans="1:16" ht="15.75" customHeight="1">
      <c r="A62" s="1" t="s">
        <v>79</v>
      </c>
      <c r="B62" s="3" t="s">
        <v>346</v>
      </c>
      <c r="C62" s="21">
        <v>45292</v>
      </c>
      <c r="D62" s="3" t="s">
        <v>37</v>
      </c>
      <c r="E62" s="3" t="s">
        <v>340</v>
      </c>
      <c r="F62" s="7">
        <v>3437</v>
      </c>
      <c r="G62" s="7">
        <v>129</v>
      </c>
      <c r="H62" s="7">
        <v>359</v>
      </c>
      <c r="I62" s="7">
        <v>44558</v>
      </c>
      <c r="J62" s="7">
        <v>30854</v>
      </c>
      <c r="K62" s="7">
        <v>171</v>
      </c>
      <c r="L62" s="3" t="s">
        <v>357</v>
      </c>
      <c r="M62" s="3" t="s">
        <v>358</v>
      </c>
      <c r="N62" s="27">
        <f>INDEX('Campaign Metadata '!B:B,MATCH(M62,'Campaign Metadata '!A:A,0))</f>
        <v>45458</v>
      </c>
      <c r="O62" s="17">
        <f>INDEX('Campaign Metadata '!C:C,MATCH(M62,'Campaign Metadata '!A:A,0))</f>
        <v>45488</v>
      </c>
      <c r="P62" s="4" t="str">
        <f t="shared" si="0"/>
        <v>BEFORE</v>
      </c>
    </row>
    <row r="63" spans="1:16" ht="15.75" customHeight="1">
      <c r="A63" s="1" t="s">
        <v>80</v>
      </c>
      <c r="B63" s="3" t="s">
        <v>18</v>
      </c>
      <c r="C63" s="21">
        <v>45599</v>
      </c>
      <c r="D63" s="3" t="s">
        <v>19</v>
      </c>
      <c r="E63" s="3" t="s">
        <v>345</v>
      </c>
      <c r="F63" s="7">
        <v>1959</v>
      </c>
      <c r="G63" s="7">
        <v>316</v>
      </c>
      <c r="H63" s="7">
        <v>82</v>
      </c>
      <c r="I63" s="7">
        <v>54036</v>
      </c>
      <c r="J63" s="7">
        <v>69015</v>
      </c>
      <c r="K63" s="7">
        <v>182</v>
      </c>
      <c r="L63" s="3" t="s">
        <v>344</v>
      </c>
      <c r="M63" s="3" t="s">
        <v>339</v>
      </c>
      <c r="N63" s="27">
        <f>INDEX('Campaign Metadata '!B:B,MATCH(M63,'Campaign Metadata '!A:A,0))</f>
        <v>45667</v>
      </c>
      <c r="O63" s="17">
        <f>INDEX('Campaign Metadata '!C:C,MATCH(M63,'Campaign Metadata '!A:A,0))</f>
        <v>45698</v>
      </c>
      <c r="P63" s="4" t="str">
        <f t="shared" si="0"/>
        <v>BEFORE</v>
      </c>
    </row>
    <row r="64" spans="1:16" ht="15.75" customHeight="1">
      <c r="A64" s="1" t="s">
        <v>81</v>
      </c>
      <c r="B64" s="3" t="s">
        <v>18</v>
      </c>
      <c r="C64" s="21">
        <v>45480</v>
      </c>
      <c r="D64" s="3" t="s">
        <v>15</v>
      </c>
      <c r="E64" s="3" t="s">
        <v>343</v>
      </c>
      <c r="F64" s="7">
        <v>1035</v>
      </c>
      <c r="G64" s="7">
        <v>137</v>
      </c>
      <c r="H64" s="7">
        <v>184</v>
      </c>
      <c r="I64" s="7">
        <v>37302</v>
      </c>
      <c r="J64" s="7">
        <v>68953</v>
      </c>
      <c r="K64" s="7">
        <v>237</v>
      </c>
      <c r="L64" s="3" t="s">
        <v>354</v>
      </c>
      <c r="M64" s="3" t="s">
        <v>342</v>
      </c>
      <c r="N64" s="27">
        <f>INDEX('Campaign Metadata '!B:B,MATCH(M64,'Campaign Metadata '!A:A,0))</f>
        <v>45717</v>
      </c>
      <c r="O64" s="17">
        <f>INDEX('Campaign Metadata '!C:C,MATCH(M64,'Campaign Metadata '!A:A,0))</f>
        <v>45747</v>
      </c>
      <c r="P64" s="4" t="str">
        <f t="shared" si="0"/>
        <v>BEFORE</v>
      </c>
    </row>
    <row r="65" spans="1:16" ht="15.75" customHeight="1">
      <c r="A65" s="1" t="s">
        <v>82</v>
      </c>
      <c r="B65" s="3" t="s">
        <v>18</v>
      </c>
      <c r="C65" s="21">
        <v>45679</v>
      </c>
      <c r="D65" s="3" t="s">
        <v>19</v>
      </c>
      <c r="E65" s="3" t="s">
        <v>343</v>
      </c>
      <c r="F65" s="7">
        <v>4478</v>
      </c>
      <c r="G65" s="7">
        <v>101</v>
      </c>
      <c r="H65" s="7">
        <v>121</v>
      </c>
      <c r="I65" s="7">
        <v>51035</v>
      </c>
      <c r="J65" s="7">
        <v>58207</v>
      </c>
      <c r="K65" s="7">
        <v>205</v>
      </c>
      <c r="L65" s="3" t="s">
        <v>344</v>
      </c>
      <c r="M65" s="3" t="s">
        <v>339</v>
      </c>
      <c r="N65" s="27">
        <f>INDEX('Campaign Metadata '!B:B,MATCH(M65,'Campaign Metadata '!A:A,0))</f>
        <v>45667</v>
      </c>
      <c r="O65" s="17">
        <f>INDEX('Campaign Metadata '!C:C,MATCH(M65,'Campaign Metadata '!A:A,0))</f>
        <v>45698</v>
      </c>
      <c r="P65" s="4" t="str">
        <f t="shared" si="0"/>
        <v>DURING</v>
      </c>
    </row>
    <row r="66" spans="1:16" ht="15.75" customHeight="1">
      <c r="A66" s="1" t="s">
        <v>83</v>
      </c>
      <c r="B66" s="3" t="s">
        <v>346</v>
      </c>
      <c r="C66" s="21">
        <v>45438</v>
      </c>
      <c r="D66" s="3" t="s">
        <v>15</v>
      </c>
      <c r="E66" s="3" t="s">
        <v>355</v>
      </c>
      <c r="F66" s="7">
        <v>1488</v>
      </c>
      <c r="G66" s="7">
        <v>327</v>
      </c>
      <c r="H66" s="7">
        <v>110</v>
      </c>
      <c r="I66" s="7">
        <v>53805</v>
      </c>
      <c r="J66" s="7">
        <v>30239</v>
      </c>
      <c r="K66" s="7">
        <v>109</v>
      </c>
      <c r="L66" s="3" t="s">
        <v>348</v>
      </c>
      <c r="M66" s="3" t="s">
        <v>342</v>
      </c>
      <c r="N66" s="27">
        <f>INDEX('Campaign Metadata '!B:B,MATCH(M66,'Campaign Metadata '!A:A,0))</f>
        <v>45717</v>
      </c>
      <c r="O66" s="17">
        <f>INDEX('Campaign Metadata '!C:C,MATCH(M66,'Campaign Metadata '!A:A,0))</f>
        <v>45747</v>
      </c>
      <c r="P66" s="4" t="str">
        <f t="shared" si="0"/>
        <v>BEFORE</v>
      </c>
    </row>
    <row r="67" spans="1:16" ht="15.75" customHeight="1">
      <c r="A67" s="1" t="s">
        <v>84</v>
      </c>
      <c r="B67" s="3" t="s">
        <v>14</v>
      </c>
      <c r="C67" s="21">
        <v>45763</v>
      </c>
      <c r="D67" s="3" t="s">
        <v>15</v>
      </c>
      <c r="E67" s="3" t="s">
        <v>345</v>
      </c>
      <c r="F67" s="7">
        <v>4836</v>
      </c>
      <c r="G67" s="7">
        <v>331</v>
      </c>
      <c r="H67" s="7">
        <v>140</v>
      </c>
      <c r="I67" s="7">
        <v>58792</v>
      </c>
      <c r="J67" s="7">
        <v>47711</v>
      </c>
      <c r="K67" s="7">
        <v>227</v>
      </c>
      <c r="L67" s="3" t="s">
        <v>338</v>
      </c>
      <c r="M67" s="3" t="s">
        <v>339</v>
      </c>
      <c r="N67" s="27">
        <f>INDEX('Campaign Metadata '!B:B,MATCH(M67,'Campaign Metadata '!A:A,0))</f>
        <v>45667</v>
      </c>
      <c r="O67" s="17">
        <f>INDEX('Campaign Metadata '!C:C,MATCH(M67,'Campaign Metadata '!A:A,0))</f>
        <v>45698</v>
      </c>
      <c r="P67" s="4" t="str">
        <f t="shared" ref="P67:P130" si="1">IF(AND(C67&lt;=O67,C67&gt;=N67),"DURING",IF(C67&lt;O67,"BEFORE", "AFTER"))</f>
        <v>AFTER</v>
      </c>
    </row>
    <row r="68" spans="1:16" ht="15.75" customHeight="1">
      <c r="A68" s="1" t="s">
        <v>85</v>
      </c>
      <c r="B68" s="3" t="s">
        <v>346</v>
      </c>
      <c r="C68" s="21">
        <v>45384</v>
      </c>
      <c r="D68" s="3" t="s">
        <v>37</v>
      </c>
      <c r="E68" s="3" t="s">
        <v>356</v>
      </c>
      <c r="F68" s="7">
        <v>4563</v>
      </c>
      <c r="G68" s="7">
        <v>488</v>
      </c>
      <c r="H68" s="7">
        <v>356</v>
      </c>
      <c r="I68" s="7">
        <v>30619</v>
      </c>
      <c r="J68" s="7">
        <v>23328</v>
      </c>
      <c r="K68" s="7">
        <v>267</v>
      </c>
      <c r="L68" s="3" t="s">
        <v>357</v>
      </c>
      <c r="M68" s="3" t="s">
        <v>358</v>
      </c>
      <c r="N68" s="27">
        <f>INDEX('Campaign Metadata '!B:B,MATCH(M68,'Campaign Metadata '!A:A,0))</f>
        <v>45458</v>
      </c>
      <c r="O68" s="17">
        <f>INDEX('Campaign Metadata '!C:C,MATCH(M68,'Campaign Metadata '!A:A,0))</f>
        <v>45488</v>
      </c>
      <c r="P68" s="4" t="str">
        <f t="shared" si="1"/>
        <v>BEFORE</v>
      </c>
    </row>
    <row r="69" spans="1:16" ht="15.75" customHeight="1">
      <c r="A69" s="1" t="s">
        <v>86</v>
      </c>
      <c r="B69" s="3" t="s">
        <v>18</v>
      </c>
      <c r="C69" s="21">
        <v>45379</v>
      </c>
      <c r="D69" s="3" t="s">
        <v>15</v>
      </c>
      <c r="E69" s="3" t="s">
        <v>347</v>
      </c>
      <c r="F69" s="7">
        <v>3276</v>
      </c>
      <c r="G69" s="7">
        <v>421</v>
      </c>
      <c r="H69" s="7">
        <v>114</v>
      </c>
      <c r="I69" s="7">
        <v>20580</v>
      </c>
      <c r="J69" s="7">
        <v>30324</v>
      </c>
      <c r="K69" s="7">
        <v>221</v>
      </c>
      <c r="L69" s="3" t="s">
        <v>354</v>
      </c>
      <c r="M69" s="3" t="s">
        <v>342</v>
      </c>
      <c r="N69" s="27">
        <f>INDEX('Campaign Metadata '!B:B,MATCH(M69,'Campaign Metadata '!A:A,0))</f>
        <v>45717</v>
      </c>
      <c r="O69" s="17">
        <f>INDEX('Campaign Metadata '!C:C,MATCH(M69,'Campaign Metadata '!A:A,0))</f>
        <v>45747</v>
      </c>
      <c r="P69" s="4" t="str">
        <f t="shared" si="1"/>
        <v>BEFORE</v>
      </c>
    </row>
    <row r="70" spans="1:16" ht="15.75" customHeight="1">
      <c r="A70" s="1" t="s">
        <v>87</v>
      </c>
      <c r="B70" s="3" t="s">
        <v>18</v>
      </c>
      <c r="C70" s="21">
        <v>45643</v>
      </c>
      <c r="D70" s="3" t="s">
        <v>19</v>
      </c>
      <c r="E70" s="3" t="s">
        <v>347</v>
      </c>
      <c r="F70" s="7">
        <v>1316</v>
      </c>
      <c r="G70" s="7">
        <v>472</v>
      </c>
      <c r="H70" s="7">
        <v>286</v>
      </c>
      <c r="I70" s="7">
        <v>44692</v>
      </c>
      <c r="J70" s="7">
        <v>53343</v>
      </c>
      <c r="K70" s="7">
        <v>227</v>
      </c>
      <c r="L70" s="3" t="s">
        <v>351</v>
      </c>
      <c r="M70" s="3" t="s">
        <v>339</v>
      </c>
      <c r="N70" s="27">
        <f>INDEX('Campaign Metadata '!B:B,MATCH(M70,'Campaign Metadata '!A:A,0))</f>
        <v>45667</v>
      </c>
      <c r="O70" s="17">
        <f>INDEX('Campaign Metadata '!C:C,MATCH(M70,'Campaign Metadata '!A:A,0))</f>
        <v>45698</v>
      </c>
      <c r="P70" s="4" t="str">
        <f t="shared" si="1"/>
        <v>BEFORE</v>
      </c>
    </row>
    <row r="71" spans="1:16" ht="15.75" customHeight="1">
      <c r="A71" s="1" t="s">
        <v>88</v>
      </c>
      <c r="B71" s="3" t="s">
        <v>18</v>
      </c>
      <c r="C71" s="21">
        <v>45662</v>
      </c>
      <c r="D71" s="3" t="s">
        <v>15</v>
      </c>
      <c r="E71" s="3" t="s">
        <v>345</v>
      </c>
      <c r="F71" s="7">
        <v>4811</v>
      </c>
      <c r="G71" s="7">
        <v>473</v>
      </c>
      <c r="H71" s="7">
        <v>254</v>
      </c>
      <c r="I71" s="7">
        <v>51964</v>
      </c>
      <c r="J71" s="7">
        <v>68795</v>
      </c>
      <c r="K71" s="7">
        <v>107</v>
      </c>
      <c r="L71" s="3" t="s">
        <v>353</v>
      </c>
      <c r="M71" s="3" t="s">
        <v>339</v>
      </c>
      <c r="N71" s="27">
        <f>INDEX('Campaign Metadata '!B:B,MATCH(M71,'Campaign Metadata '!A:A,0))</f>
        <v>45667</v>
      </c>
      <c r="O71" s="17">
        <f>INDEX('Campaign Metadata '!C:C,MATCH(M71,'Campaign Metadata '!A:A,0))</f>
        <v>45698</v>
      </c>
      <c r="P71" s="4" t="str">
        <f t="shared" si="1"/>
        <v>BEFORE</v>
      </c>
    </row>
    <row r="72" spans="1:16" ht="15.75" customHeight="1">
      <c r="A72" s="1" t="s">
        <v>89</v>
      </c>
      <c r="B72" s="3" t="s">
        <v>18</v>
      </c>
      <c r="C72" s="21">
        <v>45302</v>
      </c>
      <c r="D72" s="3" t="s">
        <v>15</v>
      </c>
      <c r="E72" s="3" t="s">
        <v>349</v>
      </c>
      <c r="F72" s="7">
        <v>4218</v>
      </c>
      <c r="G72" s="7">
        <v>247</v>
      </c>
      <c r="H72" s="7">
        <v>183</v>
      </c>
      <c r="I72" s="7">
        <v>28914</v>
      </c>
      <c r="J72" s="7">
        <v>18310</v>
      </c>
      <c r="K72" s="7">
        <v>135</v>
      </c>
      <c r="L72" s="3" t="s">
        <v>354</v>
      </c>
      <c r="M72" s="3" t="s">
        <v>342</v>
      </c>
      <c r="N72" s="27">
        <f>INDEX('Campaign Metadata '!B:B,MATCH(M72,'Campaign Metadata '!A:A,0))</f>
        <v>45717</v>
      </c>
      <c r="O72" s="17">
        <f>INDEX('Campaign Metadata '!C:C,MATCH(M72,'Campaign Metadata '!A:A,0))</f>
        <v>45747</v>
      </c>
      <c r="P72" s="4" t="str">
        <f t="shared" si="1"/>
        <v>BEFORE</v>
      </c>
    </row>
    <row r="73" spans="1:16" ht="15.75" customHeight="1">
      <c r="A73" s="1" t="s">
        <v>90</v>
      </c>
      <c r="B73" s="3" t="s">
        <v>14</v>
      </c>
      <c r="C73" s="21">
        <v>45576</v>
      </c>
      <c r="D73" s="3" t="s">
        <v>15</v>
      </c>
      <c r="E73" s="3" t="s">
        <v>355</v>
      </c>
      <c r="F73" s="7">
        <v>1360</v>
      </c>
      <c r="G73" s="7">
        <v>249</v>
      </c>
      <c r="H73" s="7">
        <v>52</v>
      </c>
      <c r="I73" s="7">
        <v>20368</v>
      </c>
      <c r="J73" s="7">
        <v>42152</v>
      </c>
      <c r="K73" s="7">
        <v>193</v>
      </c>
      <c r="L73" s="3" t="s">
        <v>341</v>
      </c>
      <c r="M73" s="3" t="s">
        <v>342</v>
      </c>
      <c r="N73" s="27">
        <f>INDEX('Campaign Metadata '!B:B,MATCH(M73,'Campaign Metadata '!A:A,0))</f>
        <v>45717</v>
      </c>
      <c r="O73" s="17">
        <f>INDEX('Campaign Metadata '!C:C,MATCH(M73,'Campaign Metadata '!A:A,0))</f>
        <v>45747</v>
      </c>
      <c r="P73" s="4" t="str">
        <f t="shared" si="1"/>
        <v>BEFORE</v>
      </c>
    </row>
    <row r="74" spans="1:16" ht="15.75" customHeight="1">
      <c r="A74" s="1" t="s">
        <v>91</v>
      </c>
      <c r="B74" s="3" t="s">
        <v>346</v>
      </c>
      <c r="C74" s="21">
        <v>45783</v>
      </c>
      <c r="D74" s="3" t="s">
        <v>37</v>
      </c>
      <c r="E74" s="3" t="s">
        <v>337</v>
      </c>
      <c r="F74" s="7">
        <v>1085</v>
      </c>
      <c r="G74" s="7">
        <v>496</v>
      </c>
      <c r="H74" s="7">
        <v>320</v>
      </c>
      <c r="I74" s="7">
        <v>36528</v>
      </c>
      <c r="J74" s="7">
        <v>38599</v>
      </c>
      <c r="K74" s="7">
        <v>270</v>
      </c>
      <c r="L74" s="3" t="s">
        <v>357</v>
      </c>
      <c r="M74" s="3" t="s">
        <v>358</v>
      </c>
      <c r="N74" s="27">
        <f>INDEX('Campaign Metadata '!B:B,MATCH(M74,'Campaign Metadata '!A:A,0))</f>
        <v>45458</v>
      </c>
      <c r="O74" s="17">
        <f>INDEX('Campaign Metadata '!C:C,MATCH(M74,'Campaign Metadata '!A:A,0))</f>
        <v>45488</v>
      </c>
      <c r="P74" s="4" t="str">
        <f t="shared" si="1"/>
        <v>AFTER</v>
      </c>
    </row>
    <row r="75" spans="1:16" ht="15.75" customHeight="1">
      <c r="A75" s="1" t="s">
        <v>92</v>
      </c>
      <c r="B75" s="3" t="s">
        <v>18</v>
      </c>
      <c r="C75" s="21">
        <v>45431</v>
      </c>
      <c r="D75" s="3" t="s">
        <v>19</v>
      </c>
      <c r="E75" s="3" t="s">
        <v>350</v>
      </c>
      <c r="F75" s="7">
        <v>1763</v>
      </c>
      <c r="G75" s="7">
        <v>206</v>
      </c>
      <c r="H75" s="7">
        <v>187</v>
      </c>
      <c r="I75" s="7">
        <v>53342</v>
      </c>
      <c r="J75" s="7">
        <v>25095</v>
      </c>
      <c r="K75" s="7">
        <v>88</v>
      </c>
      <c r="L75" s="3" t="s">
        <v>351</v>
      </c>
      <c r="M75" s="3" t="s">
        <v>339</v>
      </c>
      <c r="N75" s="27">
        <f>INDEX('Campaign Metadata '!B:B,MATCH(M75,'Campaign Metadata '!A:A,0))</f>
        <v>45667</v>
      </c>
      <c r="O75" s="17">
        <f>INDEX('Campaign Metadata '!C:C,MATCH(M75,'Campaign Metadata '!A:A,0))</f>
        <v>45698</v>
      </c>
      <c r="P75" s="4" t="str">
        <f t="shared" si="1"/>
        <v>BEFORE</v>
      </c>
    </row>
    <row r="76" spans="1:16" ht="15.75" customHeight="1">
      <c r="A76" s="1" t="s">
        <v>93</v>
      </c>
      <c r="B76" s="3" t="s">
        <v>18</v>
      </c>
      <c r="C76" s="21">
        <v>45313</v>
      </c>
      <c r="D76" s="3" t="s">
        <v>19</v>
      </c>
      <c r="E76" s="3" t="s">
        <v>355</v>
      </c>
      <c r="F76" s="7">
        <v>1554</v>
      </c>
      <c r="G76" s="7">
        <v>455</v>
      </c>
      <c r="H76" s="7">
        <v>158</v>
      </c>
      <c r="I76" s="7">
        <v>41947</v>
      </c>
      <c r="J76" s="7">
        <v>48578</v>
      </c>
      <c r="K76" s="7">
        <v>101</v>
      </c>
      <c r="L76" s="3" t="s">
        <v>338</v>
      </c>
      <c r="M76" s="3" t="s">
        <v>339</v>
      </c>
      <c r="N76" s="27">
        <f>INDEX('Campaign Metadata '!B:B,MATCH(M76,'Campaign Metadata '!A:A,0))</f>
        <v>45667</v>
      </c>
      <c r="O76" s="17">
        <f>INDEX('Campaign Metadata '!C:C,MATCH(M76,'Campaign Metadata '!A:A,0))</f>
        <v>45698</v>
      </c>
      <c r="P76" s="4" t="str">
        <f t="shared" si="1"/>
        <v>BEFORE</v>
      </c>
    </row>
    <row r="77" spans="1:16" ht="15.75" customHeight="1">
      <c r="A77" s="1" t="s">
        <v>94</v>
      </c>
      <c r="B77" s="3" t="s">
        <v>14</v>
      </c>
      <c r="C77" s="21">
        <v>45487</v>
      </c>
      <c r="D77" s="3" t="s">
        <v>15</v>
      </c>
      <c r="E77" s="3" t="s">
        <v>345</v>
      </c>
      <c r="F77" s="7">
        <v>2464</v>
      </c>
      <c r="G77" s="7">
        <v>401</v>
      </c>
      <c r="H77" s="7">
        <v>78</v>
      </c>
      <c r="I77" s="7">
        <v>38665</v>
      </c>
      <c r="J77" s="7">
        <v>73593</v>
      </c>
      <c r="K77" s="7">
        <v>207</v>
      </c>
      <c r="L77" s="3" t="s">
        <v>341</v>
      </c>
      <c r="M77" s="3" t="s">
        <v>342</v>
      </c>
      <c r="N77" s="27">
        <f>INDEX('Campaign Metadata '!B:B,MATCH(M77,'Campaign Metadata '!A:A,0))</f>
        <v>45717</v>
      </c>
      <c r="O77" s="17">
        <f>INDEX('Campaign Metadata '!C:C,MATCH(M77,'Campaign Metadata '!A:A,0))</f>
        <v>45747</v>
      </c>
      <c r="P77" s="4" t="str">
        <f t="shared" si="1"/>
        <v>BEFORE</v>
      </c>
    </row>
    <row r="78" spans="1:16" ht="15.75" customHeight="1">
      <c r="A78" s="1" t="s">
        <v>95</v>
      </c>
      <c r="B78" s="3" t="s">
        <v>18</v>
      </c>
      <c r="C78" s="21">
        <v>45805</v>
      </c>
      <c r="D78" s="3" t="s">
        <v>15</v>
      </c>
      <c r="E78" s="3" t="s">
        <v>355</v>
      </c>
      <c r="F78" s="7">
        <v>2418</v>
      </c>
      <c r="G78" s="7">
        <v>161</v>
      </c>
      <c r="H78" s="7">
        <v>360</v>
      </c>
      <c r="I78" s="7">
        <v>30589</v>
      </c>
      <c r="J78" s="7">
        <v>41383</v>
      </c>
      <c r="K78" s="7">
        <v>88</v>
      </c>
      <c r="L78" s="3" t="s">
        <v>353</v>
      </c>
      <c r="M78" s="3" t="s">
        <v>339</v>
      </c>
      <c r="N78" s="27">
        <f>INDEX('Campaign Metadata '!B:B,MATCH(M78,'Campaign Metadata '!A:A,0))</f>
        <v>45667</v>
      </c>
      <c r="O78" s="17">
        <f>INDEX('Campaign Metadata '!C:C,MATCH(M78,'Campaign Metadata '!A:A,0))</f>
        <v>45698</v>
      </c>
      <c r="P78" s="4" t="str">
        <f t="shared" si="1"/>
        <v>AFTER</v>
      </c>
    </row>
    <row r="79" spans="1:16" ht="15.75" customHeight="1">
      <c r="A79" s="1" t="s">
        <v>96</v>
      </c>
      <c r="B79" s="3" t="s">
        <v>18</v>
      </c>
      <c r="C79" s="21">
        <v>45678</v>
      </c>
      <c r="D79" s="3" t="s">
        <v>19</v>
      </c>
      <c r="E79" s="3" t="s">
        <v>337</v>
      </c>
      <c r="F79" s="7">
        <v>2494</v>
      </c>
      <c r="G79" s="7">
        <v>494</v>
      </c>
      <c r="H79" s="7">
        <v>55</v>
      </c>
      <c r="I79" s="7">
        <v>22580</v>
      </c>
      <c r="J79" s="7">
        <v>22214</v>
      </c>
      <c r="K79" s="7">
        <v>109</v>
      </c>
      <c r="L79" s="3" t="s">
        <v>344</v>
      </c>
      <c r="M79" s="3" t="s">
        <v>339</v>
      </c>
      <c r="N79" s="27">
        <f>INDEX('Campaign Metadata '!B:B,MATCH(M79,'Campaign Metadata '!A:A,0))</f>
        <v>45667</v>
      </c>
      <c r="O79" s="17">
        <f>INDEX('Campaign Metadata '!C:C,MATCH(M79,'Campaign Metadata '!A:A,0))</f>
        <v>45698</v>
      </c>
      <c r="P79" s="4" t="str">
        <f t="shared" si="1"/>
        <v>DURING</v>
      </c>
    </row>
    <row r="80" spans="1:16" ht="15.75" customHeight="1">
      <c r="A80" s="1" t="s">
        <v>97</v>
      </c>
      <c r="B80" s="3" t="s">
        <v>346</v>
      </c>
      <c r="C80" s="21">
        <v>45304</v>
      </c>
      <c r="D80" s="3" t="s">
        <v>37</v>
      </c>
      <c r="E80" s="3" t="s">
        <v>343</v>
      </c>
      <c r="F80" s="7">
        <v>4781</v>
      </c>
      <c r="G80" s="7">
        <v>191</v>
      </c>
      <c r="H80" s="7">
        <v>122</v>
      </c>
      <c r="I80" s="7">
        <v>35535</v>
      </c>
      <c r="J80" s="7">
        <v>50777</v>
      </c>
      <c r="K80" s="7">
        <v>128</v>
      </c>
      <c r="L80" s="3" t="s">
        <v>357</v>
      </c>
      <c r="M80" s="3" t="s">
        <v>358</v>
      </c>
      <c r="N80" s="27">
        <f>INDEX('Campaign Metadata '!B:B,MATCH(M80,'Campaign Metadata '!A:A,0))</f>
        <v>45458</v>
      </c>
      <c r="O80" s="17">
        <f>INDEX('Campaign Metadata '!C:C,MATCH(M80,'Campaign Metadata '!A:A,0))</f>
        <v>45488</v>
      </c>
      <c r="P80" s="4" t="str">
        <f t="shared" si="1"/>
        <v>BEFORE</v>
      </c>
    </row>
    <row r="81" spans="1:16" ht="15.75" customHeight="1">
      <c r="A81" s="1" t="s">
        <v>98</v>
      </c>
      <c r="B81" s="3" t="s">
        <v>14</v>
      </c>
      <c r="C81" s="21">
        <v>45825</v>
      </c>
      <c r="D81" s="3" t="s">
        <v>15</v>
      </c>
      <c r="E81" s="3" t="s">
        <v>347</v>
      </c>
      <c r="F81" s="7">
        <v>2284</v>
      </c>
      <c r="G81" s="7">
        <v>187</v>
      </c>
      <c r="H81" s="7">
        <v>260</v>
      </c>
      <c r="I81" s="7">
        <v>37400</v>
      </c>
      <c r="J81" s="7">
        <v>65014</v>
      </c>
      <c r="K81" s="7">
        <v>157</v>
      </c>
      <c r="L81" s="3" t="s">
        <v>338</v>
      </c>
      <c r="M81" s="3" t="s">
        <v>339</v>
      </c>
      <c r="N81" s="27">
        <f>INDEX('Campaign Metadata '!B:B,MATCH(M81,'Campaign Metadata '!A:A,0))</f>
        <v>45667</v>
      </c>
      <c r="O81" s="17">
        <f>INDEX('Campaign Metadata '!C:C,MATCH(M81,'Campaign Metadata '!A:A,0))</f>
        <v>45698</v>
      </c>
      <c r="P81" s="4" t="str">
        <f t="shared" si="1"/>
        <v>AFTER</v>
      </c>
    </row>
    <row r="82" spans="1:16" ht="15.75" customHeight="1">
      <c r="A82" s="1" t="s">
        <v>99</v>
      </c>
      <c r="B82" s="3" t="s">
        <v>18</v>
      </c>
      <c r="C82" s="21">
        <v>45723</v>
      </c>
      <c r="D82" s="3" t="s">
        <v>15</v>
      </c>
      <c r="E82" s="3" t="s">
        <v>350</v>
      </c>
      <c r="F82" s="7">
        <v>4234</v>
      </c>
      <c r="G82" s="7">
        <v>486</v>
      </c>
      <c r="H82" s="7">
        <v>276</v>
      </c>
      <c r="I82" s="7">
        <v>56623</v>
      </c>
      <c r="J82" s="7">
        <v>41343</v>
      </c>
      <c r="K82" s="7">
        <v>184</v>
      </c>
      <c r="L82" s="3" t="s">
        <v>354</v>
      </c>
      <c r="M82" s="3" t="s">
        <v>342</v>
      </c>
      <c r="N82" s="27">
        <f>INDEX('Campaign Metadata '!B:B,MATCH(M82,'Campaign Metadata '!A:A,0))</f>
        <v>45717</v>
      </c>
      <c r="O82" s="17">
        <f>INDEX('Campaign Metadata '!C:C,MATCH(M82,'Campaign Metadata '!A:A,0))</f>
        <v>45747</v>
      </c>
      <c r="P82" s="4" t="str">
        <f t="shared" si="1"/>
        <v>DURING</v>
      </c>
    </row>
    <row r="83" spans="1:16" ht="15.75" customHeight="1">
      <c r="A83" s="1" t="s">
        <v>100</v>
      </c>
      <c r="B83" s="3" t="s">
        <v>14</v>
      </c>
      <c r="C83" s="21">
        <v>45530</v>
      </c>
      <c r="D83" s="3" t="s">
        <v>15</v>
      </c>
      <c r="E83" s="3" t="s">
        <v>356</v>
      </c>
      <c r="F83" s="7">
        <v>2102</v>
      </c>
      <c r="G83" s="7">
        <v>181</v>
      </c>
      <c r="H83" s="7">
        <v>306</v>
      </c>
      <c r="I83" s="7">
        <v>43650</v>
      </c>
      <c r="J83" s="7">
        <v>50079</v>
      </c>
      <c r="K83" s="7">
        <v>182</v>
      </c>
      <c r="L83" s="3" t="s">
        <v>341</v>
      </c>
      <c r="M83" s="3" t="s">
        <v>342</v>
      </c>
      <c r="N83" s="27">
        <f>INDEX('Campaign Metadata '!B:B,MATCH(M83,'Campaign Metadata '!A:A,0))</f>
        <v>45717</v>
      </c>
      <c r="O83" s="17">
        <f>INDEX('Campaign Metadata '!C:C,MATCH(M83,'Campaign Metadata '!A:A,0))</f>
        <v>45747</v>
      </c>
      <c r="P83" s="4" t="str">
        <f t="shared" si="1"/>
        <v>BEFORE</v>
      </c>
    </row>
    <row r="84" spans="1:16" ht="15.75" customHeight="1">
      <c r="A84" s="1" t="s">
        <v>101</v>
      </c>
      <c r="B84" s="3" t="s">
        <v>18</v>
      </c>
      <c r="C84" s="21">
        <v>45660</v>
      </c>
      <c r="D84" s="3" t="s">
        <v>19</v>
      </c>
      <c r="E84" s="3" t="s">
        <v>350</v>
      </c>
      <c r="F84" s="7">
        <v>4845</v>
      </c>
      <c r="G84" s="7">
        <v>158</v>
      </c>
      <c r="H84" s="7">
        <v>84</v>
      </c>
      <c r="I84" s="7">
        <v>34578</v>
      </c>
      <c r="J84" s="7">
        <v>51480</v>
      </c>
      <c r="K84" s="7">
        <v>180</v>
      </c>
      <c r="L84" s="3" t="s">
        <v>338</v>
      </c>
      <c r="M84" s="3" t="s">
        <v>339</v>
      </c>
      <c r="N84" s="27">
        <f>INDEX('Campaign Metadata '!B:B,MATCH(M84,'Campaign Metadata '!A:A,0))</f>
        <v>45667</v>
      </c>
      <c r="O84" s="17">
        <f>INDEX('Campaign Metadata '!C:C,MATCH(M84,'Campaign Metadata '!A:A,0))</f>
        <v>45698</v>
      </c>
      <c r="P84" s="4" t="str">
        <f t="shared" si="1"/>
        <v>BEFORE</v>
      </c>
    </row>
    <row r="85" spans="1:16" ht="15.75" customHeight="1">
      <c r="A85" s="1" t="s">
        <v>102</v>
      </c>
      <c r="B85" s="3" t="s">
        <v>18</v>
      </c>
      <c r="C85" s="21">
        <v>45507</v>
      </c>
      <c r="D85" s="3" t="s">
        <v>15</v>
      </c>
      <c r="E85" s="3" t="s">
        <v>356</v>
      </c>
      <c r="F85" s="7">
        <v>4247</v>
      </c>
      <c r="G85" s="7">
        <v>390</v>
      </c>
      <c r="H85" s="7">
        <v>213</v>
      </c>
      <c r="I85" s="7">
        <v>29785</v>
      </c>
      <c r="J85" s="7">
        <v>57768</v>
      </c>
      <c r="K85" s="7">
        <v>122</v>
      </c>
      <c r="L85" s="3" t="s">
        <v>353</v>
      </c>
      <c r="M85" s="3" t="s">
        <v>339</v>
      </c>
      <c r="N85" s="27">
        <f>INDEX('Campaign Metadata '!B:B,MATCH(M85,'Campaign Metadata '!A:A,0))</f>
        <v>45667</v>
      </c>
      <c r="O85" s="17">
        <f>INDEX('Campaign Metadata '!C:C,MATCH(M85,'Campaign Metadata '!A:A,0))</f>
        <v>45698</v>
      </c>
      <c r="P85" s="4" t="str">
        <f t="shared" si="1"/>
        <v>BEFORE</v>
      </c>
    </row>
    <row r="86" spans="1:16" ht="15.75" customHeight="1">
      <c r="A86" s="1" t="s">
        <v>103</v>
      </c>
      <c r="B86" s="3" t="s">
        <v>14</v>
      </c>
      <c r="C86" s="21">
        <v>45522</v>
      </c>
      <c r="D86" s="3" t="s">
        <v>15</v>
      </c>
      <c r="E86" s="3" t="s">
        <v>340</v>
      </c>
      <c r="F86" s="7">
        <v>2965</v>
      </c>
      <c r="G86" s="7">
        <v>328</v>
      </c>
      <c r="H86" s="7">
        <v>171</v>
      </c>
      <c r="I86" s="7">
        <v>57685</v>
      </c>
      <c r="J86" s="7">
        <v>67536</v>
      </c>
      <c r="K86" s="7">
        <v>264</v>
      </c>
      <c r="L86" s="3" t="s">
        <v>338</v>
      </c>
      <c r="M86" s="3" t="s">
        <v>339</v>
      </c>
      <c r="N86" s="27">
        <f>INDEX('Campaign Metadata '!B:B,MATCH(M86,'Campaign Metadata '!A:A,0))</f>
        <v>45667</v>
      </c>
      <c r="O86" s="17">
        <f>INDEX('Campaign Metadata '!C:C,MATCH(M86,'Campaign Metadata '!A:A,0))</f>
        <v>45698</v>
      </c>
      <c r="P86" s="4" t="str">
        <f t="shared" si="1"/>
        <v>BEFORE</v>
      </c>
    </row>
    <row r="87" spans="1:16" ht="15.75" customHeight="1">
      <c r="A87" s="1" t="s">
        <v>104</v>
      </c>
      <c r="B87" s="3" t="s">
        <v>18</v>
      </c>
      <c r="C87" s="21">
        <v>45791</v>
      </c>
      <c r="D87" s="3" t="s">
        <v>19</v>
      </c>
      <c r="E87" s="3" t="s">
        <v>345</v>
      </c>
      <c r="F87" s="7">
        <v>1371</v>
      </c>
      <c r="G87" s="7">
        <v>139</v>
      </c>
      <c r="H87" s="7">
        <v>96</v>
      </c>
      <c r="I87" s="7">
        <v>36140</v>
      </c>
      <c r="J87" s="7">
        <v>39395</v>
      </c>
      <c r="K87" s="7">
        <v>169</v>
      </c>
      <c r="L87" s="3" t="s">
        <v>338</v>
      </c>
      <c r="M87" s="3" t="s">
        <v>339</v>
      </c>
      <c r="N87" s="27">
        <f>INDEX('Campaign Metadata '!B:B,MATCH(M87,'Campaign Metadata '!A:A,0))</f>
        <v>45667</v>
      </c>
      <c r="O87" s="17">
        <f>INDEX('Campaign Metadata '!C:C,MATCH(M87,'Campaign Metadata '!A:A,0))</f>
        <v>45698</v>
      </c>
      <c r="P87" s="4" t="str">
        <f t="shared" si="1"/>
        <v>AFTER</v>
      </c>
    </row>
    <row r="88" spans="1:16" ht="15.75" customHeight="1">
      <c r="A88" s="1" t="s">
        <v>105</v>
      </c>
      <c r="B88" s="3" t="s">
        <v>18</v>
      </c>
      <c r="C88" s="21">
        <v>45405</v>
      </c>
      <c r="D88" s="3" t="s">
        <v>19</v>
      </c>
      <c r="E88" s="3" t="s">
        <v>337</v>
      </c>
      <c r="F88" s="7">
        <v>2683</v>
      </c>
      <c r="G88" s="7">
        <v>496</v>
      </c>
      <c r="H88" s="7">
        <v>89</v>
      </c>
      <c r="I88" s="7">
        <v>53435</v>
      </c>
      <c r="J88" s="7">
        <v>30334</v>
      </c>
      <c r="K88" s="7">
        <v>160</v>
      </c>
      <c r="L88" s="3" t="s">
        <v>338</v>
      </c>
      <c r="M88" s="3" t="s">
        <v>339</v>
      </c>
      <c r="N88" s="27">
        <f>INDEX('Campaign Metadata '!B:B,MATCH(M88,'Campaign Metadata '!A:A,0))</f>
        <v>45667</v>
      </c>
      <c r="O88" s="17">
        <f>INDEX('Campaign Metadata '!C:C,MATCH(M88,'Campaign Metadata '!A:A,0))</f>
        <v>45698</v>
      </c>
      <c r="P88" s="4" t="str">
        <f t="shared" si="1"/>
        <v>BEFORE</v>
      </c>
    </row>
    <row r="89" spans="1:16" ht="15.75" customHeight="1">
      <c r="A89" s="1" t="s">
        <v>106</v>
      </c>
      <c r="B89" s="3" t="s">
        <v>18</v>
      </c>
      <c r="C89" s="21">
        <v>45705</v>
      </c>
      <c r="D89" s="3" t="s">
        <v>19</v>
      </c>
      <c r="E89" s="3" t="s">
        <v>349</v>
      </c>
      <c r="F89" s="7">
        <v>4796</v>
      </c>
      <c r="G89" s="7">
        <v>427</v>
      </c>
      <c r="H89" s="7">
        <v>339</v>
      </c>
      <c r="I89" s="7">
        <v>30752</v>
      </c>
      <c r="J89" s="7">
        <v>33870</v>
      </c>
      <c r="K89" s="7">
        <v>298</v>
      </c>
      <c r="L89" s="3" t="s">
        <v>338</v>
      </c>
      <c r="M89" s="3" t="s">
        <v>339</v>
      </c>
      <c r="N89" s="27">
        <f>INDEX('Campaign Metadata '!B:B,MATCH(M89,'Campaign Metadata '!A:A,0))</f>
        <v>45667</v>
      </c>
      <c r="O89" s="17">
        <f>INDEX('Campaign Metadata '!C:C,MATCH(M89,'Campaign Metadata '!A:A,0))</f>
        <v>45698</v>
      </c>
      <c r="P89" s="4" t="str">
        <f t="shared" si="1"/>
        <v>AFTER</v>
      </c>
    </row>
    <row r="90" spans="1:16" ht="15.75" customHeight="1">
      <c r="A90" s="1" t="s">
        <v>107</v>
      </c>
      <c r="B90" s="3" t="s">
        <v>14</v>
      </c>
      <c r="C90" s="21">
        <v>45630</v>
      </c>
      <c r="D90" s="3" t="s">
        <v>15</v>
      </c>
      <c r="E90" s="3" t="s">
        <v>345</v>
      </c>
      <c r="F90" s="7">
        <v>2601</v>
      </c>
      <c r="G90" s="7">
        <v>336</v>
      </c>
      <c r="H90" s="7">
        <v>260</v>
      </c>
      <c r="I90" s="7">
        <v>32368</v>
      </c>
      <c r="J90" s="7">
        <v>49028</v>
      </c>
      <c r="K90" s="7">
        <v>120</v>
      </c>
      <c r="L90" s="3" t="s">
        <v>338</v>
      </c>
      <c r="M90" s="3" t="s">
        <v>339</v>
      </c>
      <c r="N90" s="27">
        <f>INDEX('Campaign Metadata '!B:B,MATCH(M90,'Campaign Metadata '!A:A,0))</f>
        <v>45667</v>
      </c>
      <c r="O90" s="17">
        <f>INDEX('Campaign Metadata '!C:C,MATCH(M90,'Campaign Metadata '!A:A,0))</f>
        <v>45698</v>
      </c>
      <c r="P90" s="4" t="str">
        <f t="shared" si="1"/>
        <v>BEFORE</v>
      </c>
    </row>
    <row r="91" spans="1:16" ht="15.75" customHeight="1">
      <c r="A91" s="1" t="s">
        <v>108</v>
      </c>
      <c r="B91" s="3" t="s">
        <v>18</v>
      </c>
      <c r="C91" s="21">
        <v>45495</v>
      </c>
      <c r="D91" s="3" t="s">
        <v>19</v>
      </c>
      <c r="E91" s="3" t="s">
        <v>345</v>
      </c>
      <c r="F91" s="7">
        <v>3336</v>
      </c>
      <c r="G91" s="7">
        <v>229</v>
      </c>
      <c r="H91" s="7">
        <v>337</v>
      </c>
      <c r="I91" s="7">
        <v>22117</v>
      </c>
      <c r="J91" s="7">
        <v>26205</v>
      </c>
      <c r="K91" s="7">
        <v>160</v>
      </c>
      <c r="L91" s="3" t="s">
        <v>344</v>
      </c>
      <c r="M91" s="3" t="s">
        <v>339</v>
      </c>
      <c r="N91" s="27">
        <f>INDEX('Campaign Metadata '!B:B,MATCH(M91,'Campaign Metadata '!A:A,0))</f>
        <v>45667</v>
      </c>
      <c r="O91" s="17">
        <f>INDEX('Campaign Metadata '!C:C,MATCH(M91,'Campaign Metadata '!A:A,0))</f>
        <v>45698</v>
      </c>
      <c r="P91" s="4" t="str">
        <f t="shared" si="1"/>
        <v>BEFORE</v>
      </c>
    </row>
    <row r="92" spans="1:16" ht="15.75" customHeight="1">
      <c r="A92" s="1" t="s">
        <v>109</v>
      </c>
      <c r="B92" s="3" t="s">
        <v>18</v>
      </c>
      <c r="C92" s="21">
        <v>45774</v>
      </c>
      <c r="D92" s="3" t="s">
        <v>15</v>
      </c>
      <c r="E92" s="3" t="s">
        <v>340</v>
      </c>
      <c r="F92" s="7">
        <v>1165</v>
      </c>
      <c r="G92" s="7">
        <v>294</v>
      </c>
      <c r="H92" s="7">
        <v>163</v>
      </c>
      <c r="I92" s="7">
        <v>20659</v>
      </c>
      <c r="J92" s="7">
        <v>45926</v>
      </c>
      <c r="K92" s="7">
        <v>111</v>
      </c>
      <c r="L92" s="3" t="s">
        <v>354</v>
      </c>
      <c r="M92" s="3" t="s">
        <v>342</v>
      </c>
      <c r="N92" s="27">
        <f>INDEX('Campaign Metadata '!B:B,MATCH(M92,'Campaign Metadata '!A:A,0))</f>
        <v>45717</v>
      </c>
      <c r="O92" s="17">
        <f>INDEX('Campaign Metadata '!C:C,MATCH(M92,'Campaign Metadata '!A:A,0))</f>
        <v>45747</v>
      </c>
      <c r="P92" s="4" t="str">
        <f t="shared" si="1"/>
        <v>AFTER</v>
      </c>
    </row>
    <row r="93" spans="1:16" ht="15.75" customHeight="1">
      <c r="A93" s="1" t="s">
        <v>110</v>
      </c>
      <c r="B93" s="3" t="s">
        <v>346</v>
      </c>
      <c r="C93" s="21">
        <v>45376</v>
      </c>
      <c r="D93" s="3" t="s">
        <v>37</v>
      </c>
      <c r="E93" s="3" t="s">
        <v>340</v>
      </c>
      <c r="F93" s="7">
        <v>1948</v>
      </c>
      <c r="G93" s="7">
        <v>155</v>
      </c>
      <c r="H93" s="7">
        <v>315</v>
      </c>
      <c r="I93" s="7">
        <v>30321</v>
      </c>
      <c r="J93" s="7">
        <v>57121</v>
      </c>
      <c r="K93" s="7">
        <v>82</v>
      </c>
      <c r="L93" s="3" t="s">
        <v>357</v>
      </c>
      <c r="M93" s="3" t="s">
        <v>358</v>
      </c>
      <c r="N93" s="27">
        <f>INDEX('Campaign Metadata '!B:B,MATCH(M93,'Campaign Metadata '!A:A,0))</f>
        <v>45458</v>
      </c>
      <c r="O93" s="17">
        <f>INDEX('Campaign Metadata '!C:C,MATCH(M93,'Campaign Metadata '!A:A,0))</f>
        <v>45488</v>
      </c>
      <c r="P93" s="4" t="str">
        <f t="shared" si="1"/>
        <v>BEFORE</v>
      </c>
    </row>
    <row r="94" spans="1:16" ht="15.75" customHeight="1">
      <c r="A94" s="1" t="s">
        <v>111</v>
      </c>
      <c r="B94" s="3" t="s">
        <v>14</v>
      </c>
      <c r="C94" s="21">
        <v>45351</v>
      </c>
      <c r="D94" s="3" t="s">
        <v>15</v>
      </c>
      <c r="E94" s="3" t="s">
        <v>355</v>
      </c>
      <c r="F94" s="7">
        <v>1100</v>
      </c>
      <c r="G94" s="7">
        <v>229</v>
      </c>
      <c r="H94" s="7">
        <v>312</v>
      </c>
      <c r="I94" s="7">
        <v>25641</v>
      </c>
      <c r="J94" s="7">
        <v>34601</v>
      </c>
      <c r="K94" s="7">
        <v>169</v>
      </c>
      <c r="L94" s="3" t="s">
        <v>341</v>
      </c>
      <c r="M94" s="3" t="s">
        <v>342</v>
      </c>
      <c r="N94" s="27">
        <f>INDEX('Campaign Metadata '!B:B,MATCH(M94,'Campaign Metadata '!A:A,0))</f>
        <v>45717</v>
      </c>
      <c r="O94" s="17">
        <f>INDEX('Campaign Metadata '!C:C,MATCH(M94,'Campaign Metadata '!A:A,0))</f>
        <v>45747</v>
      </c>
      <c r="P94" s="4" t="str">
        <f t="shared" si="1"/>
        <v>BEFORE</v>
      </c>
    </row>
    <row r="95" spans="1:16" ht="15.75" customHeight="1">
      <c r="A95" s="1" t="s">
        <v>112</v>
      </c>
      <c r="B95" s="3" t="s">
        <v>18</v>
      </c>
      <c r="C95" s="21">
        <v>45609</v>
      </c>
      <c r="D95" s="3" t="s">
        <v>19</v>
      </c>
      <c r="E95" s="3" t="s">
        <v>352</v>
      </c>
      <c r="F95" s="7">
        <v>4628</v>
      </c>
      <c r="G95" s="7">
        <v>257</v>
      </c>
      <c r="H95" s="7">
        <v>397</v>
      </c>
      <c r="I95" s="7">
        <v>36686</v>
      </c>
      <c r="J95" s="7">
        <v>54683</v>
      </c>
      <c r="K95" s="7">
        <v>98</v>
      </c>
      <c r="L95" s="3" t="s">
        <v>338</v>
      </c>
      <c r="M95" s="3" t="s">
        <v>339</v>
      </c>
      <c r="N95" s="27">
        <f>INDEX('Campaign Metadata '!B:B,MATCH(M95,'Campaign Metadata '!A:A,0))</f>
        <v>45667</v>
      </c>
      <c r="O95" s="17">
        <f>INDEX('Campaign Metadata '!C:C,MATCH(M95,'Campaign Metadata '!A:A,0))</f>
        <v>45698</v>
      </c>
      <c r="P95" s="4" t="str">
        <f t="shared" si="1"/>
        <v>BEFORE</v>
      </c>
    </row>
    <row r="96" spans="1:16" ht="15.75" customHeight="1">
      <c r="A96" s="1" t="s">
        <v>113</v>
      </c>
      <c r="B96" s="3" t="s">
        <v>14</v>
      </c>
      <c r="C96" s="21">
        <v>45373</v>
      </c>
      <c r="D96" s="3" t="s">
        <v>19</v>
      </c>
      <c r="E96" s="3" t="s">
        <v>337</v>
      </c>
      <c r="F96" s="7">
        <v>2319</v>
      </c>
      <c r="G96" s="7">
        <v>484</v>
      </c>
      <c r="H96" s="7">
        <v>193</v>
      </c>
      <c r="I96" s="7">
        <v>21202</v>
      </c>
      <c r="J96" s="7">
        <v>18091</v>
      </c>
      <c r="K96" s="7">
        <v>241</v>
      </c>
      <c r="L96" s="3" t="s">
        <v>353</v>
      </c>
      <c r="M96" s="3" t="s">
        <v>35</v>
      </c>
      <c r="N96" s="27">
        <f>INDEX('Campaign Metadata '!B:B,MATCH(M96,'Campaign Metadata '!A:A,0))</f>
        <v>45627</v>
      </c>
      <c r="O96" s="17">
        <f>INDEX('Campaign Metadata '!C:C,MATCH(M96,'Campaign Metadata '!A:A,0))</f>
        <v>45657</v>
      </c>
      <c r="P96" s="4" t="str">
        <f t="shared" si="1"/>
        <v>BEFORE</v>
      </c>
    </row>
    <row r="97" spans="1:16" ht="15.75" customHeight="1">
      <c r="A97" s="1" t="s">
        <v>114</v>
      </c>
      <c r="B97" s="3" t="s">
        <v>18</v>
      </c>
      <c r="C97" s="21">
        <v>45367</v>
      </c>
      <c r="D97" s="3" t="s">
        <v>19</v>
      </c>
      <c r="E97" s="3" t="s">
        <v>345</v>
      </c>
      <c r="F97" s="7">
        <v>2895</v>
      </c>
      <c r="G97" s="7">
        <v>292</v>
      </c>
      <c r="H97" s="7">
        <v>90</v>
      </c>
      <c r="I97" s="7">
        <v>24223</v>
      </c>
      <c r="J97" s="7">
        <v>54626</v>
      </c>
      <c r="K97" s="7">
        <v>114</v>
      </c>
      <c r="L97" s="3" t="s">
        <v>338</v>
      </c>
      <c r="M97" s="3" t="s">
        <v>339</v>
      </c>
      <c r="N97" s="27">
        <f>INDEX('Campaign Metadata '!B:B,MATCH(M97,'Campaign Metadata '!A:A,0))</f>
        <v>45667</v>
      </c>
      <c r="O97" s="17">
        <f>INDEX('Campaign Metadata '!C:C,MATCH(M97,'Campaign Metadata '!A:A,0))</f>
        <v>45698</v>
      </c>
      <c r="P97" s="4" t="str">
        <f t="shared" si="1"/>
        <v>BEFORE</v>
      </c>
    </row>
    <row r="98" spans="1:16" ht="15.75" customHeight="1">
      <c r="A98" s="1" t="s">
        <v>115</v>
      </c>
      <c r="B98" s="3" t="s">
        <v>14</v>
      </c>
      <c r="C98" s="21">
        <v>45317</v>
      </c>
      <c r="D98" s="3" t="s">
        <v>15</v>
      </c>
      <c r="E98" s="3" t="s">
        <v>349</v>
      </c>
      <c r="F98" s="7">
        <v>3878</v>
      </c>
      <c r="G98" s="7">
        <v>431</v>
      </c>
      <c r="H98" s="7">
        <v>97</v>
      </c>
      <c r="I98" s="7">
        <v>41763</v>
      </c>
      <c r="J98" s="7">
        <v>29729</v>
      </c>
      <c r="K98" s="7">
        <v>191</v>
      </c>
      <c r="L98" s="3" t="s">
        <v>341</v>
      </c>
      <c r="M98" s="3" t="s">
        <v>342</v>
      </c>
      <c r="N98" s="27">
        <f>INDEX('Campaign Metadata '!B:B,MATCH(M98,'Campaign Metadata '!A:A,0))</f>
        <v>45717</v>
      </c>
      <c r="O98" s="17">
        <f>INDEX('Campaign Metadata '!C:C,MATCH(M98,'Campaign Metadata '!A:A,0))</f>
        <v>45747</v>
      </c>
      <c r="P98" s="4" t="str">
        <f t="shared" si="1"/>
        <v>BEFORE</v>
      </c>
    </row>
    <row r="99" spans="1:16" ht="15.75" customHeight="1">
      <c r="A99" s="1" t="s">
        <v>116</v>
      </c>
      <c r="B99" s="3" t="s">
        <v>18</v>
      </c>
      <c r="C99" s="21">
        <v>45366</v>
      </c>
      <c r="D99" s="3" t="s">
        <v>19</v>
      </c>
      <c r="E99" s="3" t="s">
        <v>350</v>
      </c>
      <c r="F99" s="7">
        <v>4969</v>
      </c>
      <c r="G99" s="7">
        <v>433</v>
      </c>
      <c r="H99" s="7">
        <v>237</v>
      </c>
      <c r="I99" s="7">
        <v>59552</v>
      </c>
      <c r="J99" s="7">
        <v>23885</v>
      </c>
      <c r="K99" s="7">
        <v>157</v>
      </c>
      <c r="L99" s="3" t="s">
        <v>351</v>
      </c>
      <c r="M99" s="3" t="s">
        <v>339</v>
      </c>
      <c r="N99" s="27">
        <f>INDEX('Campaign Metadata '!B:B,MATCH(M99,'Campaign Metadata '!A:A,0))</f>
        <v>45667</v>
      </c>
      <c r="O99" s="17">
        <f>INDEX('Campaign Metadata '!C:C,MATCH(M99,'Campaign Metadata '!A:A,0))</f>
        <v>45698</v>
      </c>
      <c r="P99" s="4" t="str">
        <f t="shared" si="1"/>
        <v>BEFORE</v>
      </c>
    </row>
    <row r="100" spans="1:16" ht="15.75" customHeight="1">
      <c r="A100" s="1" t="s">
        <v>117</v>
      </c>
      <c r="B100" s="3" t="s">
        <v>18</v>
      </c>
      <c r="C100" s="21">
        <v>45580</v>
      </c>
      <c r="D100" s="3" t="s">
        <v>15</v>
      </c>
      <c r="E100" s="3" t="s">
        <v>345</v>
      </c>
      <c r="F100" s="7">
        <v>1984</v>
      </c>
      <c r="G100" s="7">
        <v>481</v>
      </c>
      <c r="H100" s="7">
        <v>356</v>
      </c>
      <c r="I100" s="7">
        <v>40681</v>
      </c>
      <c r="J100" s="7">
        <v>63111</v>
      </c>
      <c r="K100" s="7">
        <v>258</v>
      </c>
      <c r="L100" s="3" t="s">
        <v>353</v>
      </c>
      <c r="M100" s="3" t="s">
        <v>339</v>
      </c>
      <c r="N100" s="27">
        <f>INDEX('Campaign Metadata '!B:B,MATCH(M100,'Campaign Metadata '!A:A,0))</f>
        <v>45667</v>
      </c>
      <c r="O100" s="17">
        <f>INDEX('Campaign Metadata '!C:C,MATCH(M100,'Campaign Metadata '!A:A,0))</f>
        <v>45698</v>
      </c>
      <c r="P100" s="4" t="str">
        <f t="shared" si="1"/>
        <v>BEFORE</v>
      </c>
    </row>
    <row r="101" spans="1:16" ht="15.75" customHeight="1">
      <c r="A101" s="1" t="s">
        <v>118</v>
      </c>
      <c r="B101" s="3" t="s">
        <v>14</v>
      </c>
      <c r="C101" s="21">
        <v>45494</v>
      </c>
      <c r="D101" s="3" t="s">
        <v>15</v>
      </c>
      <c r="E101" s="3" t="s">
        <v>337</v>
      </c>
      <c r="F101" s="7">
        <v>3004</v>
      </c>
      <c r="G101" s="7">
        <v>415</v>
      </c>
      <c r="H101" s="7">
        <v>218</v>
      </c>
      <c r="I101" s="7">
        <v>36090</v>
      </c>
      <c r="J101" s="7">
        <v>37073</v>
      </c>
      <c r="K101" s="7">
        <v>181</v>
      </c>
      <c r="L101" s="3" t="s">
        <v>341</v>
      </c>
      <c r="M101" s="3" t="s">
        <v>342</v>
      </c>
      <c r="N101" s="27">
        <f>INDEX('Campaign Metadata '!B:B,MATCH(M101,'Campaign Metadata '!A:A,0))</f>
        <v>45717</v>
      </c>
      <c r="O101" s="17">
        <f>INDEX('Campaign Metadata '!C:C,MATCH(M101,'Campaign Metadata '!A:A,0))</f>
        <v>45747</v>
      </c>
      <c r="P101" s="4" t="str">
        <f t="shared" si="1"/>
        <v>BEFORE</v>
      </c>
    </row>
    <row r="102" spans="1:16" ht="15.75" customHeight="1">
      <c r="A102" s="1" t="s">
        <v>119</v>
      </c>
      <c r="B102" s="3" t="s">
        <v>18</v>
      </c>
      <c r="C102" s="21">
        <v>45577</v>
      </c>
      <c r="D102" s="3" t="s">
        <v>15</v>
      </c>
      <c r="E102" s="3" t="s">
        <v>350</v>
      </c>
      <c r="F102" s="7">
        <v>3169</v>
      </c>
      <c r="G102" s="7">
        <v>386</v>
      </c>
      <c r="H102" s="7">
        <v>175</v>
      </c>
      <c r="I102" s="7">
        <v>45012</v>
      </c>
      <c r="J102" s="7">
        <v>38508</v>
      </c>
      <c r="K102" s="7">
        <v>218</v>
      </c>
      <c r="L102" s="3" t="s">
        <v>353</v>
      </c>
      <c r="M102" s="3" t="s">
        <v>339</v>
      </c>
      <c r="N102" s="27">
        <f>INDEX('Campaign Metadata '!B:B,MATCH(M102,'Campaign Metadata '!A:A,0))</f>
        <v>45667</v>
      </c>
      <c r="O102" s="17">
        <f>INDEX('Campaign Metadata '!C:C,MATCH(M102,'Campaign Metadata '!A:A,0))</f>
        <v>45698</v>
      </c>
      <c r="P102" s="4" t="str">
        <f t="shared" si="1"/>
        <v>BEFORE</v>
      </c>
    </row>
    <row r="103" spans="1:16" ht="15.75" customHeight="1">
      <c r="A103" s="1" t="s">
        <v>120</v>
      </c>
      <c r="B103" s="3" t="s">
        <v>18</v>
      </c>
      <c r="C103" s="21">
        <v>45591</v>
      </c>
      <c r="D103" s="3" t="s">
        <v>15</v>
      </c>
      <c r="E103" s="3" t="s">
        <v>337</v>
      </c>
      <c r="F103" s="7">
        <v>3036</v>
      </c>
      <c r="G103" s="7">
        <v>293</v>
      </c>
      <c r="H103" s="7">
        <v>115</v>
      </c>
      <c r="I103" s="7">
        <v>23776</v>
      </c>
      <c r="J103" s="7">
        <v>46386</v>
      </c>
      <c r="K103" s="7">
        <v>282</v>
      </c>
      <c r="L103" s="3" t="s">
        <v>353</v>
      </c>
      <c r="M103" s="3" t="s">
        <v>339</v>
      </c>
      <c r="N103" s="27">
        <f>INDEX('Campaign Metadata '!B:B,MATCH(M103,'Campaign Metadata '!A:A,0))</f>
        <v>45667</v>
      </c>
      <c r="O103" s="17">
        <f>INDEX('Campaign Metadata '!C:C,MATCH(M103,'Campaign Metadata '!A:A,0))</f>
        <v>45698</v>
      </c>
      <c r="P103" s="4" t="str">
        <f t="shared" si="1"/>
        <v>BEFORE</v>
      </c>
    </row>
    <row r="104" spans="1:16" ht="15.75" customHeight="1">
      <c r="A104" s="1" t="s">
        <v>121</v>
      </c>
      <c r="B104" s="3" t="s">
        <v>14</v>
      </c>
      <c r="C104" s="21">
        <v>45336</v>
      </c>
      <c r="D104" s="3" t="s">
        <v>15</v>
      </c>
      <c r="E104" s="3" t="s">
        <v>347</v>
      </c>
      <c r="F104" s="7">
        <v>1830</v>
      </c>
      <c r="G104" s="7">
        <v>112</v>
      </c>
      <c r="H104" s="7">
        <v>181</v>
      </c>
      <c r="I104" s="7">
        <v>31870</v>
      </c>
      <c r="J104" s="7">
        <v>55742</v>
      </c>
      <c r="K104" s="7">
        <v>263</v>
      </c>
      <c r="L104" s="3" t="s">
        <v>338</v>
      </c>
      <c r="M104" s="3" t="s">
        <v>339</v>
      </c>
      <c r="N104" s="27">
        <f>INDEX('Campaign Metadata '!B:B,MATCH(M104,'Campaign Metadata '!A:A,0))</f>
        <v>45667</v>
      </c>
      <c r="O104" s="17">
        <f>INDEX('Campaign Metadata '!C:C,MATCH(M104,'Campaign Metadata '!A:A,0))</f>
        <v>45698</v>
      </c>
      <c r="P104" s="4" t="str">
        <f t="shared" si="1"/>
        <v>BEFORE</v>
      </c>
    </row>
    <row r="105" spans="1:16" ht="15.75" customHeight="1">
      <c r="A105" s="1" t="s">
        <v>122</v>
      </c>
      <c r="B105" s="3" t="s">
        <v>18</v>
      </c>
      <c r="C105" s="21">
        <v>45413</v>
      </c>
      <c r="D105" s="3" t="s">
        <v>19</v>
      </c>
      <c r="E105" s="3" t="s">
        <v>349</v>
      </c>
      <c r="F105" s="7">
        <v>2587</v>
      </c>
      <c r="G105" s="7">
        <v>447</v>
      </c>
      <c r="H105" s="7">
        <v>183</v>
      </c>
      <c r="I105" s="7">
        <v>36266</v>
      </c>
      <c r="J105" s="7">
        <v>32877</v>
      </c>
      <c r="K105" s="7">
        <v>132</v>
      </c>
      <c r="L105" s="3" t="s">
        <v>351</v>
      </c>
      <c r="M105" s="3" t="s">
        <v>339</v>
      </c>
      <c r="N105" s="27">
        <f>INDEX('Campaign Metadata '!B:B,MATCH(M105,'Campaign Metadata '!A:A,0))</f>
        <v>45667</v>
      </c>
      <c r="O105" s="17">
        <f>INDEX('Campaign Metadata '!C:C,MATCH(M105,'Campaign Metadata '!A:A,0))</f>
        <v>45698</v>
      </c>
      <c r="P105" s="4" t="str">
        <f t="shared" si="1"/>
        <v>BEFORE</v>
      </c>
    </row>
    <row r="106" spans="1:16" ht="15.75" customHeight="1">
      <c r="A106" s="1" t="s">
        <v>123</v>
      </c>
      <c r="B106" s="3" t="s">
        <v>18</v>
      </c>
      <c r="C106" s="21">
        <v>45553</v>
      </c>
      <c r="D106" s="3" t="s">
        <v>15</v>
      </c>
      <c r="E106" s="3" t="s">
        <v>337</v>
      </c>
      <c r="F106" s="7">
        <v>2878</v>
      </c>
      <c r="G106" s="7">
        <v>265</v>
      </c>
      <c r="H106" s="7">
        <v>91</v>
      </c>
      <c r="I106" s="7">
        <v>52090</v>
      </c>
      <c r="J106" s="7">
        <v>28924</v>
      </c>
      <c r="K106" s="7">
        <v>133</v>
      </c>
      <c r="L106" s="3" t="s">
        <v>353</v>
      </c>
      <c r="M106" s="3" t="s">
        <v>339</v>
      </c>
      <c r="N106" s="27">
        <f>INDEX('Campaign Metadata '!B:B,MATCH(M106,'Campaign Metadata '!A:A,0))</f>
        <v>45667</v>
      </c>
      <c r="O106" s="17">
        <f>INDEX('Campaign Metadata '!C:C,MATCH(M106,'Campaign Metadata '!A:A,0))</f>
        <v>45698</v>
      </c>
      <c r="P106" s="4" t="str">
        <f t="shared" si="1"/>
        <v>BEFORE</v>
      </c>
    </row>
    <row r="107" spans="1:16" ht="15.75" customHeight="1">
      <c r="A107" s="1" t="s">
        <v>124</v>
      </c>
      <c r="B107" s="3" t="s">
        <v>18</v>
      </c>
      <c r="C107" s="21">
        <v>45677</v>
      </c>
      <c r="D107" s="3" t="s">
        <v>19</v>
      </c>
      <c r="E107" s="3" t="s">
        <v>343</v>
      </c>
      <c r="F107" s="7">
        <v>4619</v>
      </c>
      <c r="G107" s="7">
        <v>272</v>
      </c>
      <c r="H107" s="7">
        <v>57</v>
      </c>
      <c r="I107" s="7">
        <v>21334</v>
      </c>
      <c r="J107" s="7">
        <v>46292</v>
      </c>
      <c r="K107" s="7">
        <v>91</v>
      </c>
      <c r="L107" s="3" t="s">
        <v>338</v>
      </c>
      <c r="M107" s="3" t="s">
        <v>339</v>
      </c>
      <c r="N107" s="27">
        <f>INDEX('Campaign Metadata '!B:B,MATCH(M107,'Campaign Metadata '!A:A,0))</f>
        <v>45667</v>
      </c>
      <c r="O107" s="17">
        <f>INDEX('Campaign Metadata '!C:C,MATCH(M107,'Campaign Metadata '!A:A,0))</f>
        <v>45698</v>
      </c>
      <c r="P107" s="4" t="str">
        <f t="shared" si="1"/>
        <v>DURING</v>
      </c>
    </row>
    <row r="108" spans="1:16" ht="15.75" customHeight="1">
      <c r="A108" s="1" t="s">
        <v>125</v>
      </c>
      <c r="B108" s="3" t="s">
        <v>18</v>
      </c>
      <c r="C108" s="21">
        <v>45670</v>
      </c>
      <c r="D108" s="3" t="s">
        <v>15</v>
      </c>
      <c r="E108" s="3" t="s">
        <v>347</v>
      </c>
      <c r="F108" s="7">
        <v>4090</v>
      </c>
      <c r="G108" s="7">
        <v>209</v>
      </c>
      <c r="H108" s="7">
        <v>278</v>
      </c>
      <c r="I108" s="7">
        <v>52853</v>
      </c>
      <c r="J108" s="7">
        <v>57084</v>
      </c>
      <c r="K108" s="7">
        <v>102</v>
      </c>
      <c r="L108" s="3" t="s">
        <v>354</v>
      </c>
      <c r="M108" s="3" t="s">
        <v>342</v>
      </c>
      <c r="N108" s="27">
        <f>INDEX('Campaign Metadata '!B:B,MATCH(M108,'Campaign Metadata '!A:A,0))</f>
        <v>45717</v>
      </c>
      <c r="O108" s="17">
        <f>INDEX('Campaign Metadata '!C:C,MATCH(M108,'Campaign Metadata '!A:A,0))</f>
        <v>45747</v>
      </c>
      <c r="P108" s="4" t="str">
        <f t="shared" si="1"/>
        <v>BEFORE</v>
      </c>
    </row>
    <row r="109" spans="1:16" ht="15.75" customHeight="1">
      <c r="A109" s="1" t="s">
        <v>126</v>
      </c>
      <c r="B109" s="3" t="s">
        <v>346</v>
      </c>
      <c r="C109" s="21">
        <v>45542</v>
      </c>
      <c r="D109" s="3" t="s">
        <v>37</v>
      </c>
      <c r="E109" s="3" t="s">
        <v>347</v>
      </c>
      <c r="F109" s="7">
        <v>3882</v>
      </c>
      <c r="G109" s="7">
        <v>342</v>
      </c>
      <c r="H109" s="7">
        <v>374</v>
      </c>
      <c r="I109" s="7">
        <v>41991</v>
      </c>
      <c r="J109" s="7">
        <v>48554</v>
      </c>
      <c r="K109" s="7">
        <v>118</v>
      </c>
      <c r="L109" s="3" t="s">
        <v>357</v>
      </c>
      <c r="M109" s="3" t="s">
        <v>358</v>
      </c>
      <c r="N109" s="27">
        <f>INDEX('Campaign Metadata '!B:B,MATCH(M109,'Campaign Metadata '!A:A,0))</f>
        <v>45458</v>
      </c>
      <c r="O109" s="17">
        <f>INDEX('Campaign Metadata '!C:C,MATCH(M109,'Campaign Metadata '!A:A,0))</f>
        <v>45488</v>
      </c>
      <c r="P109" s="4" t="str">
        <f t="shared" si="1"/>
        <v>AFTER</v>
      </c>
    </row>
    <row r="110" spans="1:16" ht="15.75" customHeight="1">
      <c r="A110" s="1" t="s">
        <v>127</v>
      </c>
      <c r="B110" s="3" t="s">
        <v>14</v>
      </c>
      <c r="C110" s="21">
        <v>45617</v>
      </c>
      <c r="D110" s="3" t="s">
        <v>15</v>
      </c>
      <c r="E110" s="3" t="s">
        <v>347</v>
      </c>
      <c r="F110" s="7">
        <v>4581</v>
      </c>
      <c r="G110" s="7">
        <v>181</v>
      </c>
      <c r="H110" s="7">
        <v>112</v>
      </c>
      <c r="I110" s="7">
        <v>35221</v>
      </c>
      <c r="J110" s="7">
        <v>28797</v>
      </c>
      <c r="K110" s="7">
        <v>164</v>
      </c>
      <c r="L110" s="3" t="s">
        <v>338</v>
      </c>
      <c r="M110" s="3" t="s">
        <v>339</v>
      </c>
      <c r="N110" s="27">
        <f>INDEX('Campaign Metadata '!B:B,MATCH(M110,'Campaign Metadata '!A:A,0))</f>
        <v>45667</v>
      </c>
      <c r="O110" s="17">
        <f>INDEX('Campaign Metadata '!C:C,MATCH(M110,'Campaign Metadata '!A:A,0))</f>
        <v>45698</v>
      </c>
      <c r="P110" s="4" t="str">
        <f t="shared" si="1"/>
        <v>BEFORE</v>
      </c>
    </row>
    <row r="111" spans="1:16" ht="15.75" customHeight="1">
      <c r="A111" s="1" t="s">
        <v>128</v>
      </c>
      <c r="B111" s="3" t="s">
        <v>14</v>
      </c>
      <c r="C111" s="21">
        <v>45469</v>
      </c>
      <c r="D111" s="3" t="s">
        <v>15</v>
      </c>
      <c r="E111" s="3" t="s">
        <v>343</v>
      </c>
      <c r="F111" s="7">
        <v>3253</v>
      </c>
      <c r="G111" s="7">
        <v>483</v>
      </c>
      <c r="H111" s="7">
        <v>336</v>
      </c>
      <c r="I111" s="7">
        <v>25397</v>
      </c>
      <c r="J111" s="7">
        <v>51485</v>
      </c>
      <c r="K111" s="7">
        <v>131</v>
      </c>
      <c r="L111" s="3" t="s">
        <v>341</v>
      </c>
      <c r="M111" s="3" t="s">
        <v>342</v>
      </c>
      <c r="N111" s="27">
        <f>INDEX('Campaign Metadata '!B:B,MATCH(M111,'Campaign Metadata '!A:A,0))</f>
        <v>45717</v>
      </c>
      <c r="O111" s="17">
        <f>INDEX('Campaign Metadata '!C:C,MATCH(M111,'Campaign Metadata '!A:A,0))</f>
        <v>45747</v>
      </c>
      <c r="P111" s="4" t="str">
        <f t="shared" si="1"/>
        <v>BEFORE</v>
      </c>
    </row>
    <row r="112" spans="1:16" ht="15.75" customHeight="1">
      <c r="A112" s="1" t="s">
        <v>129</v>
      </c>
      <c r="B112" s="3" t="s">
        <v>346</v>
      </c>
      <c r="C112" s="21">
        <v>45493</v>
      </c>
      <c r="D112" s="3" t="s">
        <v>37</v>
      </c>
      <c r="E112" s="3" t="s">
        <v>347</v>
      </c>
      <c r="F112" s="7">
        <v>4955</v>
      </c>
      <c r="G112" s="7">
        <v>299</v>
      </c>
      <c r="H112" s="7">
        <v>345</v>
      </c>
      <c r="I112" s="7">
        <v>33644</v>
      </c>
      <c r="J112" s="7">
        <v>43547</v>
      </c>
      <c r="K112" s="7">
        <v>194</v>
      </c>
      <c r="L112" s="3" t="s">
        <v>357</v>
      </c>
      <c r="M112" s="3" t="s">
        <v>358</v>
      </c>
      <c r="N112" s="27">
        <f>INDEX('Campaign Metadata '!B:B,MATCH(M112,'Campaign Metadata '!A:A,0))</f>
        <v>45458</v>
      </c>
      <c r="O112" s="17">
        <f>INDEX('Campaign Metadata '!C:C,MATCH(M112,'Campaign Metadata '!A:A,0))</f>
        <v>45488</v>
      </c>
      <c r="P112" s="4" t="str">
        <f t="shared" si="1"/>
        <v>AFTER</v>
      </c>
    </row>
    <row r="113" spans="1:16" ht="15.75" customHeight="1">
      <c r="A113" s="1" t="s">
        <v>130</v>
      </c>
      <c r="B113" s="3" t="s">
        <v>14</v>
      </c>
      <c r="C113" s="21">
        <v>45704</v>
      </c>
      <c r="D113" s="3" t="s">
        <v>15</v>
      </c>
      <c r="E113" s="3" t="s">
        <v>356</v>
      </c>
      <c r="F113" s="7">
        <v>1333</v>
      </c>
      <c r="G113" s="7">
        <v>286</v>
      </c>
      <c r="H113" s="7">
        <v>298</v>
      </c>
      <c r="I113" s="7">
        <v>36174</v>
      </c>
      <c r="J113" s="7">
        <v>34517</v>
      </c>
      <c r="K113" s="7">
        <v>170</v>
      </c>
      <c r="L113" s="3" t="s">
        <v>338</v>
      </c>
      <c r="M113" s="3" t="s">
        <v>339</v>
      </c>
      <c r="N113" s="27">
        <f>INDEX('Campaign Metadata '!B:B,MATCH(M113,'Campaign Metadata '!A:A,0))</f>
        <v>45667</v>
      </c>
      <c r="O113" s="17">
        <f>INDEX('Campaign Metadata '!C:C,MATCH(M113,'Campaign Metadata '!A:A,0))</f>
        <v>45698</v>
      </c>
      <c r="P113" s="4" t="str">
        <f t="shared" si="1"/>
        <v>AFTER</v>
      </c>
    </row>
    <row r="114" spans="1:16" ht="15.75" customHeight="1">
      <c r="A114" s="1" t="s">
        <v>131</v>
      </c>
      <c r="B114" s="3" t="s">
        <v>14</v>
      </c>
      <c r="C114" s="21">
        <v>45544</v>
      </c>
      <c r="D114" s="3" t="s">
        <v>15</v>
      </c>
      <c r="E114" s="3" t="s">
        <v>343</v>
      </c>
      <c r="F114" s="7">
        <v>1616</v>
      </c>
      <c r="G114" s="7">
        <v>360</v>
      </c>
      <c r="H114" s="7">
        <v>180</v>
      </c>
      <c r="I114" s="7">
        <v>54342</v>
      </c>
      <c r="J114" s="7">
        <v>18796</v>
      </c>
      <c r="K114" s="7">
        <v>282</v>
      </c>
      <c r="L114" s="3" t="s">
        <v>338</v>
      </c>
      <c r="M114" s="3" t="s">
        <v>339</v>
      </c>
      <c r="N114" s="27">
        <f>INDEX('Campaign Metadata '!B:B,MATCH(M114,'Campaign Metadata '!A:A,0))</f>
        <v>45667</v>
      </c>
      <c r="O114" s="17">
        <f>INDEX('Campaign Metadata '!C:C,MATCH(M114,'Campaign Metadata '!A:A,0))</f>
        <v>45698</v>
      </c>
      <c r="P114" s="4" t="str">
        <f t="shared" si="1"/>
        <v>BEFORE</v>
      </c>
    </row>
    <row r="115" spans="1:16" ht="15.75" customHeight="1">
      <c r="A115" s="1" t="s">
        <v>132</v>
      </c>
      <c r="B115" s="3" t="s">
        <v>18</v>
      </c>
      <c r="C115" s="21">
        <v>45489</v>
      </c>
      <c r="D115" s="3" t="s">
        <v>15</v>
      </c>
      <c r="E115" s="3" t="s">
        <v>352</v>
      </c>
      <c r="F115" s="7">
        <v>1803</v>
      </c>
      <c r="G115" s="7">
        <v>273</v>
      </c>
      <c r="H115" s="7">
        <v>287</v>
      </c>
      <c r="I115" s="7">
        <v>46176</v>
      </c>
      <c r="J115" s="7">
        <v>25488</v>
      </c>
      <c r="K115" s="7">
        <v>141</v>
      </c>
      <c r="L115" s="3" t="s">
        <v>353</v>
      </c>
      <c r="M115" s="3" t="s">
        <v>339</v>
      </c>
      <c r="N115" s="27">
        <f>INDEX('Campaign Metadata '!B:B,MATCH(M115,'Campaign Metadata '!A:A,0))</f>
        <v>45667</v>
      </c>
      <c r="O115" s="17">
        <f>INDEX('Campaign Metadata '!C:C,MATCH(M115,'Campaign Metadata '!A:A,0))</f>
        <v>45698</v>
      </c>
      <c r="P115" s="4" t="str">
        <f t="shared" si="1"/>
        <v>BEFORE</v>
      </c>
    </row>
    <row r="116" spans="1:16" ht="15.75" customHeight="1">
      <c r="A116" s="1" t="s">
        <v>133</v>
      </c>
      <c r="B116" s="3" t="s">
        <v>14</v>
      </c>
      <c r="C116" s="21">
        <v>45762</v>
      </c>
      <c r="D116" s="3" t="s">
        <v>15</v>
      </c>
      <c r="E116" s="3" t="s">
        <v>340</v>
      </c>
      <c r="F116" s="7">
        <v>4177</v>
      </c>
      <c r="G116" s="7">
        <v>489</v>
      </c>
      <c r="H116" s="7">
        <v>331</v>
      </c>
      <c r="I116" s="7">
        <v>57451</v>
      </c>
      <c r="J116" s="7">
        <v>73793</v>
      </c>
      <c r="K116" s="7">
        <v>251</v>
      </c>
      <c r="L116" s="3" t="s">
        <v>341</v>
      </c>
      <c r="M116" s="3" t="s">
        <v>342</v>
      </c>
      <c r="N116" s="27">
        <f>INDEX('Campaign Metadata '!B:B,MATCH(M116,'Campaign Metadata '!A:A,0))</f>
        <v>45717</v>
      </c>
      <c r="O116" s="17">
        <f>INDEX('Campaign Metadata '!C:C,MATCH(M116,'Campaign Metadata '!A:A,0))</f>
        <v>45747</v>
      </c>
      <c r="P116" s="4" t="str">
        <f t="shared" si="1"/>
        <v>AFTER</v>
      </c>
    </row>
    <row r="117" spans="1:16" ht="15.75" customHeight="1">
      <c r="A117" s="1" t="s">
        <v>134</v>
      </c>
      <c r="B117" s="3" t="s">
        <v>14</v>
      </c>
      <c r="C117" s="21">
        <v>45781</v>
      </c>
      <c r="D117" s="3" t="s">
        <v>19</v>
      </c>
      <c r="E117" s="3" t="s">
        <v>343</v>
      </c>
      <c r="F117" s="7">
        <v>1311</v>
      </c>
      <c r="G117" s="7">
        <v>181</v>
      </c>
      <c r="H117" s="7">
        <v>361</v>
      </c>
      <c r="I117" s="7">
        <v>37148</v>
      </c>
      <c r="J117" s="7">
        <v>44875</v>
      </c>
      <c r="K117" s="7">
        <v>245</v>
      </c>
      <c r="L117" s="3" t="s">
        <v>353</v>
      </c>
      <c r="M117" s="3" t="s">
        <v>35</v>
      </c>
      <c r="N117" s="27">
        <f>INDEX('Campaign Metadata '!B:B,MATCH(M117,'Campaign Metadata '!A:A,0))</f>
        <v>45627</v>
      </c>
      <c r="O117" s="17">
        <f>INDEX('Campaign Metadata '!C:C,MATCH(M117,'Campaign Metadata '!A:A,0))</f>
        <v>45657</v>
      </c>
      <c r="P117" s="4" t="str">
        <f t="shared" si="1"/>
        <v>AFTER</v>
      </c>
    </row>
    <row r="118" spans="1:16" ht="15.75" customHeight="1">
      <c r="A118" s="1" t="s">
        <v>135</v>
      </c>
      <c r="B118" s="3" t="s">
        <v>14</v>
      </c>
      <c r="C118" s="21">
        <v>45340</v>
      </c>
      <c r="D118" s="3" t="s">
        <v>19</v>
      </c>
      <c r="E118" s="3" t="s">
        <v>355</v>
      </c>
      <c r="F118" s="7">
        <v>1516</v>
      </c>
      <c r="G118" s="7">
        <v>215</v>
      </c>
      <c r="H118" s="7">
        <v>332</v>
      </c>
      <c r="I118" s="7">
        <v>58981</v>
      </c>
      <c r="J118" s="7">
        <v>36118</v>
      </c>
      <c r="K118" s="7">
        <v>211</v>
      </c>
      <c r="L118" s="3" t="s">
        <v>353</v>
      </c>
      <c r="M118" s="3" t="s">
        <v>35</v>
      </c>
      <c r="N118" s="27">
        <f>INDEX('Campaign Metadata '!B:B,MATCH(M118,'Campaign Metadata '!A:A,0))</f>
        <v>45627</v>
      </c>
      <c r="O118" s="17">
        <f>INDEX('Campaign Metadata '!C:C,MATCH(M118,'Campaign Metadata '!A:A,0))</f>
        <v>45657</v>
      </c>
      <c r="P118" s="4" t="str">
        <f t="shared" si="1"/>
        <v>BEFORE</v>
      </c>
    </row>
    <row r="119" spans="1:16" ht="15.75" customHeight="1">
      <c r="A119" s="1" t="s">
        <v>136</v>
      </c>
      <c r="B119" s="3" t="s">
        <v>18</v>
      </c>
      <c r="C119" s="21">
        <v>45428</v>
      </c>
      <c r="D119" s="3" t="s">
        <v>19</v>
      </c>
      <c r="E119" s="3" t="s">
        <v>347</v>
      </c>
      <c r="F119" s="7">
        <v>2023</v>
      </c>
      <c r="G119" s="7">
        <v>124</v>
      </c>
      <c r="H119" s="7">
        <v>99</v>
      </c>
      <c r="I119" s="7">
        <v>54524</v>
      </c>
      <c r="J119" s="7">
        <v>34790</v>
      </c>
      <c r="K119" s="7">
        <v>195</v>
      </c>
      <c r="L119" s="3" t="s">
        <v>351</v>
      </c>
      <c r="M119" s="3" t="s">
        <v>339</v>
      </c>
      <c r="N119" s="27">
        <f>INDEX('Campaign Metadata '!B:B,MATCH(M119,'Campaign Metadata '!A:A,0))</f>
        <v>45667</v>
      </c>
      <c r="O119" s="17">
        <f>INDEX('Campaign Metadata '!C:C,MATCH(M119,'Campaign Metadata '!A:A,0))</f>
        <v>45698</v>
      </c>
      <c r="P119" s="4" t="str">
        <f t="shared" si="1"/>
        <v>BEFORE</v>
      </c>
    </row>
    <row r="120" spans="1:16" ht="15.75" customHeight="1">
      <c r="A120" s="1" t="s">
        <v>137</v>
      </c>
      <c r="B120" s="3" t="s">
        <v>18</v>
      </c>
      <c r="C120" s="21">
        <v>45806</v>
      </c>
      <c r="D120" s="3" t="s">
        <v>19</v>
      </c>
      <c r="E120" s="3" t="s">
        <v>347</v>
      </c>
      <c r="F120" s="7">
        <v>2134</v>
      </c>
      <c r="G120" s="7">
        <v>322</v>
      </c>
      <c r="H120" s="7">
        <v>114</v>
      </c>
      <c r="I120" s="7">
        <v>44338</v>
      </c>
      <c r="J120" s="7">
        <v>52165</v>
      </c>
      <c r="K120" s="7">
        <v>176</v>
      </c>
      <c r="L120" s="3" t="s">
        <v>344</v>
      </c>
      <c r="M120" s="3" t="s">
        <v>339</v>
      </c>
      <c r="N120" s="27">
        <f>INDEX('Campaign Metadata '!B:B,MATCH(M120,'Campaign Metadata '!A:A,0))</f>
        <v>45667</v>
      </c>
      <c r="O120" s="17">
        <f>INDEX('Campaign Metadata '!C:C,MATCH(M120,'Campaign Metadata '!A:A,0))</f>
        <v>45698</v>
      </c>
      <c r="P120" s="4" t="str">
        <f t="shared" si="1"/>
        <v>AFTER</v>
      </c>
    </row>
    <row r="121" spans="1:16" ht="15.75" customHeight="1">
      <c r="A121" s="1" t="s">
        <v>138</v>
      </c>
      <c r="B121" s="3" t="s">
        <v>14</v>
      </c>
      <c r="C121" s="21">
        <v>45674</v>
      </c>
      <c r="D121" s="3" t="s">
        <v>15</v>
      </c>
      <c r="E121" s="3" t="s">
        <v>352</v>
      </c>
      <c r="F121" s="7">
        <v>2266</v>
      </c>
      <c r="G121" s="7">
        <v>126</v>
      </c>
      <c r="H121" s="7">
        <v>140</v>
      </c>
      <c r="I121" s="7">
        <v>53759</v>
      </c>
      <c r="J121" s="7">
        <v>46834</v>
      </c>
      <c r="K121" s="7">
        <v>277</v>
      </c>
      <c r="L121" s="3" t="s">
        <v>341</v>
      </c>
      <c r="M121" s="3" t="s">
        <v>342</v>
      </c>
      <c r="N121" s="27">
        <f>INDEX('Campaign Metadata '!B:B,MATCH(M121,'Campaign Metadata '!A:A,0))</f>
        <v>45717</v>
      </c>
      <c r="O121" s="17">
        <f>INDEX('Campaign Metadata '!C:C,MATCH(M121,'Campaign Metadata '!A:A,0))</f>
        <v>45747</v>
      </c>
      <c r="P121" s="4" t="str">
        <f t="shared" si="1"/>
        <v>BEFORE</v>
      </c>
    </row>
    <row r="122" spans="1:16" ht="15.75" customHeight="1">
      <c r="A122" s="1" t="s">
        <v>139</v>
      </c>
      <c r="B122" s="3" t="s">
        <v>14</v>
      </c>
      <c r="C122" s="21">
        <v>45777</v>
      </c>
      <c r="D122" s="3" t="s">
        <v>19</v>
      </c>
      <c r="E122" s="3" t="s">
        <v>343</v>
      </c>
      <c r="F122" s="7">
        <v>3916</v>
      </c>
      <c r="G122" s="7">
        <v>459</v>
      </c>
      <c r="H122" s="7">
        <v>229</v>
      </c>
      <c r="I122" s="7">
        <v>48989</v>
      </c>
      <c r="J122" s="7">
        <v>39768</v>
      </c>
      <c r="K122" s="7">
        <v>200</v>
      </c>
      <c r="L122" s="3" t="s">
        <v>353</v>
      </c>
      <c r="M122" s="3" t="s">
        <v>35</v>
      </c>
      <c r="N122" s="27">
        <f>INDEX('Campaign Metadata '!B:B,MATCH(M122,'Campaign Metadata '!A:A,0))</f>
        <v>45627</v>
      </c>
      <c r="O122" s="17">
        <f>INDEX('Campaign Metadata '!C:C,MATCH(M122,'Campaign Metadata '!A:A,0))</f>
        <v>45657</v>
      </c>
      <c r="P122" s="4" t="str">
        <f t="shared" si="1"/>
        <v>AFTER</v>
      </c>
    </row>
    <row r="123" spans="1:16" ht="15.75" customHeight="1">
      <c r="A123" s="1" t="s">
        <v>140</v>
      </c>
      <c r="B123" s="3" t="s">
        <v>18</v>
      </c>
      <c r="C123" s="21">
        <v>45346</v>
      </c>
      <c r="D123" s="3" t="s">
        <v>19</v>
      </c>
      <c r="E123" s="3" t="s">
        <v>347</v>
      </c>
      <c r="F123" s="7">
        <v>1022</v>
      </c>
      <c r="G123" s="7">
        <v>463</v>
      </c>
      <c r="H123" s="7">
        <v>360</v>
      </c>
      <c r="I123" s="7">
        <v>51468</v>
      </c>
      <c r="J123" s="7">
        <v>24279</v>
      </c>
      <c r="K123" s="7">
        <v>230</v>
      </c>
      <c r="L123" s="3" t="s">
        <v>351</v>
      </c>
      <c r="M123" s="3" t="s">
        <v>339</v>
      </c>
      <c r="N123" s="27">
        <f>INDEX('Campaign Metadata '!B:B,MATCH(M123,'Campaign Metadata '!A:A,0))</f>
        <v>45667</v>
      </c>
      <c r="O123" s="17">
        <f>INDEX('Campaign Metadata '!C:C,MATCH(M123,'Campaign Metadata '!A:A,0))</f>
        <v>45698</v>
      </c>
      <c r="P123" s="4" t="str">
        <f t="shared" si="1"/>
        <v>BEFORE</v>
      </c>
    </row>
    <row r="124" spans="1:16" ht="15.75" customHeight="1">
      <c r="A124" s="1" t="s">
        <v>141</v>
      </c>
      <c r="B124" s="3" t="s">
        <v>346</v>
      </c>
      <c r="C124" s="21">
        <v>45424</v>
      </c>
      <c r="D124" s="3" t="s">
        <v>15</v>
      </c>
      <c r="E124" s="3" t="s">
        <v>355</v>
      </c>
      <c r="F124" s="7">
        <v>2911</v>
      </c>
      <c r="G124" s="7">
        <v>467</v>
      </c>
      <c r="H124" s="7">
        <v>94</v>
      </c>
      <c r="I124" s="7">
        <v>59083</v>
      </c>
      <c r="J124" s="7">
        <v>49762</v>
      </c>
      <c r="K124" s="7">
        <v>236</v>
      </c>
      <c r="L124" s="3" t="s">
        <v>348</v>
      </c>
      <c r="M124" s="3" t="s">
        <v>342</v>
      </c>
      <c r="N124" s="27">
        <f>INDEX('Campaign Metadata '!B:B,MATCH(M124,'Campaign Metadata '!A:A,0))</f>
        <v>45717</v>
      </c>
      <c r="O124" s="17">
        <f>INDEX('Campaign Metadata '!C:C,MATCH(M124,'Campaign Metadata '!A:A,0))</f>
        <v>45747</v>
      </c>
      <c r="P124" s="4" t="str">
        <f t="shared" si="1"/>
        <v>BEFORE</v>
      </c>
    </row>
    <row r="125" spans="1:16" ht="15.75" customHeight="1">
      <c r="A125" s="1" t="s">
        <v>142</v>
      </c>
      <c r="B125" s="3" t="s">
        <v>18</v>
      </c>
      <c r="C125" s="21">
        <v>45421</v>
      </c>
      <c r="D125" s="3" t="s">
        <v>19</v>
      </c>
      <c r="E125" s="3" t="s">
        <v>343</v>
      </c>
      <c r="F125" s="7">
        <v>3277</v>
      </c>
      <c r="G125" s="7">
        <v>423</v>
      </c>
      <c r="H125" s="7">
        <v>259</v>
      </c>
      <c r="I125" s="7">
        <v>46328</v>
      </c>
      <c r="J125" s="7">
        <v>44293</v>
      </c>
      <c r="K125" s="7">
        <v>299</v>
      </c>
      <c r="L125" s="3" t="s">
        <v>338</v>
      </c>
      <c r="M125" s="3" t="s">
        <v>339</v>
      </c>
      <c r="N125" s="27">
        <f>INDEX('Campaign Metadata '!B:B,MATCH(M125,'Campaign Metadata '!A:A,0))</f>
        <v>45667</v>
      </c>
      <c r="O125" s="17">
        <f>INDEX('Campaign Metadata '!C:C,MATCH(M125,'Campaign Metadata '!A:A,0))</f>
        <v>45698</v>
      </c>
      <c r="P125" s="4" t="str">
        <f t="shared" si="1"/>
        <v>BEFORE</v>
      </c>
    </row>
    <row r="126" spans="1:16" ht="15.75" customHeight="1">
      <c r="A126" s="1" t="s">
        <v>143</v>
      </c>
      <c r="B126" s="3" t="s">
        <v>18</v>
      </c>
      <c r="C126" s="21">
        <v>45602</v>
      </c>
      <c r="D126" s="3" t="s">
        <v>15</v>
      </c>
      <c r="E126" s="3" t="s">
        <v>355</v>
      </c>
      <c r="F126" s="7">
        <v>2956</v>
      </c>
      <c r="G126" s="7">
        <v>381</v>
      </c>
      <c r="H126" s="7">
        <v>345</v>
      </c>
      <c r="I126" s="7">
        <v>33347</v>
      </c>
      <c r="J126" s="7">
        <v>22558</v>
      </c>
      <c r="K126" s="7">
        <v>173</v>
      </c>
      <c r="L126" s="3" t="s">
        <v>353</v>
      </c>
      <c r="M126" s="3" t="s">
        <v>339</v>
      </c>
      <c r="N126" s="27">
        <f>INDEX('Campaign Metadata '!B:B,MATCH(M126,'Campaign Metadata '!A:A,0))</f>
        <v>45667</v>
      </c>
      <c r="O126" s="17">
        <f>INDEX('Campaign Metadata '!C:C,MATCH(M126,'Campaign Metadata '!A:A,0))</f>
        <v>45698</v>
      </c>
      <c r="P126" s="4" t="str">
        <f t="shared" si="1"/>
        <v>BEFORE</v>
      </c>
    </row>
    <row r="127" spans="1:16" ht="15.75" customHeight="1">
      <c r="A127" s="1" t="s">
        <v>144</v>
      </c>
      <c r="B127" s="3" t="s">
        <v>18</v>
      </c>
      <c r="C127" s="21">
        <v>45295</v>
      </c>
      <c r="D127" s="3" t="s">
        <v>19</v>
      </c>
      <c r="E127" s="3" t="s">
        <v>349</v>
      </c>
      <c r="F127" s="7">
        <v>3208</v>
      </c>
      <c r="G127" s="7">
        <v>476</v>
      </c>
      <c r="H127" s="7">
        <v>277</v>
      </c>
      <c r="I127" s="7">
        <v>56072</v>
      </c>
      <c r="J127" s="7">
        <v>21061</v>
      </c>
      <c r="K127" s="7">
        <v>113</v>
      </c>
      <c r="L127" s="3" t="s">
        <v>344</v>
      </c>
      <c r="M127" s="3" t="s">
        <v>339</v>
      </c>
      <c r="N127" s="27">
        <f>INDEX('Campaign Metadata '!B:B,MATCH(M127,'Campaign Metadata '!A:A,0))</f>
        <v>45667</v>
      </c>
      <c r="O127" s="17">
        <f>INDEX('Campaign Metadata '!C:C,MATCH(M127,'Campaign Metadata '!A:A,0))</f>
        <v>45698</v>
      </c>
      <c r="P127" s="4" t="str">
        <f t="shared" si="1"/>
        <v>BEFORE</v>
      </c>
    </row>
    <row r="128" spans="1:16" ht="15.75" customHeight="1">
      <c r="A128" s="1" t="s">
        <v>145</v>
      </c>
      <c r="B128" s="3" t="s">
        <v>18</v>
      </c>
      <c r="C128" s="21">
        <v>45319</v>
      </c>
      <c r="D128" s="3" t="s">
        <v>15</v>
      </c>
      <c r="E128" s="3" t="s">
        <v>347</v>
      </c>
      <c r="F128" s="7">
        <v>1456</v>
      </c>
      <c r="G128" s="7">
        <v>265</v>
      </c>
      <c r="H128" s="7">
        <v>137</v>
      </c>
      <c r="I128" s="7">
        <v>53485</v>
      </c>
      <c r="J128" s="7">
        <v>59729</v>
      </c>
      <c r="K128" s="7">
        <v>145</v>
      </c>
      <c r="L128" s="3" t="s">
        <v>354</v>
      </c>
      <c r="M128" s="3" t="s">
        <v>342</v>
      </c>
      <c r="N128" s="27">
        <f>INDEX('Campaign Metadata '!B:B,MATCH(M128,'Campaign Metadata '!A:A,0))</f>
        <v>45717</v>
      </c>
      <c r="O128" s="17">
        <f>INDEX('Campaign Metadata '!C:C,MATCH(M128,'Campaign Metadata '!A:A,0))</f>
        <v>45747</v>
      </c>
      <c r="P128" s="4" t="str">
        <f t="shared" si="1"/>
        <v>BEFORE</v>
      </c>
    </row>
    <row r="129" spans="1:16" ht="15.75" customHeight="1">
      <c r="A129" s="1" t="s">
        <v>146</v>
      </c>
      <c r="B129" s="3" t="s">
        <v>14</v>
      </c>
      <c r="C129" s="21">
        <v>45344</v>
      </c>
      <c r="D129" s="3" t="s">
        <v>15</v>
      </c>
      <c r="E129" s="3" t="s">
        <v>343</v>
      </c>
      <c r="F129" s="7">
        <v>1902</v>
      </c>
      <c r="G129" s="7">
        <v>394</v>
      </c>
      <c r="H129" s="7">
        <v>279</v>
      </c>
      <c r="I129" s="7">
        <v>24615</v>
      </c>
      <c r="J129" s="7">
        <v>51330</v>
      </c>
      <c r="K129" s="7">
        <v>176</v>
      </c>
      <c r="L129" s="3" t="s">
        <v>338</v>
      </c>
      <c r="M129" s="3" t="s">
        <v>339</v>
      </c>
      <c r="N129" s="27">
        <f>INDEX('Campaign Metadata '!B:B,MATCH(M129,'Campaign Metadata '!A:A,0))</f>
        <v>45667</v>
      </c>
      <c r="O129" s="17">
        <f>INDEX('Campaign Metadata '!C:C,MATCH(M129,'Campaign Metadata '!A:A,0))</f>
        <v>45698</v>
      </c>
      <c r="P129" s="4" t="str">
        <f t="shared" si="1"/>
        <v>BEFORE</v>
      </c>
    </row>
    <row r="130" spans="1:16" ht="15.75" customHeight="1">
      <c r="A130" s="1" t="s">
        <v>147</v>
      </c>
      <c r="B130" s="3" t="s">
        <v>18</v>
      </c>
      <c r="C130" s="21">
        <v>45839</v>
      </c>
      <c r="D130" s="3" t="s">
        <v>19</v>
      </c>
      <c r="E130" s="3" t="s">
        <v>340</v>
      </c>
      <c r="F130" s="7">
        <v>3219</v>
      </c>
      <c r="G130" s="7">
        <v>424</v>
      </c>
      <c r="H130" s="7">
        <v>267</v>
      </c>
      <c r="I130" s="7">
        <v>48879</v>
      </c>
      <c r="J130" s="7">
        <v>37691</v>
      </c>
      <c r="K130" s="7">
        <v>224</v>
      </c>
      <c r="L130" s="3" t="s">
        <v>351</v>
      </c>
      <c r="M130" s="3" t="s">
        <v>339</v>
      </c>
      <c r="N130" s="27">
        <f>INDEX('Campaign Metadata '!B:B,MATCH(M130,'Campaign Metadata '!A:A,0))</f>
        <v>45667</v>
      </c>
      <c r="O130" s="17">
        <f>INDEX('Campaign Metadata '!C:C,MATCH(M130,'Campaign Metadata '!A:A,0))</f>
        <v>45698</v>
      </c>
      <c r="P130" s="4" t="str">
        <f t="shared" si="1"/>
        <v>AFTER</v>
      </c>
    </row>
    <row r="131" spans="1:16" ht="15.75" customHeight="1">
      <c r="A131" s="1" t="s">
        <v>148</v>
      </c>
      <c r="B131" s="3" t="s">
        <v>346</v>
      </c>
      <c r="C131" s="21">
        <v>45301</v>
      </c>
      <c r="D131" s="3" t="s">
        <v>15</v>
      </c>
      <c r="E131" s="3" t="s">
        <v>340</v>
      </c>
      <c r="F131" s="7">
        <v>1261</v>
      </c>
      <c r="G131" s="7">
        <v>190</v>
      </c>
      <c r="H131" s="7">
        <v>233</v>
      </c>
      <c r="I131" s="7">
        <v>59888</v>
      </c>
      <c r="J131" s="7">
        <v>51449</v>
      </c>
      <c r="K131" s="7">
        <v>205</v>
      </c>
      <c r="L131" s="3" t="s">
        <v>348</v>
      </c>
      <c r="M131" s="3" t="s">
        <v>342</v>
      </c>
      <c r="N131" s="27">
        <f>INDEX('Campaign Metadata '!B:B,MATCH(M131,'Campaign Metadata '!A:A,0))</f>
        <v>45717</v>
      </c>
      <c r="O131" s="17">
        <f>INDEX('Campaign Metadata '!C:C,MATCH(M131,'Campaign Metadata '!A:A,0))</f>
        <v>45747</v>
      </c>
      <c r="P131" s="4" t="str">
        <f t="shared" ref="P131:P194" si="2">IF(AND(C131&lt;=O131,C131&gt;=N131),"DURING",IF(C131&lt;O131,"BEFORE", "AFTER"))</f>
        <v>BEFORE</v>
      </c>
    </row>
    <row r="132" spans="1:16" ht="15.75" customHeight="1">
      <c r="A132" s="1" t="s">
        <v>149</v>
      </c>
      <c r="B132" s="3" t="s">
        <v>18</v>
      </c>
      <c r="C132" s="21">
        <v>45736</v>
      </c>
      <c r="D132" s="3" t="s">
        <v>15</v>
      </c>
      <c r="E132" s="3" t="s">
        <v>356</v>
      </c>
      <c r="F132" s="7">
        <v>1564</v>
      </c>
      <c r="G132" s="7">
        <v>362</v>
      </c>
      <c r="H132" s="7">
        <v>371</v>
      </c>
      <c r="I132" s="7">
        <v>42075</v>
      </c>
      <c r="J132" s="7">
        <v>66659</v>
      </c>
      <c r="K132" s="7">
        <v>205</v>
      </c>
      <c r="L132" s="3" t="s">
        <v>354</v>
      </c>
      <c r="M132" s="3" t="s">
        <v>342</v>
      </c>
      <c r="N132" s="27">
        <f>INDEX('Campaign Metadata '!B:B,MATCH(M132,'Campaign Metadata '!A:A,0))</f>
        <v>45717</v>
      </c>
      <c r="O132" s="17">
        <f>INDEX('Campaign Metadata '!C:C,MATCH(M132,'Campaign Metadata '!A:A,0))</f>
        <v>45747</v>
      </c>
      <c r="P132" s="4" t="str">
        <f t="shared" si="2"/>
        <v>DURING</v>
      </c>
    </row>
    <row r="133" spans="1:16" ht="15.75" customHeight="1">
      <c r="A133" s="1" t="s">
        <v>150</v>
      </c>
      <c r="B133" s="3" t="s">
        <v>18</v>
      </c>
      <c r="C133" s="21">
        <v>45563</v>
      </c>
      <c r="D133" s="3" t="s">
        <v>15</v>
      </c>
      <c r="E133" s="3" t="s">
        <v>349</v>
      </c>
      <c r="F133" s="7">
        <v>4006</v>
      </c>
      <c r="G133" s="7">
        <v>420</v>
      </c>
      <c r="H133" s="7">
        <v>194</v>
      </c>
      <c r="I133" s="7">
        <v>49964</v>
      </c>
      <c r="J133" s="7">
        <v>20685</v>
      </c>
      <c r="K133" s="7">
        <v>148</v>
      </c>
      <c r="L133" s="3" t="s">
        <v>353</v>
      </c>
      <c r="M133" s="3" t="s">
        <v>339</v>
      </c>
      <c r="N133" s="27">
        <f>INDEX('Campaign Metadata '!B:B,MATCH(M133,'Campaign Metadata '!A:A,0))</f>
        <v>45667</v>
      </c>
      <c r="O133" s="17">
        <f>INDEX('Campaign Metadata '!C:C,MATCH(M133,'Campaign Metadata '!A:A,0))</f>
        <v>45698</v>
      </c>
      <c r="P133" s="4" t="str">
        <f t="shared" si="2"/>
        <v>BEFORE</v>
      </c>
    </row>
    <row r="134" spans="1:16" ht="15.75" customHeight="1">
      <c r="A134" s="1" t="s">
        <v>151</v>
      </c>
      <c r="B134" s="3" t="s">
        <v>346</v>
      </c>
      <c r="C134" s="21">
        <v>45318</v>
      </c>
      <c r="D134" s="3" t="s">
        <v>15</v>
      </c>
      <c r="E134" s="3" t="s">
        <v>356</v>
      </c>
      <c r="F134" s="7">
        <v>1976</v>
      </c>
      <c r="G134" s="7">
        <v>262</v>
      </c>
      <c r="H134" s="7">
        <v>218</v>
      </c>
      <c r="I134" s="7">
        <v>51696</v>
      </c>
      <c r="J134" s="7">
        <v>44846</v>
      </c>
      <c r="K134" s="7">
        <v>139</v>
      </c>
      <c r="L134" s="3" t="s">
        <v>348</v>
      </c>
      <c r="M134" s="3" t="s">
        <v>342</v>
      </c>
      <c r="N134" s="27">
        <f>INDEX('Campaign Metadata '!B:B,MATCH(M134,'Campaign Metadata '!A:A,0))</f>
        <v>45717</v>
      </c>
      <c r="O134" s="17">
        <f>INDEX('Campaign Metadata '!C:C,MATCH(M134,'Campaign Metadata '!A:A,0))</f>
        <v>45747</v>
      </c>
      <c r="P134" s="4" t="str">
        <f t="shared" si="2"/>
        <v>BEFORE</v>
      </c>
    </row>
    <row r="135" spans="1:16" ht="15.75" customHeight="1">
      <c r="A135" s="1" t="s">
        <v>152</v>
      </c>
      <c r="B135" s="3" t="s">
        <v>18</v>
      </c>
      <c r="C135" s="21">
        <v>45792</v>
      </c>
      <c r="D135" s="3" t="s">
        <v>15</v>
      </c>
      <c r="E135" s="3" t="s">
        <v>343</v>
      </c>
      <c r="F135" s="7">
        <v>1583</v>
      </c>
      <c r="G135" s="7">
        <v>433</v>
      </c>
      <c r="H135" s="7">
        <v>249</v>
      </c>
      <c r="I135" s="7">
        <v>30256</v>
      </c>
      <c r="J135" s="7">
        <v>47066</v>
      </c>
      <c r="K135" s="7">
        <v>196</v>
      </c>
      <c r="L135" s="3" t="s">
        <v>353</v>
      </c>
      <c r="M135" s="3" t="s">
        <v>339</v>
      </c>
      <c r="N135" s="27">
        <f>INDEX('Campaign Metadata '!B:B,MATCH(M135,'Campaign Metadata '!A:A,0))</f>
        <v>45667</v>
      </c>
      <c r="O135" s="17">
        <f>INDEX('Campaign Metadata '!C:C,MATCH(M135,'Campaign Metadata '!A:A,0))</f>
        <v>45698</v>
      </c>
      <c r="P135" s="4" t="str">
        <f t="shared" si="2"/>
        <v>AFTER</v>
      </c>
    </row>
    <row r="136" spans="1:16" ht="15.75" customHeight="1">
      <c r="A136" s="1" t="s">
        <v>153</v>
      </c>
      <c r="B136" s="3" t="s">
        <v>18</v>
      </c>
      <c r="C136" s="21">
        <v>45569</v>
      </c>
      <c r="D136" s="3" t="s">
        <v>19</v>
      </c>
      <c r="E136" s="3" t="s">
        <v>340</v>
      </c>
      <c r="F136" s="7">
        <v>2870</v>
      </c>
      <c r="G136" s="7">
        <v>380</v>
      </c>
      <c r="H136" s="7">
        <v>393</v>
      </c>
      <c r="I136" s="7">
        <v>37621</v>
      </c>
      <c r="J136" s="7">
        <v>71794</v>
      </c>
      <c r="K136" s="7">
        <v>127</v>
      </c>
      <c r="L136" s="3" t="s">
        <v>344</v>
      </c>
      <c r="M136" s="3" t="s">
        <v>339</v>
      </c>
      <c r="N136" s="27">
        <f>INDEX('Campaign Metadata '!B:B,MATCH(M136,'Campaign Metadata '!A:A,0))</f>
        <v>45667</v>
      </c>
      <c r="O136" s="17">
        <f>INDEX('Campaign Metadata '!C:C,MATCH(M136,'Campaign Metadata '!A:A,0))</f>
        <v>45698</v>
      </c>
      <c r="P136" s="4" t="str">
        <f t="shared" si="2"/>
        <v>BEFORE</v>
      </c>
    </row>
    <row r="137" spans="1:16" ht="15.75" customHeight="1">
      <c r="A137" s="1" t="s">
        <v>154</v>
      </c>
      <c r="B137" s="3" t="s">
        <v>18</v>
      </c>
      <c r="C137" s="21">
        <v>45615</v>
      </c>
      <c r="D137" s="3" t="s">
        <v>15</v>
      </c>
      <c r="E137" s="3" t="s">
        <v>352</v>
      </c>
      <c r="F137" s="7">
        <v>3728</v>
      </c>
      <c r="G137" s="7">
        <v>271</v>
      </c>
      <c r="H137" s="7">
        <v>275</v>
      </c>
      <c r="I137" s="7">
        <v>22827</v>
      </c>
      <c r="J137" s="7">
        <v>37034</v>
      </c>
      <c r="K137" s="7">
        <v>199</v>
      </c>
      <c r="L137" s="3" t="s">
        <v>353</v>
      </c>
      <c r="M137" s="3" t="s">
        <v>339</v>
      </c>
      <c r="N137" s="27">
        <f>INDEX('Campaign Metadata '!B:B,MATCH(M137,'Campaign Metadata '!A:A,0))</f>
        <v>45667</v>
      </c>
      <c r="O137" s="17">
        <f>INDEX('Campaign Metadata '!C:C,MATCH(M137,'Campaign Metadata '!A:A,0))</f>
        <v>45698</v>
      </c>
      <c r="P137" s="4" t="str">
        <f t="shared" si="2"/>
        <v>BEFORE</v>
      </c>
    </row>
    <row r="138" spans="1:16" ht="15.75" customHeight="1">
      <c r="A138" s="1" t="s">
        <v>155</v>
      </c>
      <c r="B138" s="3" t="s">
        <v>18</v>
      </c>
      <c r="C138" s="21">
        <v>45387</v>
      </c>
      <c r="D138" s="3" t="s">
        <v>19</v>
      </c>
      <c r="E138" s="3" t="s">
        <v>343</v>
      </c>
      <c r="F138" s="7">
        <v>4965</v>
      </c>
      <c r="G138" s="7">
        <v>175</v>
      </c>
      <c r="H138" s="7">
        <v>307</v>
      </c>
      <c r="I138" s="7">
        <v>32793</v>
      </c>
      <c r="J138" s="7">
        <v>43412</v>
      </c>
      <c r="K138" s="7">
        <v>296</v>
      </c>
      <c r="L138" s="3" t="s">
        <v>338</v>
      </c>
      <c r="M138" s="3" t="s">
        <v>339</v>
      </c>
      <c r="N138" s="27">
        <f>INDEX('Campaign Metadata '!B:B,MATCH(M138,'Campaign Metadata '!A:A,0))</f>
        <v>45667</v>
      </c>
      <c r="O138" s="17">
        <f>INDEX('Campaign Metadata '!C:C,MATCH(M138,'Campaign Metadata '!A:A,0))</f>
        <v>45698</v>
      </c>
      <c r="P138" s="4" t="str">
        <f t="shared" si="2"/>
        <v>BEFORE</v>
      </c>
    </row>
    <row r="139" spans="1:16" ht="15.75" customHeight="1">
      <c r="A139" s="1" t="s">
        <v>156</v>
      </c>
      <c r="B139" s="3" t="s">
        <v>18</v>
      </c>
      <c r="C139" s="21">
        <v>45624</v>
      </c>
      <c r="D139" s="3" t="s">
        <v>19</v>
      </c>
      <c r="E139" s="3" t="s">
        <v>343</v>
      </c>
      <c r="F139" s="7">
        <v>1131</v>
      </c>
      <c r="G139" s="7">
        <v>100</v>
      </c>
      <c r="H139" s="7">
        <v>116</v>
      </c>
      <c r="I139" s="7">
        <v>48437</v>
      </c>
      <c r="J139" s="7">
        <v>72704</v>
      </c>
      <c r="K139" s="7">
        <v>236</v>
      </c>
      <c r="L139" s="3" t="s">
        <v>351</v>
      </c>
      <c r="M139" s="3" t="s">
        <v>339</v>
      </c>
      <c r="N139" s="27">
        <f>INDEX('Campaign Metadata '!B:B,MATCH(M139,'Campaign Metadata '!A:A,0))</f>
        <v>45667</v>
      </c>
      <c r="O139" s="17">
        <f>INDEX('Campaign Metadata '!C:C,MATCH(M139,'Campaign Metadata '!A:A,0))</f>
        <v>45698</v>
      </c>
      <c r="P139" s="4" t="str">
        <f t="shared" si="2"/>
        <v>BEFORE</v>
      </c>
    </row>
    <row r="140" spans="1:16" ht="15.75" customHeight="1">
      <c r="A140" s="1" t="s">
        <v>157</v>
      </c>
      <c r="B140" s="3" t="s">
        <v>18</v>
      </c>
      <c r="C140" s="21">
        <v>45725</v>
      </c>
      <c r="D140" s="3" t="s">
        <v>15</v>
      </c>
      <c r="E140" s="3" t="s">
        <v>356</v>
      </c>
      <c r="F140" s="7">
        <v>2754</v>
      </c>
      <c r="G140" s="7">
        <v>215</v>
      </c>
      <c r="H140" s="7">
        <v>264</v>
      </c>
      <c r="I140" s="7">
        <v>27762</v>
      </c>
      <c r="J140" s="7">
        <v>70203</v>
      </c>
      <c r="K140" s="7">
        <v>289</v>
      </c>
      <c r="L140" s="3" t="s">
        <v>353</v>
      </c>
      <c r="M140" s="3" t="s">
        <v>339</v>
      </c>
      <c r="N140" s="27">
        <f>INDEX('Campaign Metadata '!B:B,MATCH(M140,'Campaign Metadata '!A:A,0))</f>
        <v>45667</v>
      </c>
      <c r="O140" s="17">
        <f>INDEX('Campaign Metadata '!C:C,MATCH(M140,'Campaign Metadata '!A:A,0))</f>
        <v>45698</v>
      </c>
      <c r="P140" s="4" t="str">
        <f t="shared" si="2"/>
        <v>AFTER</v>
      </c>
    </row>
    <row r="141" spans="1:16" ht="15.75" customHeight="1">
      <c r="A141" s="1" t="s">
        <v>158</v>
      </c>
      <c r="B141" s="3" t="s">
        <v>18</v>
      </c>
      <c r="C141" s="21">
        <v>45531</v>
      </c>
      <c r="D141" s="3" t="s">
        <v>19</v>
      </c>
      <c r="E141" s="3" t="s">
        <v>343</v>
      </c>
      <c r="F141" s="7">
        <v>1856</v>
      </c>
      <c r="G141" s="7">
        <v>357</v>
      </c>
      <c r="H141" s="7">
        <v>348</v>
      </c>
      <c r="I141" s="7">
        <v>29428</v>
      </c>
      <c r="J141" s="7">
        <v>70206</v>
      </c>
      <c r="K141" s="7">
        <v>236</v>
      </c>
      <c r="L141" s="3" t="s">
        <v>344</v>
      </c>
      <c r="M141" s="3" t="s">
        <v>339</v>
      </c>
      <c r="N141" s="27">
        <f>INDEX('Campaign Metadata '!B:B,MATCH(M141,'Campaign Metadata '!A:A,0))</f>
        <v>45667</v>
      </c>
      <c r="O141" s="17">
        <f>INDEX('Campaign Metadata '!C:C,MATCH(M141,'Campaign Metadata '!A:A,0))</f>
        <v>45698</v>
      </c>
      <c r="P141" s="4" t="str">
        <f t="shared" si="2"/>
        <v>BEFORE</v>
      </c>
    </row>
    <row r="142" spans="1:16" ht="15.75" customHeight="1">
      <c r="A142" s="1" t="s">
        <v>159</v>
      </c>
      <c r="B142" s="3" t="s">
        <v>346</v>
      </c>
      <c r="C142" s="21">
        <v>45566</v>
      </c>
      <c r="D142" s="3" t="s">
        <v>37</v>
      </c>
      <c r="E142" s="3" t="s">
        <v>340</v>
      </c>
      <c r="F142" s="7">
        <v>3543</v>
      </c>
      <c r="G142" s="7">
        <v>334</v>
      </c>
      <c r="H142" s="7">
        <v>218</v>
      </c>
      <c r="I142" s="7">
        <v>58007</v>
      </c>
      <c r="J142" s="7">
        <v>24792</v>
      </c>
      <c r="K142" s="7">
        <v>273</v>
      </c>
      <c r="L142" s="3" t="s">
        <v>357</v>
      </c>
      <c r="M142" s="3" t="s">
        <v>358</v>
      </c>
      <c r="N142" s="27">
        <f>INDEX('Campaign Metadata '!B:B,MATCH(M142,'Campaign Metadata '!A:A,0))</f>
        <v>45458</v>
      </c>
      <c r="O142" s="17">
        <f>INDEX('Campaign Metadata '!C:C,MATCH(M142,'Campaign Metadata '!A:A,0))</f>
        <v>45488</v>
      </c>
      <c r="P142" s="4" t="str">
        <f t="shared" si="2"/>
        <v>AFTER</v>
      </c>
    </row>
    <row r="143" spans="1:16" ht="15.75" customHeight="1">
      <c r="A143" s="1" t="s">
        <v>160</v>
      </c>
      <c r="B143" s="3" t="s">
        <v>14</v>
      </c>
      <c r="C143" s="21">
        <v>45647</v>
      </c>
      <c r="D143" s="3" t="s">
        <v>19</v>
      </c>
      <c r="E143" s="3" t="s">
        <v>343</v>
      </c>
      <c r="F143" s="7">
        <v>4563</v>
      </c>
      <c r="G143" s="7">
        <v>398</v>
      </c>
      <c r="H143" s="7">
        <v>163</v>
      </c>
      <c r="I143" s="7">
        <v>43679</v>
      </c>
      <c r="J143" s="7">
        <v>48760</v>
      </c>
      <c r="K143" s="7">
        <v>92</v>
      </c>
      <c r="L143" s="3" t="s">
        <v>353</v>
      </c>
      <c r="M143" s="3" t="s">
        <v>35</v>
      </c>
      <c r="N143" s="27">
        <f>INDEX('Campaign Metadata '!B:B,MATCH(M143,'Campaign Metadata '!A:A,0))</f>
        <v>45627</v>
      </c>
      <c r="O143" s="17">
        <f>INDEX('Campaign Metadata '!C:C,MATCH(M143,'Campaign Metadata '!A:A,0))</f>
        <v>45657</v>
      </c>
      <c r="P143" s="4" t="str">
        <f t="shared" si="2"/>
        <v>DURING</v>
      </c>
    </row>
    <row r="144" spans="1:16" ht="15.75" customHeight="1">
      <c r="A144" s="1" t="s">
        <v>161</v>
      </c>
      <c r="B144" s="3" t="s">
        <v>14</v>
      </c>
      <c r="C144" s="21">
        <v>45460</v>
      </c>
      <c r="D144" s="3" t="s">
        <v>15</v>
      </c>
      <c r="E144" s="3" t="s">
        <v>337</v>
      </c>
      <c r="F144" s="7">
        <v>4283</v>
      </c>
      <c r="G144" s="7">
        <v>471</v>
      </c>
      <c r="H144" s="7">
        <v>156</v>
      </c>
      <c r="I144" s="7">
        <v>53004</v>
      </c>
      <c r="J144" s="7">
        <v>25678</v>
      </c>
      <c r="K144" s="7">
        <v>105</v>
      </c>
      <c r="L144" s="3" t="s">
        <v>341</v>
      </c>
      <c r="M144" s="3" t="s">
        <v>342</v>
      </c>
      <c r="N144" s="27">
        <f>INDEX('Campaign Metadata '!B:B,MATCH(M144,'Campaign Metadata '!A:A,0))</f>
        <v>45717</v>
      </c>
      <c r="O144" s="17">
        <f>INDEX('Campaign Metadata '!C:C,MATCH(M144,'Campaign Metadata '!A:A,0))</f>
        <v>45747</v>
      </c>
      <c r="P144" s="4" t="str">
        <f t="shared" si="2"/>
        <v>BEFORE</v>
      </c>
    </row>
    <row r="145" spans="1:16" ht="15.75" customHeight="1">
      <c r="A145" s="1" t="s">
        <v>162</v>
      </c>
      <c r="B145" s="3" t="s">
        <v>14</v>
      </c>
      <c r="C145" s="21">
        <v>45702</v>
      </c>
      <c r="D145" s="3" t="s">
        <v>15</v>
      </c>
      <c r="E145" s="3" t="s">
        <v>337</v>
      </c>
      <c r="F145" s="7">
        <v>2329</v>
      </c>
      <c r="G145" s="7">
        <v>373</v>
      </c>
      <c r="H145" s="7">
        <v>291</v>
      </c>
      <c r="I145" s="7">
        <v>49577</v>
      </c>
      <c r="J145" s="7">
        <v>28002</v>
      </c>
      <c r="K145" s="7">
        <v>82</v>
      </c>
      <c r="L145" s="3" t="s">
        <v>338</v>
      </c>
      <c r="M145" s="3" t="s">
        <v>339</v>
      </c>
      <c r="N145" s="27">
        <f>INDEX('Campaign Metadata '!B:B,MATCH(M145,'Campaign Metadata '!A:A,0))</f>
        <v>45667</v>
      </c>
      <c r="O145" s="17">
        <f>INDEX('Campaign Metadata '!C:C,MATCH(M145,'Campaign Metadata '!A:A,0))</f>
        <v>45698</v>
      </c>
      <c r="P145" s="4" t="str">
        <f t="shared" si="2"/>
        <v>AFTER</v>
      </c>
    </row>
    <row r="146" spans="1:16" ht="15.75" customHeight="1">
      <c r="A146" s="1" t="s">
        <v>163</v>
      </c>
      <c r="B146" s="3" t="s">
        <v>18</v>
      </c>
      <c r="C146" s="21">
        <v>45805</v>
      </c>
      <c r="D146" s="3" t="s">
        <v>19</v>
      </c>
      <c r="E146" s="3" t="s">
        <v>352</v>
      </c>
      <c r="F146" s="7">
        <v>4287</v>
      </c>
      <c r="G146" s="7">
        <v>273</v>
      </c>
      <c r="H146" s="7">
        <v>122</v>
      </c>
      <c r="I146" s="7">
        <v>40792</v>
      </c>
      <c r="J146" s="7">
        <v>23878</v>
      </c>
      <c r="K146" s="7">
        <v>277</v>
      </c>
      <c r="L146" s="3" t="s">
        <v>344</v>
      </c>
      <c r="M146" s="3" t="s">
        <v>339</v>
      </c>
      <c r="N146" s="27">
        <f>INDEX('Campaign Metadata '!B:B,MATCH(M146,'Campaign Metadata '!A:A,0))</f>
        <v>45667</v>
      </c>
      <c r="O146" s="17">
        <f>INDEX('Campaign Metadata '!C:C,MATCH(M146,'Campaign Metadata '!A:A,0))</f>
        <v>45698</v>
      </c>
      <c r="P146" s="4" t="str">
        <f t="shared" si="2"/>
        <v>AFTER</v>
      </c>
    </row>
    <row r="147" spans="1:16" ht="15.75" customHeight="1">
      <c r="A147" s="1" t="s">
        <v>164</v>
      </c>
      <c r="B147" s="3" t="s">
        <v>14</v>
      </c>
      <c r="C147" s="21">
        <v>45799</v>
      </c>
      <c r="D147" s="3" t="s">
        <v>15</v>
      </c>
      <c r="E147" s="3" t="s">
        <v>337</v>
      </c>
      <c r="F147" s="7">
        <v>2633</v>
      </c>
      <c r="G147" s="7">
        <v>318</v>
      </c>
      <c r="H147" s="7">
        <v>380</v>
      </c>
      <c r="I147" s="7">
        <v>40869</v>
      </c>
      <c r="J147" s="7">
        <v>64474</v>
      </c>
      <c r="K147" s="7">
        <v>245</v>
      </c>
      <c r="L147" s="3" t="s">
        <v>341</v>
      </c>
      <c r="M147" s="3" t="s">
        <v>342</v>
      </c>
      <c r="N147" s="27">
        <f>INDEX('Campaign Metadata '!B:B,MATCH(M147,'Campaign Metadata '!A:A,0))</f>
        <v>45717</v>
      </c>
      <c r="O147" s="17">
        <f>INDEX('Campaign Metadata '!C:C,MATCH(M147,'Campaign Metadata '!A:A,0))</f>
        <v>45747</v>
      </c>
      <c r="P147" s="4" t="str">
        <f t="shared" si="2"/>
        <v>AFTER</v>
      </c>
    </row>
    <row r="148" spans="1:16" ht="15.75" customHeight="1">
      <c r="A148" s="1" t="s">
        <v>165</v>
      </c>
      <c r="B148" s="3" t="s">
        <v>18</v>
      </c>
      <c r="C148" s="21">
        <v>45312</v>
      </c>
      <c r="D148" s="3" t="s">
        <v>19</v>
      </c>
      <c r="E148" s="3" t="s">
        <v>337</v>
      </c>
      <c r="F148" s="7">
        <v>2383</v>
      </c>
      <c r="G148" s="7">
        <v>136</v>
      </c>
      <c r="H148" s="7">
        <v>302</v>
      </c>
      <c r="I148" s="7">
        <v>39187</v>
      </c>
      <c r="J148" s="7">
        <v>22133</v>
      </c>
      <c r="K148" s="7">
        <v>208</v>
      </c>
      <c r="L148" s="3" t="s">
        <v>344</v>
      </c>
      <c r="M148" s="3" t="s">
        <v>339</v>
      </c>
      <c r="N148" s="27">
        <f>INDEX('Campaign Metadata '!B:B,MATCH(M148,'Campaign Metadata '!A:A,0))</f>
        <v>45667</v>
      </c>
      <c r="O148" s="17">
        <f>INDEX('Campaign Metadata '!C:C,MATCH(M148,'Campaign Metadata '!A:A,0))</f>
        <v>45698</v>
      </c>
      <c r="P148" s="4" t="str">
        <f t="shared" si="2"/>
        <v>BEFORE</v>
      </c>
    </row>
    <row r="149" spans="1:16" ht="15.75" customHeight="1">
      <c r="A149" s="1" t="s">
        <v>166</v>
      </c>
      <c r="B149" s="3" t="s">
        <v>18</v>
      </c>
      <c r="C149" s="21">
        <v>45696</v>
      </c>
      <c r="D149" s="3" t="s">
        <v>19</v>
      </c>
      <c r="E149" s="3" t="s">
        <v>356</v>
      </c>
      <c r="F149" s="7">
        <v>4752</v>
      </c>
      <c r="G149" s="7">
        <v>334</v>
      </c>
      <c r="H149" s="7">
        <v>56</v>
      </c>
      <c r="I149" s="7">
        <v>48017</v>
      </c>
      <c r="J149" s="7">
        <v>55534</v>
      </c>
      <c r="K149" s="7">
        <v>270</v>
      </c>
      <c r="L149" s="3" t="s">
        <v>351</v>
      </c>
      <c r="M149" s="3" t="s">
        <v>339</v>
      </c>
      <c r="N149" s="27">
        <f>INDEX('Campaign Metadata '!B:B,MATCH(M149,'Campaign Metadata '!A:A,0))</f>
        <v>45667</v>
      </c>
      <c r="O149" s="17">
        <f>INDEX('Campaign Metadata '!C:C,MATCH(M149,'Campaign Metadata '!A:A,0))</f>
        <v>45698</v>
      </c>
      <c r="P149" s="4" t="str">
        <f t="shared" si="2"/>
        <v>DURING</v>
      </c>
    </row>
    <row r="150" spans="1:16" ht="15.75" customHeight="1">
      <c r="A150" s="1" t="s">
        <v>167</v>
      </c>
      <c r="B150" s="3" t="s">
        <v>18</v>
      </c>
      <c r="C150" s="21">
        <v>45760</v>
      </c>
      <c r="D150" s="3" t="s">
        <v>15</v>
      </c>
      <c r="E150" s="3" t="s">
        <v>355</v>
      </c>
      <c r="F150" s="7">
        <v>3890</v>
      </c>
      <c r="G150" s="7">
        <v>408</v>
      </c>
      <c r="H150" s="7">
        <v>338</v>
      </c>
      <c r="I150" s="7">
        <v>56994</v>
      </c>
      <c r="J150" s="7">
        <v>32621</v>
      </c>
      <c r="K150" s="7">
        <v>286</v>
      </c>
      <c r="L150" s="3" t="s">
        <v>354</v>
      </c>
      <c r="M150" s="3" t="s">
        <v>342</v>
      </c>
      <c r="N150" s="27">
        <f>INDEX('Campaign Metadata '!B:B,MATCH(M150,'Campaign Metadata '!A:A,0))</f>
        <v>45717</v>
      </c>
      <c r="O150" s="17">
        <f>INDEX('Campaign Metadata '!C:C,MATCH(M150,'Campaign Metadata '!A:A,0))</f>
        <v>45747</v>
      </c>
      <c r="P150" s="4" t="str">
        <f t="shared" si="2"/>
        <v>AFTER</v>
      </c>
    </row>
    <row r="151" spans="1:16" ht="15.75" customHeight="1">
      <c r="A151" s="1" t="s">
        <v>168</v>
      </c>
      <c r="B151" s="3" t="s">
        <v>18</v>
      </c>
      <c r="C151" s="21">
        <v>45442</v>
      </c>
      <c r="D151" s="3" t="s">
        <v>19</v>
      </c>
      <c r="E151" s="3" t="s">
        <v>356</v>
      </c>
      <c r="F151" s="7">
        <v>2311</v>
      </c>
      <c r="G151" s="7">
        <v>207</v>
      </c>
      <c r="H151" s="7">
        <v>363</v>
      </c>
      <c r="I151" s="7">
        <v>30349</v>
      </c>
      <c r="J151" s="7">
        <v>32925</v>
      </c>
      <c r="K151" s="7">
        <v>88</v>
      </c>
      <c r="L151" s="3" t="s">
        <v>344</v>
      </c>
      <c r="M151" s="3" t="s">
        <v>339</v>
      </c>
      <c r="N151" s="27">
        <f>INDEX('Campaign Metadata '!B:B,MATCH(M151,'Campaign Metadata '!A:A,0))</f>
        <v>45667</v>
      </c>
      <c r="O151" s="17">
        <f>INDEX('Campaign Metadata '!C:C,MATCH(M151,'Campaign Metadata '!A:A,0))</f>
        <v>45698</v>
      </c>
      <c r="P151" s="4" t="str">
        <f t="shared" si="2"/>
        <v>BEFORE</v>
      </c>
    </row>
    <row r="152" spans="1:16" ht="15.75" customHeight="1">
      <c r="A152" s="1" t="s">
        <v>169</v>
      </c>
      <c r="B152" s="3" t="s">
        <v>14</v>
      </c>
      <c r="C152" s="21">
        <v>45516</v>
      </c>
      <c r="D152" s="3" t="s">
        <v>19</v>
      </c>
      <c r="E152" s="3" t="s">
        <v>337</v>
      </c>
      <c r="F152" s="7">
        <v>2962</v>
      </c>
      <c r="G152" s="7">
        <v>400</v>
      </c>
      <c r="H152" s="7">
        <v>280</v>
      </c>
      <c r="I152" s="7">
        <v>52508</v>
      </c>
      <c r="J152" s="7">
        <v>58329</v>
      </c>
      <c r="K152" s="7">
        <v>219</v>
      </c>
      <c r="L152" s="3" t="s">
        <v>353</v>
      </c>
      <c r="M152" s="3" t="s">
        <v>35</v>
      </c>
      <c r="N152" s="27">
        <f>INDEX('Campaign Metadata '!B:B,MATCH(M152,'Campaign Metadata '!A:A,0))</f>
        <v>45627</v>
      </c>
      <c r="O152" s="17">
        <f>INDEX('Campaign Metadata '!C:C,MATCH(M152,'Campaign Metadata '!A:A,0))</f>
        <v>45657</v>
      </c>
      <c r="P152" s="4" t="str">
        <f t="shared" si="2"/>
        <v>BEFORE</v>
      </c>
    </row>
    <row r="153" spans="1:16" ht="15.75" customHeight="1">
      <c r="A153" s="1" t="s">
        <v>170</v>
      </c>
      <c r="B153" s="3" t="s">
        <v>14</v>
      </c>
      <c r="C153" s="21">
        <v>45562</v>
      </c>
      <c r="D153" s="3" t="s">
        <v>15</v>
      </c>
      <c r="E153" s="3" t="s">
        <v>337</v>
      </c>
      <c r="F153" s="7">
        <v>3118</v>
      </c>
      <c r="G153" s="7">
        <v>116</v>
      </c>
      <c r="H153" s="7">
        <v>195</v>
      </c>
      <c r="I153" s="7">
        <v>37100</v>
      </c>
      <c r="J153" s="7">
        <v>62629</v>
      </c>
      <c r="K153" s="7">
        <v>272</v>
      </c>
      <c r="L153" s="3" t="s">
        <v>341</v>
      </c>
      <c r="M153" s="3" t="s">
        <v>342</v>
      </c>
      <c r="N153" s="27">
        <f>INDEX('Campaign Metadata '!B:B,MATCH(M153,'Campaign Metadata '!A:A,0))</f>
        <v>45717</v>
      </c>
      <c r="O153" s="17">
        <f>INDEX('Campaign Metadata '!C:C,MATCH(M153,'Campaign Metadata '!A:A,0))</f>
        <v>45747</v>
      </c>
      <c r="P153" s="4" t="str">
        <f t="shared" si="2"/>
        <v>BEFORE</v>
      </c>
    </row>
    <row r="154" spans="1:16" ht="15.75" customHeight="1">
      <c r="A154" s="1" t="s">
        <v>171</v>
      </c>
      <c r="B154" s="3" t="s">
        <v>18</v>
      </c>
      <c r="C154" s="21">
        <v>45819</v>
      </c>
      <c r="D154" s="3" t="s">
        <v>19</v>
      </c>
      <c r="E154" s="3" t="s">
        <v>340</v>
      </c>
      <c r="F154" s="7">
        <v>3805</v>
      </c>
      <c r="G154" s="7">
        <v>453</v>
      </c>
      <c r="H154" s="7">
        <v>63</v>
      </c>
      <c r="I154" s="7">
        <v>52395</v>
      </c>
      <c r="J154" s="7">
        <v>72934</v>
      </c>
      <c r="K154" s="7">
        <v>87</v>
      </c>
      <c r="L154" s="3" t="s">
        <v>351</v>
      </c>
      <c r="M154" s="3" t="s">
        <v>339</v>
      </c>
      <c r="N154" s="27">
        <f>INDEX('Campaign Metadata '!B:B,MATCH(M154,'Campaign Metadata '!A:A,0))</f>
        <v>45667</v>
      </c>
      <c r="O154" s="17">
        <f>INDEX('Campaign Metadata '!C:C,MATCH(M154,'Campaign Metadata '!A:A,0))</f>
        <v>45698</v>
      </c>
      <c r="P154" s="4" t="str">
        <f t="shared" si="2"/>
        <v>AFTER</v>
      </c>
    </row>
    <row r="155" spans="1:16" ht="15.75" customHeight="1">
      <c r="A155" s="1" t="s">
        <v>172</v>
      </c>
      <c r="B155" s="3" t="s">
        <v>14</v>
      </c>
      <c r="C155" s="21">
        <v>45615</v>
      </c>
      <c r="D155" s="3" t="s">
        <v>15</v>
      </c>
      <c r="E155" s="3" t="s">
        <v>349</v>
      </c>
      <c r="F155" s="7">
        <v>2525</v>
      </c>
      <c r="G155" s="7">
        <v>272</v>
      </c>
      <c r="H155" s="7">
        <v>294</v>
      </c>
      <c r="I155" s="7">
        <v>51875</v>
      </c>
      <c r="J155" s="7">
        <v>24732</v>
      </c>
      <c r="K155" s="7">
        <v>92</v>
      </c>
      <c r="L155" s="3" t="s">
        <v>341</v>
      </c>
      <c r="M155" s="3" t="s">
        <v>342</v>
      </c>
      <c r="N155" s="27">
        <f>INDEX('Campaign Metadata '!B:B,MATCH(M155,'Campaign Metadata '!A:A,0))</f>
        <v>45717</v>
      </c>
      <c r="O155" s="17">
        <f>INDEX('Campaign Metadata '!C:C,MATCH(M155,'Campaign Metadata '!A:A,0))</f>
        <v>45747</v>
      </c>
      <c r="P155" s="4" t="str">
        <f t="shared" si="2"/>
        <v>BEFORE</v>
      </c>
    </row>
    <row r="156" spans="1:16" ht="15.75" customHeight="1">
      <c r="A156" s="1" t="s">
        <v>173</v>
      </c>
      <c r="B156" s="3" t="s">
        <v>14</v>
      </c>
      <c r="C156" s="21">
        <v>45407</v>
      </c>
      <c r="D156" s="3" t="s">
        <v>15</v>
      </c>
      <c r="E156" s="3" t="s">
        <v>347</v>
      </c>
      <c r="F156" s="7">
        <v>3563</v>
      </c>
      <c r="G156" s="7">
        <v>483</v>
      </c>
      <c r="H156" s="7">
        <v>227</v>
      </c>
      <c r="I156" s="7">
        <v>41085</v>
      </c>
      <c r="J156" s="7">
        <v>26393</v>
      </c>
      <c r="K156" s="7">
        <v>236</v>
      </c>
      <c r="L156" s="3" t="s">
        <v>338</v>
      </c>
      <c r="M156" s="3" t="s">
        <v>339</v>
      </c>
      <c r="N156" s="27">
        <f>INDEX('Campaign Metadata '!B:B,MATCH(M156,'Campaign Metadata '!A:A,0))</f>
        <v>45667</v>
      </c>
      <c r="O156" s="17">
        <f>INDEX('Campaign Metadata '!C:C,MATCH(M156,'Campaign Metadata '!A:A,0))</f>
        <v>45698</v>
      </c>
      <c r="P156" s="4" t="str">
        <f t="shared" si="2"/>
        <v>BEFORE</v>
      </c>
    </row>
    <row r="157" spans="1:16" ht="15.75" customHeight="1">
      <c r="A157" s="1" t="s">
        <v>174</v>
      </c>
      <c r="B157" s="3" t="s">
        <v>346</v>
      </c>
      <c r="C157" s="21">
        <v>45538</v>
      </c>
      <c r="D157" s="3" t="s">
        <v>37</v>
      </c>
      <c r="E157" s="3" t="s">
        <v>349</v>
      </c>
      <c r="F157" s="7">
        <v>1437</v>
      </c>
      <c r="G157" s="7">
        <v>494</v>
      </c>
      <c r="H157" s="7">
        <v>129</v>
      </c>
      <c r="I157" s="7">
        <v>53048</v>
      </c>
      <c r="J157" s="7">
        <v>44090</v>
      </c>
      <c r="K157" s="7">
        <v>230</v>
      </c>
      <c r="L157" s="3" t="s">
        <v>357</v>
      </c>
      <c r="M157" s="3" t="s">
        <v>358</v>
      </c>
      <c r="N157" s="27">
        <f>INDEX('Campaign Metadata '!B:B,MATCH(M157,'Campaign Metadata '!A:A,0))</f>
        <v>45458</v>
      </c>
      <c r="O157" s="17">
        <f>INDEX('Campaign Metadata '!C:C,MATCH(M157,'Campaign Metadata '!A:A,0))</f>
        <v>45488</v>
      </c>
      <c r="P157" s="4" t="str">
        <f t="shared" si="2"/>
        <v>AFTER</v>
      </c>
    </row>
    <row r="158" spans="1:16" ht="15.75" customHeight="1">
      <c r="A158" s="1" t="s">
        <v>175</v>
      </c>
      <c r="B158" s="3" t="s">
        <v>346</v>
      </c>
      <c r="C158" s="21">
        <v>45718</v>
      </c>
      <c r="D158" s="3" t="s">
        <v>15</v>
      </c>
      <c r="E158" s="3" t="s">
        <v>355</v>
      </c>
      <c r="F158" s="7">
        <v>4425</v>
      </c>
      <c r="G158" s="7">
        <v>185</v>
      </c>
      <c r="H158" s="7">
        <v>162</v>
      </c>
      <c r="I158" s="7">
        <v>24610</v>
      </c>
      <c r="J158" s="7">
        <v>21342</v>
      </c>
      <c r="K158" s="7">
        <v>158</v>
      </c>
      <c r="L158" s="3" t="s">
        <v>348</v>
      </c>
      <c r="M158" s="3" t="s">
        <v>342</v>
      </c>
      <c r="N158" s="27">
        <f>INDEX('Campaign Metadata '!B:B,MATCH(M158,'Campaign Metadata '!A:A,0))</f>
        <v>45717</v>
      </c>
      <c r="O158" s="17">
        <f>INDEX('Campaign Metadata '!C:C,MATCH(M158,'Campaign Metadata '!A:A,0))</f>
        <v>45747</v>
      </c>
      <c r="P158" s="4" t="str">
        <f t="shared" si="2"/>
        <v>DURING</v>
      </c>
    </row>
    <row r="159" spans="1:16" ht="15.75" customHeight="1">
      <c r="A159" s="1" t="s">
        <v>176</v>
      </c>
      <c r="B159" s="3" t="s">
        <v>18</v>
      </c>
      <c r="C159" s="21">
        <v>45737</v>
      </c>
      <c r="D159" s="3" t="s">
        <v>19</v>
      </c>
      <c r="E159" s="3" t="s">
        <v>343</v>
      </c>
      <c r="F159" s="7">
        <v>4609</v>
      </c>
      <c r="G159" s="7">
        <v>427</v>
      </c>
      <c r="H159" s="7">
        <v>395</v>
      </c>
      <c r="I159" s="7">
        <v>33698</v>
      </c>
      <c r="J159" s="7">
        <v>29259</v>
      </c>
      <c r="K159" s="7">
        <v>216</v>
      </c>
      <c r="L159" s="3" t="s">
        <v>351</v>
      </c>
      <c r="M159" s="3" t="s">
        <v>339</v>
      </c>
      <c r="N159" s="27">
        <f>INDEX('Campaign Metadata '!B:B,MATCH(M159,'Campaign Metadata '!A:A,0))</f>
        <v>45667</v>
      </c>
      <c r="O159" s="17">
        <f>INDEX('Campaign Metadata '!C:C,MATCH(M159,'Campaign Metadata '!A:A,0))</f>
        <v>45698</v>
      </c>
      <c r="P159" s="4" t="str">
        <f t="shared" si="2"/>
        <v>AFTER</v>
      </c>
    </row>
    <row r="160" spans="1:16" ht="15.75" customHeight="1">
      <c r="A160" s="1" t="s">
        <v>177</v>
      </c>
      <c r="B160" s="3" t="s">
        <v>14</v>
      </c>
      <c r="C160" s="21">
        <v>45394</v>
      </c>
      <c r="D160" s="3" t="s">
        <v>19</v>
      </c>
      <c r="E160" s="3" t="s">
        <v>350</v>
      </c>
      <c r="F160" s="7">
        <v>1558</v>
      </c>
      <c r="G160" s="7">
        <v>352</v>
      </c>
      <c r="H160" s="7">
        <v>202</v>
      </c>
      <c r="I160" s="7">
        <v>25405</v>
      </c>
      <c r="J160" s="7">
        <v>69941</v>
      </c>
      <c r="K160" s="7">
        <v>219</v>
      </c>
      <c r="L160" s="3" t="s">
        <v>353</v>
      </c>
      <c r="M160" s="3" t="s">
        <v>35</v>
      </c>
      <c r="N160" s="27">
        <f>INDEX('Campaign Metadata '!B:B,MATCH(M160,'Campaign Metadata '!A:A,0))</f>
        <v>45627</v>
      </c>
      <c r="O160" s="17">
        <f>INDEX('Campaign Metadata '!C:C,MATCH(M160,'Campaign Metadata '!A:A,0))</f>
        <v>45657</v>
      </c>
      <c r="P160" s="4" t="str">
        <f t="shared" si="2"/>
        <v>BEFORE</v>
      </c>
    </row>
    <row r="161" spans="1:16" ht="15.75" customHeight="1">
      <c r="A161" s="1" t="s">
        <v>178</v>
      </c>
      <c r="B161" s="3" t="s">
        <v>346</v>
      </c>
      <c r="C161" s="21">
        <v>45330</v>
      </c>
      <c r="D161" s="3" t="s">
        <v>37</v>
      </c>
      <c r="E161" s="3" t="s">
        <v>352</v>
      </c>
      <c r="F161" s="7">
        <v>1889</v>
      </c>
      <c r="G161" s="7">
        <v>298</v>
      </c>
      <c r="H161" s="7">
        <v>122</v>
      </c>
      <c r="I161" s="7">
        <v>46225</v>
      </c>
      <c r="J161" s="7">
        <v>74305</v>
      </c>
      <c r="K161" s="7">
        <v>293</v>
      </c>
      <c r="L161" s="3" t="s">
        <v>357</v>
      </c>
      <c r="M161" s="3" t="s">
        <v>358</v>
      </c>
      <c r="N161" s="27">
        <f>INDEX('Campaign Metadata '!B:B,MATCH(M161,'Campaign Metadata '!A:A,0))</f>
        <v>45458</v>
      </c>
      <c r="O161" s="17">
        <f>INDEX('Campaign Metadata '!C:C,MATCH(M161,'Campaign Metadata '!A:A,0))</f>
        <v>45488</v>
      </c>
      <c r="P161" s="4" t="str">
        <f t="shared" si="2"/>
        <v>BEFORE</v>
      </c>
    </row>
    <row r="162" spans="1:16" ht="15.75" customHeight="1">
      <c r="A162" s="1" t="s">
        <v>179</v>
      </c>
      <c r="B162" s="3" t="s">
        <v>14</v>
      </c>
      <c r="C162" s="21">
        <v>45803</v>
      </c>
      <c r="D162" s="3" t="s">
        <v>15</v>
      </c>
      <c r="E162" s="3" t="s">
        <v>337</v>
      </c>
      <c r="F162" s="7">
        <v>3086</v>
      </c>
      <c r="G162" s="7">
        <v>148</v>
      </c>
      <c r="H162" s="7">
        <v>310</v>
      </c>
      <c r="I162" s="7">
        <v>22824</v>
      </c>
      <c r="J162" s="7">
        <v>58103</v>
      </c>
      <c r="K162" s="7">
        <v>275</v>
      </c>
      <c r="L162" s="3" t="s">
        <v>341</v>
      </c>
      <c r="M162" s="3" t="s">
        <v>342</v>
      </c>
      <c r="N162" s="27">
        <f>INDEX('Campaign Metadata '!B:B,MATCH(M162,'Campaign Metadata '!A:A,0))</f>
        <v>45717</v>
      </c>
      <c r="O162" s="17">
        <f>INDEX('Campaign Metadata '!C:C,MATCH(M162,'Campaign Metadata '!A:A,0))</f>
        <v>45747</v>
      </c>
      <c r="P162" s="4" t="str">
        <f t="shared" si="2"/>
        <v>AFTER</v>
      </c>
    </row>
    <row r="163" spans="1:16" ht="15.75" customHeight="1">
      <c r="A163" s="1" t="s">
        <v>180</v>
      </c>
      <c r="B163" s="3" t="s">
        <v>14</v>
      </c>
      <c r="C163" s="21">
        <v>45610</v>
      </c>
      <c r="D163" s="3" t="s">
        <v>15</v>
      </c>
      <c r="E163" s="3" t="s">
        <v>347</v>
      </c>
      <c r="F163" s="7">
        <v>2422</v>
      </c>
      <c r="G163" s="7">
        <v>318</v>
      </c>
      <c r="H163" s="7">
        <v>118</v>
      </c>
      <c r="I163" s="7">
        <v>25386</v>
      </c>
      <c r="J163" s="7">
        <v>20873</v>
      </c>
      <c r="K163" s="7">
        <v>100</v>
      </c>
      <c r="L163" s="3" t="s">
        <v>338</v>
      </c>
      <c r="M163" s="3" t="s">
        <v>339</v>
      </c>
      <c r="N163" s="27">
        <f>INDEX('Campaign Metadata '!B:B,MATCH(M163,'Campaign Metadata '!A:A,0))</f>
        <v>45667</v>
      </c>
      <c r="O163" s="17">
        <f>INDEX('Campaign Metadata '!C:C,MATCH(M163,'Campaign Metadata '!A:A,0))</f>
        <v>45698</v>
      </c>
      <c r="P163" s="4" t="str">
        <f t="shared" si="2"/>
        <v>BEFORE</v>
      </c>
    </row>
    <row r="164" spans="1:16" ht="15.75" customHeight="1">
      <c r="A164" s="1" t="s">
        <v>181</v>
      </c>
      <c r="B164" s="3" t="s">
        <v>346</v>
      </c>
      <c r="C164" s="21">
        <v>45513</v>
      </c>
      <c r="D164" s="3" t="s">
        <v>37</v>
      </c>
      <c r="E164" s="3" t="s">
        <v>355</v>
      </c>
      <c r="F164" s="7">
        <v>3414</v>
      </c>
      <c r="G164" s="7">
        <v>154</v>
      </c>
      <c r="H164" s="7">
        <v>204</v>
      </c>
      <c r="I164" s="7">
        <v>34146</v>
      </c>
      <c r="J164" s="7">
        <v>44633</v>
      </c>
      <c r="K164" s="7">
        <v>256</v>
      </c>
      <c r="L164" s="3" t="s">
        <v>357</v>
      </c>
      <c r="M164" s="3" t="s">
        <v>358</v>
      </c>
      <c r="N164" s="27">
        <f>INDEX('Campaign Metadata '!B:B,MATCH(M164,'Campaign Metadata '!A:A,0))</f>
        <v>45458</v>
      </c>
      <c r="O164" s="17">
        <f>INDEX('Campaign Metadata '!C:C,MATCH(M164,'Campaign Metadata '!A:A,0))</f>
        <v>45488</v>
      </c>
      <c r="P164" s="4" t="str">
        <f t="shared" si="2"/>
        <v>AFTER</v>
      </c>
    </row>
    <row r="165" spans="1:16" ht="15.75" customHeight="1">
      <c r="A165" s="1" t="s">
        <v>182</v>
      </c>
      <c r="B165" s="3" t="s">
        <v>14</v>
      </c>
      <c r="C165" s="21">
        <v>45835</v>
      </c>
      <c r="D165" s="3" t="s">
        <v>19</v>
      </c>
      <c r="E165" s="3" t="s">
        <v>349</v>
      </c>
      <c r="F165" s="7">
        <v>1342</v>
      </c>
      <c r="G165" s="7">
        <v>332</v>
      </c>
      <c r="H165" s="7">
        <v>163</v>
      </c>
      <c r="I165" s="7">
        <v>51712</v>
      </c>
      <c r="J165" s="7">
        <v>57922</v>
      </c>
      <c r="K165" s="7">
        <v>168</v>
      </c>
      <c r="L165" s="3" t="s">
        <v>353</v>
      </c>
      <c r="M165" s="3" t="s">
        <v>35</v>
      </c>
      <c r="N165" s="27">
        <f>INDEX('Campaign Metadata '!B:B,MATCH(M165,'Campaign Metadata '!A:A,0))</f>
        <v>45627</v>
      </c>
      <c r="O165" s="17">
        <f>INDEX('Campaign Metadata '!C:C,MATCH(M165,'Campaign Metadata '!A:A,0))</f>
        <v>45657</v>
      </c>
      <c r="P165" s="4" t="str">
        <f t="shared" si="2"/>
        <v>AFTER</v>
      </c>
    </row>
    <row r="166" spans="1:16" ht="15.75" customHeight="1">
      <c r="A166" s="1" t="s">
        <v>183</v>
      </c>
      <c r="B166" s="3" t="s">
        <v>14</v>
      </c>
      <c r="C166" s="21">
        <v>45420</v>
      </c>
      <c r="D166" s="3" t="s">
        <v>19</v>
      </c>
      <c r="E166" s="3" t="s">
        <v>347</v>
      </c>
      <c r="F166" s="7">
        <v>2414</v>
      </c>
      <c r="G166" s="7">
        <v>220</v>
      </c>
      <c r="H166" s="7">
        <v>280</v>
      </c>
      <c r="I166" s="7">
        <v>27355</v>
      </c>
      <c r="J166" s="7">
        <v>50562</v>
      </c>
      <c r="K166" s="7">
        <v>258</v>
      </c>
      <c r="L166" s="3" t="s">
        <v>353</v>
      </c>
      <c r="M166" s="3" t="s">
        <v>35</v>
      </c>
      <c r="N166" s="27">
        <f>INDEX('Campaign Metadata '!B:B,MATCH(M166,'Campaign Metadata '!A:A,0))</f>
        <v>45627</v>
      </c>
      <c r="O166" s="17">
        <f>INDEX('Campaign Metadata '!C:C,MATCH(M166,'Campaign Metadata '!A:A,0))</f>
        <v>45657</v>
      </c>
      <c r="P166" s="4" t="str">
        <f t="shared" si="2"/>
        <v>BEFORE</v>
      </c>
    </row>
    <row r="167" spans="1:16" ht="15.75" customHeight="1">
      <c r="A167" s="1" t="s">
        <v>184</v>
      </c>
      <c r="B167" s="3" t="s">
        <v>14</v>
      </c>
      <c r="C167" s="21">
        <v>45387</v>
      </c>
      <c r="D167" s="3" t="s">
        <v>15</v>
      </c>
      <c r="E167" s="3" t="s">
        <v>343</v>
      </c>
      <c r="F167" s="7">
        <v>4383</v>
      </c>
      <c r="G167" s="7">
        <v>352</v>
      </c>
      <c r="H167" s="7">
        <v>176</v>
      </c>
      <c r="I167" s="7">
        <v>53239</v>
      </c>
      <c r="J167" s="7">
        <v>34168</v>
      </c>
      <c r="K167" s="7">
        <v>288</v>
      </c>
      <c r="L167" s="3" t="s">
        <v>341</v>
      </c>
      <c r="M167" s="3" t="s">
        <v>342</v>
      </c>
      <c r="N167" s="27">
        <f>INDEX('Campaign Metadata '!B:B,MATCH(M167,'Campaign Metadata '!A:A,0))</f>
        <v>45717</v>
      </c>
      <c r="O167" s="17">
        <f>INDEX('Campaign Metadata '!C:C,MATCH(M167,'Campaign Metadata '!A:A,0))</f>
        <v>45747</v>
      </c>
      <c r="P167" s="4" t="str">
        <f t="shared" si="2"/>
        <v>BEFORE</v>
      </c>
    </row>
    <row r="168" spans="1:16" ht="15.75" customHeight="1">
      <c r="A168" s="1" t="s">
        <v>185</v>
      </c>
      <c r="B168" s="3" t="s">
        <v>346</v>
      </c>
      <c r="C168" s="21">
        <v>45684</v>
      </c>
      <c r="D168" s="3" t="s">
        <v>15</v>
      </c>
      <c r="E168" s="3" t="s">
        <v>345</v>
      </c>
      <c r="F168" s="7">
        <v>4294</v>
      </c>
      <c r="G168" s="7">
        <v>423</v>
      </c>
      <c r="H168" s="7">
        <v>93</v>
      </c>
      <c r="I168" s="7">
        <v>29828</v>
      </c>
      <c r="J168" s="7">
        <v>73144</v>
      </c>
      <c r="K168" s="7">
        <v>298</v>
      </c>
      <c r="L168" s="3" t="s">
        <v>348</v>
      </c>
      <c r="M168" s="3" t="s">
        <v>342</v>
      </c>
      <c r="N168" s="27">
        <f>INDEX('Campaign Metadata '!B:B,MATCH(M168,'Campaign Metadata '!A:A,0))</f>
        <v>45717</v>
      </c>
      <c r="O168" s="17">
        <f>INDEX('Campaign Metadata '!C:C,MATCH(M168,'Campaign Metadata '!A:A,0))</f>
        <v>45747</v>
      </c>
      <c r="P168" s="4" t="str">
        <f t="shared" si="2"/>
        <v>BEFORE</v>
      </c>
    </row>
    <row r="169" spans="1:16" ht="15.75" customHeight="1">
      <c r="A169" s="1" t="s">
        <v>186</v>
      </c>
      <c r="B169" s="3" t="s">
        <v>14</v>
      </c>
      <c r="C169" s="21">
        <v>45385</v>
      </c>
      <c r="D169" s="3" t="s">
        <v>15</v>
      </c>
      <c r="E169" s="3" t="s">
        <v>352</v>
      </c>
      <c r="F169" s="7">
        <v>2762</v>
      </c>
      <c r="G169" s="7">
        <v>339</v>
      </c>
      <c r="H169" s="7">
        <v>323</v>
      </c>
      <c r="I169" s="7">
        <v>33757</v>
      </c>
      <c r="J169" s="7">
        <v>68511</v>
      </c>
      <c r="K169" s="7">
        <v>121</v>
      </c>
      <c r="L169" s="3" t="s">
        <v>338</v>
      </c>
      <c r="M169" s="3" t="s">
        <v>339</v>
      </c>
      <c r="N169" s="27">
        <f>INDEX('Campaign Metadata '!B:B,MATCH(M169,'Campaign Metadata '!A:A,0))</f>
        <v>45667</v>
      </c>
      <c r="O169" s="17">
        <f>INDEX('Campaign Metadata '!C:C,MATCH(M169,'Campaign Metadata '!A:A,0))</f>
        <v>45698</v>
      </c>
      <c r="P169" s="4" t="str">
        <f t="shared" si="2"/>
        <v>BEFORE</v>
      </c>
    </row>
    <row r="170" spans="1:16" ht="15.75" customHeight="1">
      <c r="A170" s="1" t="s">
        <v>187</v>
      </c>
      <c r="B170" s="3" t="s">
        <v>346</v>
      </c>
      <c r="C170" s="21">
        <v>45660</v>
      </c>
      <c r="D170" s="3" t="s">
        <v>15</v>
      </c>
      <c r="E170" s="3" t="s">
        <v>343</v>
      </c>
      <c r="F170" s="7">
        <v>3782</v>
      </c>
      <c r="G170" s="7">
        <v>484</v>
      </c>
      <c r="H170" s="7">
        <v>144</v>
      </c>
      <c r="I170" s="7">
        <v>52172</v>
      </c>
      <c r="J170" s="7">
        <v>59386</v>
      </c>
      <c r="K170" s="7">
        <v>175</v>
      </c>
      <c r="L170" s="3" t="s">
        <v>348</v>
      </c>
      <c r="M170" s="3" t="s">
        <v>342</v>
      </c>
      <c r="N170" s="27">
        <f>INDEX('Campaign Metadata '!B:B,MATCH(M170,'Campaign Metadata '!A:A,0))</f>
        <v>45717</v>
      </c>
      <c r="O170" s="17">
        <f>INDEX('Campaign Metadata '!C:C,MATCH(M170,'Campaign Metadata '!A:A,0))</f>
        <v>45747</v>
      </c>
      <c r="P170" s="4" t="str">
        <f t="shared" si="2"/>
        <v>BEFORE</v>
      </c>
    </row>
    <row r="171" spans="1:16" ht="15.75" customHeight="1">
      <c r="A171" s="1" t="s">
        <v>188</v>
      </c>
      <c r="B171" s="3" t="s">
        <v>18</v>
      </c>
      <c r="C171" s="21">
        <v>45619</v>
      </c>
      <c r="D171" s="3" t="s">
        <v>15</v>
      </c>
      <c r="E171" s="3" t="s">
        <v>343</v>
      </c>
      <c r="F171" s="7">
        <v>4318</v>
      </c>
      <c r="G171" s="7">
        <v>371</v>
      </c>
      <c r="H171" s="7">
        <v>329</v>
      </c>
      <c r="I171" s="7">
        <v>32347</v>
      </c>
      <c r="J171" s="7">
        <v>68956</v>
      </c>
      <c r="K171" s="7">
        <v>259</v>
      </c>
      <c r="L171" s="3" t="s">
        <v>354</v>
      </c>
      <c r="M171" s="3" t="s">
        <v>342</v>
      </c>
      <c r="N171" s="27">
        <f>INDEX('Campaign Metadata '!B:B,MATCH(M171,'Campaign Metadata '!A:A,0))</f>
        <v>45717</v>
      </c>
      <c r="O171" s="17">
        <f>INDEX('Campaign Metadata '!C:C,MATCH(M171,'Campaign Metadata '!A:A,0))</f>
        <v>45747</v>
      </c>
      <c r="P171" s="4" t="str">
        <f t="shared" si="2"/>
        <v>BEFORE</v>
      </c>
    </row>
    <row r="172" spans="1:16" ht="15.75" customHeight="1">
      <c r="A172" s="1" t="s">
        <v>189</v>
      </c>
      <c r="B172" s="3" t="s">
        <v>14</v>
      </c>
      <c r="C172" s="21">
        <v>45536</v>
      </c>
      <c r="D172" s="3" t="s">
        <v>19</v>
      </c>
      <c r="E172" s="3" t="s">
        <v>345</v>
      </c>
      <c r="F172" s="7">
        <v>2335</v>
      </c>
      <c r="G172" s="7">
        <v>150</v>
      </c>
      <c r="H172" s="7">
        <v>75</v>
      </c>
      <c r="I172" s="7">
        <v>26114</v>
      </c>
      <c r="J172" s="7">
        <v>57549</v>
      </c>
      <c r="K172" s="7">
        <v>135</v>
      </c>
      <c r="L172" s="3" t="s">
        <v>353</v>
      </c>
      <c r="M172" s="3" t="s">
        <v>35</v>
      </c>
      <c r="N172" s="27">
        <f>INDEX('Campaign Metadata '!B:B,MATCH(M172,'Campaign Metadata '!A:A,0))</f>
        <v>45627</v>
      </c>
      <c r="O172" s="17">
        <f>INDEX('Campaign Metadata '!C:C,MATCH(M172,'Campaign Metadata '!A:A,0))</f>
        <v>45657</v>
      </c>
      <c r="P172" s="4" t="str">
        <f t="shared" si="2"/>
        <v>BEFORE</v>
      </c>
    </row>
    <row r="173" spans="1:16" ht="15.75" customHeight="1">
      <c r="A173" s="1" t="s">
        <v>190</v>
      </c>
      <c r="B173" s="3" t="s">
        <v>346</v>
      </c>
      <c r="C173" s="21">
        <v>45400</v>
      </c>
      <c r="D173" s="3" t="s">
        <v>15</v>
      </c>
      <c r="E173" s="3" t="s">
        <v>340</v>
      </c>
      <c r="F173" s="7">
        <v>4023</v>
      </c>
      <c r="G173" s="7">
        <v>293</v>
      </c>
      <c r="H173" s="7">
        <v>91</v>
      </c>
      <c r="I173" s="7">
        <v>26795</v>
      </c>
      <c r="J173" s="7">
        <v>28924</v>
      </c>
      <c r="K173" s="7">
        <v>278</v>
      </c>
      <c r="L173" s="3" t="s">
        <v>348</v>
      </c>
      <c r="M173" s="3" t="s">
        <v>342</v>
      </c>
      <c r="N173" s="27">
        <f>INDEX('Campaign Metadata '!B:B,MATCH(M173,'Campaign Metadata '!A:A,0))</f>
        <v>45717</v>
      </c>
      <c r="O173" s="17">
        <f>INDEX('Campaign Metadata '!C:C,MATCH(M173,'Campaign Metadata '!A:A,0))</f>
        <v>45747</v>
      </c>
      <c r="P173" s="4" t="str">
        <f t="shared" si="2"/>
        <v>BEFORE</v>
      </c>
    </row>
    <row r="174" spans="1:16" ht="15.75" customHeight="1">
      <c r="A174" s="1" t="s">
        <v>191</v>
      </c>
      <c r="B174" s="3" t="s">
        <v>14</v>
      </c>
      <c r="C174" s="21">
        <v>45447</v>
      </c>
      <c r="D174" s="3" t="s">
        <v>15</v>
      </c>
      <c r="E174" s="3" t="s">
        <v>350</v>
      </c>
      <c r="F174" s="7">
        <v>3948</v>
      </c>
      <c r="G174" s="7">
        <v>151</v>
      </c>
      <c r="H174" s="7">
        <v>249</v>
      </c>
      <c r="I174" s="7">
        <v>43147</v>
      </c>
      <c r="J174" s="7">
        <v>63136</v>
      </c>
      <c r="K174" s="7">
        <v>230</v>
      </c>
      <c r="L174" s="3" t="s">
        <v>341</v>
      </c>
      <c r="M174" s="3" t="s">
        <v>342</v>
      </c>
      <c r="N174" s="27">
        <f>INDEX('Campaign Metadata '!B:B,MATCH(M174,'Campaign Metadata '!A:A,0))</f>
        <v>45717</v>
      </c>
      <c r="O174" s="17">
        <f>INDEX('Campaign Metadata '!C:C,MATCH(M174,'Campaign Metadata '!A:A,0))</f>
        <v>45747</v>
      </c>
      <c r="P174" s="4" t="str">
        <f t="shared" si="2"/>
        <v>BEFORE</v>
      </c>
    </row>
    <row r="175" spans="1:16" ht="15.75" customHeight="1">
      <c r="A175" s="1" t="s">
        <v>192</v>
      </c>
      <c r="B175" s="3" t="s">
        <v>346</v>
      </c>
      <c r="C175" s="21">
        <v>45749</v>
      </c>
      <c r="D175" s="3" t="s">
        <v>15</v>
      </c>
      <c r="E175" s="3" t="s">
        <v>345</v>
      </c>
      <c r="F175" s="7">
        <v>4598</v>
      </c>
      <c r="G175" s="7">
        <v>455</v>
      </c>
      <c r="H175" s="7">
        <v>378</v>
      </c>
      <c r="I175" s="7">
        <v>52952</v>
      </c>
      <c r="J175" s="7">
        <v>58504</v>
      </c>
      <c r="K175" s="7">
        <v>269</v>
      </c>
      <c r="L175" s="3" t="s">
        <v>348</v>
      </c>
      <c r="M175" s="3" t="s">
        <v>342</v>
      </c>
      <c r="N175" s="27">
        <f>INDEX('Campaign Metadata '!B:B,MATCH(M175,'Campaign Metadata '!A:A,0))</f>
        <v>45717</v>
      </c>
      <c r="O175" s="17">
        <f>INDEX('Campaign Metadata '!C:C,MATCH(M175,'Campaign Metadata '!A:A,0))</f>
        <v>45747</v>
      </c>
      <c r="P175" s="4" t="str">
        <f t="shared" si="2"/>
        <v>AFTER</v>
      </c>
    </row>
    <row r="176" spans="1:16" ht="15.75" customHeight="1">
      <c r="A176" s="1" t="s">
        <v>193</v>
      </c>
      <c r="B176" s="3" t="s">
        <v>18</v>
      </c>
      <c r="C176" s="21">
        <v>45748</v>
      </c>
      <c r="D176" s="3" t="s">
        <v>19</v>
      </c>
      <c r="E176" s="3" t="s">
        <v>347</v>
      </c>
      <c r="F176" s="7">
        <v>2665</v>
      </c>
      <c r="G176" s="7">
        <v>143</v>
      </c>
      <c r="H176" s="7">
        <v>315</v>
      </c>
      <c r="I176" s="7">
        <v>54808</v>
      </c>
      <c r="J176" s="7">
        <v>29818</v>
      </c>
      <c r="K176" s="7">
        <v>98</v>
      </c>
      <c r="L176" s="3" t="s">
        <v>351</v>
      </c>
      <c r="M176" s="3" t="s">
        <v>339</v>
      </c>
      <c r="N176" s="27">
        <f>INDEX('Campaign Metadata '!B:B,MATCH(M176,'Campaign Metadata '!A:A,0))</f>
        <v>45667</v>
      </c>
      <c r="O176" s="17">
        <f>INDEX('Campaign Metadata '!C:C,MATCH(M176,'Campaign Metadata '!A:A,0))</f>
        <v>45698</v>
      </c>
      <c r="P176" s="4" t="str">
        <f t="shared" si="2"/>
        <v>AFTER</v>
      </c>
    </row>
    <row r="177" spans="1:16" ht="15.75" customHeight="1">
      <c r="A177" s="1" t="s">
        <v>194</v>
      </c>
      <c r="B177" s="3" t="s">
        <v>14</v>
      </c>
      <c r="C177" s="21">
        <v>45475</v>
      </c>
      <c r="D177" s="3" t="s">
        <v>15</v>
      </c>
      <c r="E177" s="3" t="s">
        <v>352</v>
      </c>
      <c r="F177" s="7">
        <v>3469</v>
      </c>
      <c r="G177" s="7">
        <v>371</v>
      </c>
      <c r="H177" s="7">
        <v>76</v>
      </c>
      <c r="I177" s="7">
        <v>46493</v>
      </c>
      <c r="J177" s="7">
        <v>26906</v>
      </c>
      <c r="K177" s="7">
        <v>150</v>
      </c>
      <c r="L177" s="3" t="s">
        <v>338</v>
      </c>
      <c r="M177" s="3" t="s">
        <v>339</v>
      </c>
      <c r="N177" s="27">
        <f>INDEX('Campaign Metadata '!B:B,MATCH(M177,'Campaign Metadata '!A:A,0))</f>
        <v>45667</v>
      </c>
      <c r="O177" s="17">
        <f>INDEX('Campaign Metadata '!C:C,MATCH(M177,'Campaign Metadata '!A:A,0))</f>
        <v>45698</v>
      </c>
      <c r="P177" s="4" t="str">
        <f t="shared" si="2"/>
        <v>BEFORE</v>
      </c>
    </row>
    <row r="178" spans="1:16" ht="15.75" customHeight="1">
      <c r="A178" s="1" t="s">
        <v>195</v>
      </c>
      <c r="B178" s="3" t="s">
        <v>18</v>
      </c>
      <c r="C178" s="21">
        <v>45606</v>
      </c>
      <c r="D178" s="3" t="s">
        <v>15</v>
      </c>
      <c r="E178" s="3" t="s">
        <v>340</v>
      </c>
      <c r="F178" s="7">
        <v>4823</v>
      </c>
      <c r="G178" s="7">
        <v>489</v>
      </c>
      <c r="H178" s="7">
        <v>302</v>
      </c>
      <c r="I178" s="7">
        <v>32470</v>
      </c>
      <c r="J178" s="7">
        <v>31861</v>
      </c>
      <c r="K178" s="7">
        <v>178</v>
      </c>
      <c r="L178" s="3" t="s">
        <v>354</v>
      </c>
      <c r="M178" s="3" t="s">
        <v>342</v>
      </c>
      <c r="N178" s="27">
        <f>INDEX('Campaign Metadata '!B:B,MATCH(M178,'Campaign Metadata '!A:A,0))</f>
        <v>45717</v>
      </c>
      <c r="O178" s="17">
        <f>INDEX('Campaign Metadata '!C:C,MATCH(M178,'Campaign Metadata '!A:A,0))</f>
        <v>45747</v>
      </c>
      <c r="P178" s="4" t="str">
        <f t="shared" si="2"/>
        <v>BEFORE</v>
      </c>
    </row>
    <row r="179" spans="1:16" ht="15.75" customHeight="1">
      <c r="A179" s="1" t="s">
        <v>196</v>
      </c>
      <c r="B179" s="3" t="s">
        <v>14</v>
      </c>
      <c r="C179" s="21">
        <v>45640</v>
      </c>
      <c r="D179" s="3" t="s">
        <v>19</v>
      </c>
      <c r="E179" s="3" t="s">
        <v>355</v>
      </c>
      <c r="F179" s="7">
        <v>3812</v>
      </c>
      <c r="G179" s="7">
        <v>321</v>
      </c>
      <c r="H179" s="7">
        <v>289</v>
      </c>
      <c r="I179" s="7">
        <v>59838</v>
      </c>
      <c r="J179" s="7">
        <v>36337</v>
      </c>
      <c r="K179" s="7">
        <v>161</v>
      </c>
      <c r="L179" s="3" t="s">
        <v>353</v>
      </c>
      <c r="M179" s="3" t="s">
        <v>35</v>
      </c>
      <c r="N179" s="27">
        <f>INDEX('Campaign Metadata '!B:B,MATCH(M179,'Campaign Metadata '!A:A,0))</f>
        <v>45627</v>
      </c>
      <c r="O179" s="17">
        <f>INDEX('Campaign Metadata '!C:C,MATCH(M179,'Campaign Metadata '!A:A,0))</f>
        <v>45657</v>
      </c>
      <c r="P179" s="4" t="str">
        <f t="shared" si="2"/>
        <v>DURING</v>
      </c>
    </row>
    <row r="180" spans="1:16" ht="15.75" customHeight="1">
      <c r="A180" s="1" t="s">
        <v>197</v>
      </c>
      <c r="B180" s="3" t="s">
        <v>18</v>
      </c>
      <c r="C180" s="21">
        <v>45615</v>
      </c>
      <c r="D180" s="3" t="s">
        <v>15</v>
      </c>
      <c r="E180" s="3" t="s">
        <v>340</v>
      </c>
      <c r="F180" s="7">
        <v>2387</v>
      </c>
      <c r="G180" s="7">
        <v>353</v>
      </c>
      <c r="H180" s="7">
        <v>78</v>
      </c>
      <c r="I180" s="7">
        <v>39745</v>
      </c>
      <c r="J180" s="7">
        <v>69226</v>
      </c>
      <c r="K180" s="7">
        <v>208</v>
      </c>
      <c r="L180" s="3" t="s">
        <v>354</v>
      </c>
      <c r="M180" s="3" t="s">
        <v>342</v>
      </c>
      <c r="N180" s="27">
        <f>INDEX('Campaign Metadata '!B:B,MATCH(M180,'Campaign Metadata '!A:A,0))</f>
        <v>45717</v>
      </c>
      <c r="O180" s="17">
        <f>INDEX('Campaign Metadata '!C:C,MATCH(M180,'Campaign Metadata '!A:A,0))</f>
        <v>45747</v>
      </c>
      <c r="P180" s="4" t="str">
        <f t="shared" si="2"/>
        <v>BEFORE</v>
      </c>
    </row>
    <row r="181" spans="1:16" ht="15.75" customHeight="1">
      <c r="A181" s="1" t="s">
        <v>198</v>
      </c>
      <c r="B181" s="3" t="s">
        <v>18</v>
      </c>
      <c r="C181" s="21">
        <v>45777</v>
      </c>
      <c r="D181" s="3" t="s">
        <v>19</v>
      </c>
      <c r="E181" s="3" t="s">
        <v>345</v>
      </c>
      <c r="F181" s="7">
        <v>3929</v>
      </c>
      <c r="G181" s="7">
        <v>275</v>
      </c>
      <c r="H181" s="7">
        <v>330</v>
      </c>
      <c r="I181" s="7">
        <v>58329</v>
      </c>
      <c r="J181" s="7">
        <v>33196</v>
      </c>
      <c r="K181" s="7">
        <v>85</v>
      </c>
      <c r="L181" s="3" t="s">
        <v>344</v>
      </c>
      <c r="M181" s="3" t="s">
        <v>339</v>
      </c>
      <c r="N181" s="27">
        <f>INDEX('Campaign Metadata '!B:B,MATCH(M181,'Campaign Metadata '!A:A,0))</f>
        <v>45667</v>
      </c>
      <c r="O181" s="17">
        <f>INDEX('Campaign Metadata '!C:C,MATCH(M181,'Campaign Metadata '!A:A,0))</f>
        <v>45698</v>
      </c>
      <c r="P181" s="4" t="str">
        <f t="shared" si="2"/>
        <v>AFTER</v>
      </c>
    </row>
    <row r="182" spans="1:16" ht="15.75" customHeight="1">
      <c r="A182" s="1" t="s">
        <v>199</v>
      </c>
      <c r="B182" s="3" t="s">
        <v>18</v>
      </c>
      <c r="C182" s="21">
        <v>45370</v>
      </c>
      <c r="D182" s="3" t="s">
        <v>15</v>
      </c>
      <c r="E182" s="3" t="s">
        <v>355</v>
      </c>
      <c r="F182" s="7">
        <v>2191</v>
      </c>
      <c r="G182" s="7">
        <v>288</v>
      </c>
      <c r="H182" s="7">
        <v>83</v>
      </c>
      <c r="I182" s="7">
        <v>59606</v>
      </c>
      <c r="J182" s="7">
        <v>24765</v>
      </c>
      <c r="K182" s="7">
        <v>281</v>
      </c>
      <c r="L182" s="3" t="s">
        <v>354</v>
      </c>
      <c r="M182" s="3" t="s">
        <v>342</v>
      </c>
      <c r="N182" s="27">
        <f>INDEX('Campaign Metadata '!B:B,MATCH(M182,'Campaign Metadata '!A:A,0))</f>
        <v>45717</v>
      </c>
      <c r="O182" s="17">
        <f>INDEX('Campaign Metadata '!C:C,MATCH(M182,'Campaign Metadata '!A:A,0))</f>
        <v>45747</v>
      </c>
      <c r="P182" s="4" t="str">
        <f t="shared" si="2"/>
        <v>BEFORE</v>
      </c>
    </row>
    <row r="183" spans="1:16" ht="15.75" customHeight="1">
      <c r="A183" s="1" t="s">
        <v>200</v>
      </c>
      <c r="B183" s="3" t="s">
        <v>14</v>
      </c>
      <c r="C183" s="21">
        <v>45370</v>
      </c>
      <c r="D183" s="3" t="s">
        <v>15</v>
      </c>
      <c r="E183" s="3" t="s">
        <v>355</v>
      </c>
      <c r="F183" s="7">
        <v>2878</v>
      </c>
      <c r="G183" s="7">
        <v>278</v>
      </c>
      <c r="H183" s="7">
        <v>255</v>
      </c>
      <c r="I183" s="7">
        <v>47235</v>
      </c>
      <c r="J183" s="7">
        <v>57922</v>
      </c>
      <c r="K183" s="7">
        <v>112</v>
      </c>
      <c r="L183" s="3" t="s">
        <v>338</v>
      </c>
      <c r="M183" s="3" t="s">
        <v>339</v>
      </c>
      <c r="N183" s="27">
        <f>INDEX('Campaign Metadata '!B:B,MATCH(M183,'Campaign Metadata '!A:A,0))</f>
        <v>45667</v>
      </c>
      <c r="O183" s="17">
        <f>INDEX('Campaign Metadata '!C:C,MATCH(M183,'Campaign Metadata '!A:A,0))</f>
        <v>45698</v>
      </c>
      <c r="P183" s="4" t="str">
        <f t="shared" si="2"/>
        <v>BEFORE</v>
      </c>
    </row>
    <row r="184" spans="1:16" ht="15.75" customHeight="1">
      <c r="A184" s="1" t="s">
        <v>201</v>
      </c>
      <c r="B184" s="3" t="s">
        <v>18</v>
      </c>
      <c r="C184" s="21">
        <v>45496</v>
      </c>
      <c r="D184" s="3" t="s">
        <v>15</v>
      </c>
      <c r="E184" s="3" t="s">
        <v>352</v>
      </c>
      <c r="F184" s="7">
        <v>3204</v>
      </c>
      <c r="G184" s="7">
        <v>398</v>
      </c>
      <c r="H184" s="7">
        <v>85</v>
      </c>
      <c r="I184" s="7">
        <v>22020</v>
      </c>
      <c r="J184" s="7">
        <v>58353</v>
      </c>
      <c r="K184" s="7">
        <v>286</v>
      </c>
      <c r="L184" s="3" t="s">
        <v>354</v>
      </c>
      <c r="M184" s="3" t="s">
        <v>342</v>
      </c>
      <c r="N184" s="27">
        <f>INDEX('Campaign Metadata '!B:B,MATCH(M184,'Campaign Metadata '!A:A,0))</f>
        <v>45717</v>
      </c>
      <c r="O184" s="17">
        <f>INDEX('Campaign Metadata '!C:C,MATCH(M184,'Campaign Metadata '!A:A,0))</f>
        <v>45747</v>
      </c>
      <c r="P184" s="4" t="str">
        <f t="shared" si="2"/>
        <v>BEFORE</v>
      </c>
    </row>
    <row r="185" spans="1:16" ht="15.75" customHeight="1">
      <c r="A185" s="1" t="s">
        <v>202</v>
      </c>
      <c r="B185" s="3" t="s">
        <v>18</v>
      </c>
      <c r="C185" s="21">
        <v>45486</v>
      </c>
      <c r="D185" s="3" t="s">
        <v>19</v>
      </c>
      <c r="E185" s="3" t="s">
        <v>350</v>
      </c>
      <c r="F185" s="7">
        <v>2408</v>
      </c>
      <c r="G185" s="7">
        <v>323</v>
      </c>
      <c r="H185" s="7">
        <v>251</v>
      </c>
      <c r="I185" s="7">
        <v>47599</v>
      </c>
      <c r="J185" s="7">
        <v>35543</v>
      </c>
      <c r="K185" s="7">
        <v>287</v>
      </c>
      <c r="L185" s="3" t="s">
        <v>344</v>
      </c>
      <c r="M185" s="3" t="s">
        <v>339</v>
      </c>
      <c r="N185" s="27">
        <f>INDEX('Campaign Metadata '!B:B,MATCH(M185,'Campaign Metadata '!A:A,0))</f>
        <v>45667</v>
      </c>
      <c r="O185" s="17">
        <f>INDEX('Campaign Metadata '!C:C,MATCH(M185,'Campaign Metadata '!A:A,0))</f>
        <v>45698</v>
      </c>
      <c r="P185" s="4" t="str">
        <f t="shared" si="2"/>
        <v>BEFORE</v>
      </c>
    </row>
    <row r="186" spans="1:16" ht="15.75" customHeight="1">
      <c r="A186" s="1" t="s">
        <v>203</v>
      </c>
      <c r="B186" s="3" t="s">
        <v>346</v>
      </c>
      <c r="C186" s="21">
        <v>45769</v>
      </c>
      <c r="D186" s="3" t="s">
        <v>37</v>
      </c>
      <c r="E186" s="3" t="s">
        <v>343</v>
      </c>
      <c r="F186" s="7">
        <v>2733</v>
      </c>
      <c r="G186" s="7">
        <v>297</v>
      </c>
      <c r="H186" s="7">
        <v>235</v>
      </c>
      <c r="I186" s="7">
        <v>37980</v>
      </c>
      <c r="J186" s="7">
        <v>33058</v>
      </c>
      <c r="K186" s="7">
        <v>219</v>
      </c>
      <c r="L186" s="3" t="s">
        <v>357</v>
      </c>
      <c r="M186" s="3" t="s">
        <v>358</v>
      </c>
      <c r="N186" s="27">
        <f>INDEX('Campaign Metadata '!B:B,MATCH(M186,'Campaign Metadata '!A:A,0))</f>
        <v>45458</v>
      </c>
      <c r="O186" s="17">
        <f>INDEX('Campaign Metadata '!C:C,MATCH(M186,'Campaign Metadata '!A:A,0))</f>
        <v>45488</v>
      </c>
      <c r="P186" s="4" t="str">
        <f t="shared" si="2"/>
        <v>AFTER</v>
      </c>
    </row>
    <row r="187" spans="1:16" ht="15.75" customHeight="1">
      <c r="A187" s="1" t="s">
        <v>204</v>
      </c>
      <c r="B187" s="3" t="s">
        <v>18</v>
      </c>
      <c r="C187" s="21">
        <v>45459</v>
      </c>
      <c r="D187" s="3" t="s">
        <v>19</v>
      </c>
      <c r="E187" s="3" t="s">
        <v>340</v>
      </c>
      <c r="F187" s="7">
        <v>4618</v>
      </c>
      <c r="G187" s="7">
        <v>312</v>
      </c>
      <c r="H187" s="7">
        <v>254</v>
      </c>
      <c r="I187" s="7">
        <v>22571</v>
      </c>
      <c r="J187" s="7">
        <v>29453</v>
      </c>
      <c r="K187" s="7">
        <v>197</v>
      </c>
      <c r="L187" s="3" t="s">
        <v>344</v>
      </c>
      <c r="M187" s="3" t="s">
        <v>339</v>
      </c>
      <c r="N187" s="27">
        <f>INDEX('Campaign Metadata '!B:B,MATCH(M187,'Campaign Metadata '!A:A,0))</f>
        <v>45667</v>
      </c>
      <c r="O187" s="17">
        <f>INDEX('Campaign Metadata '!C:C,MATCH(M187,'Campaign Metadata '!A:A,0))</f>
        <v>45698</v>
      </c>
      <c r="P187" s="4" t="str">
        <f t="shared" si="2"/>
        <v>BEFORE</v>
      </c>
    </row>
    <row r="188" spans="1:16" ht="15.75" customHeight="1">
      <c r="A188" s="1" t="s">
        <v>205</v>
      </c>
      <c r="B188" s="3" t="s">
        <v>346</v>
      </c>
      <c r="C188" s="21">
        <v>45795</v>
      </c>
      <c r="D188" s="3" t="s">
        <v>37</v>
      </c>
      <c r="E188" s="3" t="s">
        <v>345</v>
      </c>
      <c r="F188" s="7">
        <v>4210</v>
      </c>
      <c r="G188" s="7">
        <v>319</v>
      </c>
      <c r="H188" s="7">
        <v>350</v>
      </c>
      <c r="I188" s="7">
        <v>37762</v>
      </c>
      <c r="J188" s="7">
        <v>55162</v>
      </c>
      <c r="K188" s="7">
        <v>204</v>
      </c>
      <c r="L188" s="3" t="s">
        <v>357</v>
      </c>
      <c r="M188" s="3" t="s">
        <v>358</v>
      </c>
      <c r="N188" s="27">
        <f>INDEX('Campaign Metadata '!B:B,MATCH(M188,'Campaign Metadata '!A:A,0))</f>
        <v>45458</v>
      </c>
      <c r="O188" s="17">
        <f>INDEX('Campaign Metadata '!C:C,MATCH(M188,'Campaign Metadata '!A:A,0))</f>
        <v>45488</v>
      </c>
      <c r="P188" s="4" t="str">
        <f t="shared" si="2"/>
        <v>AFTER</v>
      </c>
    </row>
    <row r="189" spans="1:16" ht="15.75" customHeight="1">
      <c r="A189" s="1" t="s">
        <v>206</v>
      </c>
      <c r="B189" s="3" t="s">
        <v>14</v>
      </c>
      <c r="C189" s="21">
        <v>45814</v>
      </c>
      <c r="D189" s="3" t="s">
        <v>15</v>
      </c>
      <c r="E189" s="3" t="s">
        <v>345</v>
      </c>
      <c r="F189" s="7">
        <v>3987</v>
      </c>
      <c r="G189" s="7">
        <v>171</v>
      </c>
      <c r="H189" s="7">
        <v>274</v>
      </c>
      <c r="I189" s="7">
        <v>45122</v>
      </c>
      <c r="J189" s="7">
        <v>65431</v>
      </c>
      <c r="K189" s="7">
        <v>168</v>
      </c>
      <c r="L189" s="3" t="s">
        <v>341</v>
      </c>
      <c r="M189" s="3" t="s">
        <v>342</v>
      </c>
      <c r="N189" s="27">
        <f>INDEX('Campaign Metadata '!B:B,MATCH(M189,'Campaign Metadata '!A:A,0))</f>
        <v>45717</v>
      </c>
      <c r="O189" s="17">
        <f>INDEX('Campaign Metadata '!C:C,MATCH(M189,'Campaign Metadata '!A:A,0))</f>
        <v>45747</v>
      </c>
      <c r="P189" s="4" t="str">
        <f t="shared" si="2"/>
        <v>AFTER</v>
      </c>
    </row>
    <row r="190" spans="1:16" ht="15.75" customHeight="1">
      <c r="A190" s="1" t="s">
        <v>207</v>
      </c>
      <c r="B190" s="3" t="s">
        <v>346</v>
      </c>
      <c r="C190" s="21">
        <v>45708</v>
      </c>
      <c r="D190" s="3" t="s">
        <v>37</v>
      </c>
      <c r="E190" s="3" t="s">
        <v>350</v>
      </c>
      <c r="F190" s="7">
        <v>4957</v>
      </c>
      <c r="G190" s="7">
        <v>262</v>
      </c>
      <c r="H190" s="7">
        <v>365</v>
      </c>
      <c r="I190" s="7">
        <v>49199</v>
      </c>
      <c r="J190" s="7">
        <v>40314</v>
      </c>
      <c r="K190" s="7">
        <v>216</v>
      </c>
      <c r="L190" s="3" t="s">
        <v>357</v>
      </c>
      <c r="M190" s="3" t="s">
        <v>358</v>
      </c>
      <c r="N190" s="27">
        <f>INDEX('Campaign Metadata '!B:B,MATCH(M190,'Campaign Metadata '!A:A,0))</f>
        <v>45458</v>
      </c>
      <c r="O190" s="17">
        <f>INDEX('Campaign Metadata '!C:C,MATCH(M190,'Campaign Metadata '!A:A,0))</f>
        <v>45488</v>
      </c>
      <c r="P190" s="4" t="str">
        <f t="shared" si="2"/>
        <v>AFTER</v>
      </c>
    </row>
    <row r="191" spans="1:16" ht="15.75" customHeight="1">
      <c r="A191" s="1" t="s">
        <v>208</v>
      </c>
      <c r="B191" s="3" t="s">
        <v>14</v>
      </c>
      <c r="C191" s="21">
        <v>45673</v>
      </c>
      <c r="D191" s="3" t="s">
        <v>15</v>
      </c>
      <c r="E191" s="3" t="s">
        <v>347</v>
      </c>
      <c r="F191" s="7">
        <v>2605</v>
      </c>
      <c r="G191" s="7">
        <v>282</v>
      </c>
      <c r="H191" s="7">
        <v>148</v>
      </c>
      <c r="I191" s="7">
        <v>32201</v>
      </c>
      <c r="J191" s="7">
        <v>49583</v>
      </c>
      <c r="K191" s="7">
        <v>241</v>
      </c>
      <c r="L191" s="3" t="s">
        <v>338</v>
      </c>
      <c r="M191" s="3" t="s">
        <v>339</v>
      </c>
      <c r="N191" s="27">
        <f>INDEX('Campaign Metadata '!B:B,MATCH(M191,'Campaign Metadata '!A:A,0))</f>
        <v>45667</v>
      </c>
      <c r="O191" s="17">
        <f>INDEX('Campaign Metadata '!C:C,MATCH(M191,'Campaign Metadata '!A:A,0))</f>
        <v>45698</v>
      </c>
      <c r="P191" s="4" t="str">
        <f t="shared" si="2"/>
        <v>DURING</v>
      </c>
    </row>
    <row r="192" spans="1:16" ht="15.75" customHeight="1">
      <c r="A192" s="1" t="s">
        <v>209</v>
      </c>
      <c r="B192" s="3" t="s">
        <v>346</v>
      </c>
      <c r="C192" s="21">
        <v>45346</v>
      </c>
      <c r="D192" s="3" t="s">
        <v>37</v>
      </c>
      <c r="E192" s="3" t="s">
        <v>337</v>
      </c>
      <c r="F192" s="7">
        <v>4221</v>
      </c>
      <c r="G192" s="7">
        <v>307</v>
      </c>
      <c r="H192" s="7">
        <v>58</v>
      </c>
      <c r="I192" s="7">
        <v>45080</v>
      </c>
      <c r="J192" s="7">
        <v>37214</v>
      </c>
      <c r="K192" s="7">
        <v>240</v>
      </c>
      <c r="L192" s="3" t="s">
        <v>357</v>
      </c>
      <c r="M192" s="3" t="s">
        <v>358</v>
      </c>
      <c r="N192" s="27">
        <f>INDEX('Campaign Metadata '!B:B,MATCH(M192,'Campaign Metadata '!A:A,0))</f>
        <v>45458</v>
      </c>
      <c r="O192" s="17">
        <f>INDEX('Campaign Metadata '!C:C,MATCH(M192,'Campaign Metadata '!A:A,0))</f>
        <v>45488</v>
      </c>
      <c r="P192" s="4" t="str">
        <f t="shared" si="2"/>
        <v>BEFORE</v>
      </c>
    </row>
    <row r="193" spans="1:16" ht="15.75" customHeight="1">
      <c r="A193" s="1" t="s">
        <v>210</v>
      </c>
      <c r="B193" s="3" t="s">
        <v>18</v>
      </c>
      <c r="C193" s="21">
        <v>45551</v>
      </c>
      <c r="D193" s="3" t="s">
        <v>19</v>
      </c>
      <c r="E193" s="3" t="s">
        <v>349</v>
      </c>
      <c r="F193" s="7">
        <v>4422</v>
      </c>
      <c r="G193" s="7">
        <v>434</v>
      </c>
      <c r="H193" s="7">
        <v>156</v>
      </c>
      <c r="I193" s="7">
        <v>56165</v>
      </c>
      <c r="J193" s="7">
        <v>52431</v>
      </c>
      <c r="K193" s="7">
        <v>173</v>
      </c>
      <c r="L193" s="3" t="s">
        <v>351</v>
      </c>
      <c r="M193" s="3" t="s">
        <v>339</v>
      </c>
      <c r="N193" s="27">
        <f>INDEX('Campaign Metadata '!B:B,MATCH(M193,'Campaign Metadata '!A:A,0))</f>
        <v>45667</v>
      </c>
      <c r="O193" s="17">
        <f>INDEX('Campaign Metadata '!C:C,MATCH(M193,'Campaign Metadata '!A:A,0))</f>
        <v>45698</v>
      </c>
      <c r="P193" s="4" t="str">
        <f t="shared" si="2"/>
        <v>BEFORE</v>
      </c>
    </row>
    <row r="194" spans="1:16" ht="15.75" customHeight="1">
      <c r="A194" s="1" t="s">
        <v>211</v>
      </c>
      <c r="B194" s="3" t="s">
        <v>346</v>
      </c>
      <c r="C194" s="21">
        <v>45447</v>
      </c>
      <c r="D194" s="3" t="s">
        <v>37</v>
      </c>
      <c r="E194" s="3" t="s">
        <v>345</v>
      </c>
      <c r="F194" s="7">
        <v>1211</v>
      </c>
      <c r="G194" s="7">
        <v>431</v>
      </c>
      <c r="H194" s="7">
        <v>83</v>
      </c>
      <c r="I194" s="7">
        <v>26532</v>
      </c>
      <c r="J194" s="7">
        <v>47305</v>
      </c>
      <c r="K194" s="7">
        <v>232</v>
      </c>
      <c r="L194" s="3" t="s">
        <v>357</v>
      </c>
      <c r="M194" s="3" t="s">
        <v>358</v>
      </c>
      <c r="N194" s="27">
        <f>INDEX('Campaign Metadata '!B:B,MATCH(M194,'Campaign Metadata '!A:A,0))</f>
        <v>45458</v>
      </c>
      <c r="O194" s="17">
        <f>INDEX('Campaign Metadata '!C:C,MATCH(M194,'Campaign Metadata '!A:A,0))</f>
        <v>45488</v>
      </c>
      <c r="P194" s="4" t="str">
        <f t="shared" si="2"/>
        <v>BEFORE</v>
      </c>
    </row>
    <row r="195" spans="1:16" ht="15.75" customHeight="1">
      <c r="A195" s="1" t="s">
        <v>212</v>
      </c>
      <c r="B195" s="3" t="s">
        <v>18</v>
      </c>
      <c r="C195" s="21">
        <v>45422</v>
      </c>
      <c r="D195" s="3" t="s">
        <v>19</v>
      </c>
      <c r="E195" s="3" t="s">
        <v>340</v>
      </c>
      <c r="F195" s="7">
        <v>2784</v>
      </c>
      <c r="G195" s="7">
        <v>111</v>
      </c>
      <c r="H195" s="7">
        <v>399</v>
      </c>
      <c r="I195" s="7">
        <v>58366</v>
      </c>
      <c r="J195" s="7">
        <v>69512</v>
      </c>
      <c r="K195" s="7">
        <v>269</v>
      </c>
      <c r="L195" s="3" t="s">
        <v>344</v>
      </c>
      <c r="M195" s="3" t="s">
        <v>339</v>
      </c>
      <c r="N195" s="27">
        <f>INDEX('Campaign Metadata '!B:B,MATCH(M195,'Campaign Metadata '!A:A,0))</f>
        <v>45667</v>
      </c>
      <c r="O195" s="17">
        <f>INDEX('Campaign Metadata '!C:C,MATCH(M195,'Campaign Metadata '!A:A,0))</f>
        <v>45698</v>
      </c>
      <c r="P195" s="4" t="str">
        <f t="shared" ref="P195:P258" si="3">IF(AND(C195&lt;=O195,C195&gt;=N195),"DURING",IF(C195&lt;O195,"BEFORE", "AFTER"))</f>
        <v>BEFORE</v>
      </c>
    </row>
    <row r="196" spans="1:16" ht="15.75" customHeight="1">
      <c r="A196" s="1" t="s">
        <v>213</v>
      </c>
      <c r="B196" s="3" t="s">
        <v>346</v>
      </c>
      <c r="C196" s="21">
        <v>45305</v>
      </c>
      <c r="D196" s="3" t="s">
        <v>15</v>
      </c>
      <c r="E196" s="3" t="s">
        <v>343</v>
      </c>
      <c r="F196" s="7">
        <v>3634</v>
      </c>
      <c r="G196" s="7">
        <v>280</v>
      </c>
      <c r="H196" s="7">
        <v>399</v>
      </c>
      <c r="I196" s="7">
        <v>40256</v>
      </c>
      <c r="J196" s="7">
        <v>52605</v>
      </c>
      <c r="K196" s="7">
        <v>213</v>
      </c>
      <c r="L196" s="3" t="s">
        <v>348</v>
      </c>
      <c r="M196" s="3" t="s">
        <v>342</v>
      </c>
      <c r="N196" s="27">
        <f>INDEX('Campaign Metadata '!B:B,MATCH(M196,'Campaign Metadata '!A:A,0))</f>
        <v>45717</v>
      </c>
      <c r="O196" s="17">
        <f>INDEX('Campaign Metadata '!C:C,MATCH(M196,'Campaign Metadata '!A:A,0))</f>
        <v>45747</v>
      </c>
      <c r="P196" s="4" t="str">
        <f t="shared" si="3"/>
        <v>BEFORE</v>
      </c>
    </row>
    <row r="197" spans="1:16" ht="15.75" customHeight="1">
      <c r="A197" s="1" t="s">
        <v>214</v>
      </c>
      <c r="B197" s="3" t="s">
        <v>14</v>
      </c>
      <c r="C197" s="21">
        <v>45669</v>
      </c>
      <c r="D197" s="3" t="s">
        <v>15</v>
      </c>
      <c r="E197" s="3" t="s">
        <v>355</v>
      </c>
      <c r="F197" s="7">
        <v>1771</v>
      </c>
      <c r="G197" s="7">
        <v>487</v>
      </c>
      <c r="H197" s="7">
        <v>272</v>
      </c>
      <c r="I197" s="7">
        <v>48810</v>
      </c>
      <c r="J197" s="7">
        <v>48084</v>
      </c>
      <c r="K197" s="7">
        <v>272</v>
      </c>
      <c r="L197" s="3" t="s">
        <v>338</v>
      </c>
      <c r="M197" s="3" t="s">
        <v>339</v>
      </c>
      <c r="N197" s="27">
        <f>INDEX('Campaign Metadata '!B:B,MATCH(M197,'Campaign Metadata '!A:A,0))</f>
        <v>45667</v>
      </c>
      <c r="O197" s="17">
        <f>INDEX('Campaign Metadata '!C:C,MATCH(M197,'Campaign Metadata '!A:A,0))</f>
        <v>45698</v>
      </c>
      <c r="P197" s="4" t="str">
        <f t="shared" si="3"/>
        <v>DURING</v>
      </c>
    </row>
    <row r="198" spans="1:16" ht="15.75" customHeight="1">
      <c r="A198" s="1" t="s">
        <v>215</v>
      </c>
      <c r="B198" s="3" t="s">
        <v>346</v>
      </c>
      <c r="C198" s="21">
        <v>45634</v>
      </c>
      <c r="D198" s="3" t="s">
        <v>15</v>
      </c>
      <c r="E198" s="3" t="s">
        <v>352</v>
      </c>
      <c r="F198" s="7">
        <v>1424</v>
      </c>
      <c r="G198" s="7">
        <v>396</v>
      </c>
      <c r="H198" s="7">
        <v>312</v>
      </c>
      <c r="I198" s="7">
        <v>59517</v>
      </c>
      <c r="J198" s="7">
        <v>46102</v>
      </c>
      <c r="K198" s="7">
        <v>239</v>
      </c>
      <c r="L198" s="3" t="s">
        <v>348</v>
      </c>
      <c r="M198" s="3" t="s">
        <v>342</v>
      </c>
      <c r="N198" s="27">
        <f>INDEX('Campaign Metadata '!B:B,MATCH(M198,'Campaign Metadata '!A:A,0))</f>
        <v>45717</v>
      </c>
      <c r="O198" s="17">
        <f>INDEX('Campaign Metadata '!C:C,MATCH(M198,'Campaign Metadata '!A:A,0))</f>
        <v>45747</v>
      </c>
      <c r="P198" s="4" t="str">
        <f t="shared" si="3"/>
        <v>BEFORE</v>
      </c>
    </row>
    <row r="199" spans="1:16" ht="15.75" customHeight="1">
      <c r="A199" s="1" t="s">
        <v>216</v>
      </c>
      <c r="B199" s="3" t="s">
        <v>18</v>
      </c>
      <c r="C199" s="21">
        <v>45689</v>
      </c>
      <c r="D199" s="3" t="s">
        <v>19</v>
      </c>
      <c r="E199" s="3" t="s">
        <v>352</v>
      </c>
      <c r="F199" s="7">
        <v>1079</v>
      </c>
      <c r="G199" s="7">
        <v>265</v>
      </c>
      <c r="H199" s="7">
        <v>190</v>
      </c>
      <c r="I199" s="7">
        <v>43786</v>
      </c>
      <c r="J199" s="7">
        <v>72428</v>
      </c>
      <c r="K199" s="7">
        <v>222</v>
      </c>
      <c r="L199" s="3" t="s">
        <v>338</v>
      </c>
      <c r="M199" s="3" t="s">
        <v>339</v>
      </c>
      <c r="N199" s="27">
        <f>INDEX('Campaign Metadata '!B:B,MATCH(M199,'Campaign Metadata '!A:A,0))</f>
        <v>45667</v>
      </c>
      <c r="O199" s="17">
        <f>INDEX('Campaign Metadata '!C:C,MATCH(M199,'Campaign Metadata '!A:A,0))</f>
        <v>45698</v>
      </c>
      <c r="P199" s="4" t="str">
        <f t="shared" si="3"/>
        <v>DURING</v>
      </c>
    </row>
    <row r="200" spans="1:16" ht="15.75" customHeight="1">
      <c r="A200" s="1" t="s">
        <v>217</v>
      </c>
      <c r="B200" s="3" t="s">
        <v>18</v>
      </c>
      <c r="C200" s="21">
        <v>45484</v>
      </c>
      <c r="D200" s="3" t="s">
        <v>19</v>
      </c>
      <c r="E200" s="3" t="s">
        <v>350</v>
      </c>
      <c r="F200" s="7">
        <v>4247</v>
      </c>
      <c r="G200" s="7">
        <v>179</v>
      </c>
      <c r="H200" s="7">
        <v>175</v>
      </c>
      <c r="I200" s="7">
        <v>32991</v>
      </c>
      <c r="J200" s="7">
        <v>70120</v>
      </c>
      <c r="K200" s="7">
        <v>276</v>
      </c>
      <c r="L200" s="3" t="s">
        <v>338</v>
      </c>
      <c r="M200" s="3" t="s">
        <v>339</v>
      </c>
      <c r="N200" s="27">
        <f>INDEX('Campaign Metadata '!B:B,MATCH(M200,'Campaign Metadata '!A:A,0))</f>
        <v>45667</v>
      </c>
      <c r="O200" s="17">
        <f>INDEX('Campaign Metadata '!C:C,MATCH(M200,'Campaign Metadata '!A:A,0))</f>
        <v>45698</v>
      </c>
      <c r="P200" s="4" t="str">
        <f t="shared" si="3"/>
        <v>BEFORE</v>
      </c>
    </row>
    <row r="201" spans="1:16" ht="15.75" customHeight="1">
      <c r="A201" s="1" t="s">
        <v>218</v>
      </c>
      <c r="B201" s="3" t="s">
        <v>18</v>
      </c>
      <c r="C201" s="21">
        <v>45369</v>
      </c>
      <c r="D201" s="3" t="s">
        <v>15</v>
      </c>
      <c r="E201" s="3" t="s">
        <v>343</v>
      </c>
      <c r="F201" s="7">
        <v>2033</v>
      </c>
      <c r="G201" s="7">
        <v>420</v>
      </c>
      <c r="H201" s="7">
        <v>94</v>
      </c>
      <c r="I201" s="7">
        <v>56290</v>
      </c>
      <c r="J201" s="7">
        <v>57391</v>
      </c>
      <c r="K201" s="7">
        <v>196</v>
      </c>
      <c r="L201" s="3" t="s">
        <v>353</v>
      </c>
      <c r="M201" s="3" t="s">
        <v>339</v>
      </c>
      <c r="N201" s="27">
        <f>INDEX('Campaign Metadata '!B:B,MATCH(M201,'Campaign Metadata '!A:A,0))</f>
        <v>45667</v>
      </c>
      <c r="O201" s="17">
        <f>INDEX('Campaign Metadata '!C:C,MATCH(M201,'Campaign Metadata '!A:A,0))</f>
        <v>45698</v>
      </c>
      <c r="P201" s="4" t="str">
        <f t="shared" si="3"/>
        <v>BEFORE</v>
      </c>
    </row>
    <row r="202" spans="1:16" ht="15.75" customHeight="1">
      <c r="A202" s="1" t="s">
        <v>219</v>
      </c>
      <c r="B202" s="3" t="s">
        <v>18</v>
      </c>
      <c r="C202" s="21">
        <v>45547</v>
      </c>
      <c r="D202" s="3" t="s">
        <v>19</v>
      </c>
      <c r="E202" s="3" t="s">
        <v>345</v>
      </c>
      <c r="F202" s="7">
        <v>1839</v>
      </c>
      <c r="G202" s="7">
        <v>223</v>
      </c>
      <c r="H202" s="7">
        <v>171</v>
      </c>
      <c r="I202" s="7">
        <v>35459</v>
      </c>
      <c r="J202" s="7">
        <v>69988</v>
      </c>
      <c r="K202" s="7">
        <v>114</v>
      </c>
      <c r="L202" s="3" t="s">
        <v>344</v>
      </c>
      <c r="M202" s="3" t="s">
        <v>339</v>
      </c>
      <c r="N202" s="27">
        <f>INDEX('Campaign Metadata '!B:B,MATCH(M202,'Campaign Metadata '!A:A,0))</f>
        <v>45667</v>
      </c>
      <c r="O202" s="17">
        <f>INDEX('Campaign Metadata '!C:C,MATCH(M202,'Campaign Metadata '!A:A,0))</f>
        <v>45698</v>
      </c>
      <c r="P202" s="4" t="str">
        <f t="shared" si="3"/>
        <v>BEFORE</v>
      </c>
    </row>
    <row r="203" spans="1:16" ht="15.75" customHeight="1">
      <c r="A203" s="1" t="s">
        <v>220</v>
      </c>
      <c r="B203" s="3" t="s">
        <v>18</v>
      </c>
      <c r="C203" s="21">
        <v>45302</v>
      </c>
      <c r="D203" s="3" t="s">
        <v>19</v>
      </c>
      <c r="E203" s="3" t="s">
        <v>345</v>
      </c>
      <c r="F203" s="7">
        <v>2340</v>
      </c>
      <c r="G203" s="7">
        <v>141</v>
      </c>
      <c r="H203" s="7">
        <v>206</v>
      </c>
      <c r="I203" s="7">
        <v>24916</v>
      </c>
      <c r="J203" s="7">
        <v>30582</v>
      </c>
      <c r="K203" s="7">
        <v>157</v>
      </c>
      <c r="L203" s="3" t="s">
        <v>338</v>
      </c>
      <c r="M203" s="3" t="s">
        <v>339</v>
      </c>
      <c r="N203" s="27">
        <f>INDEX('Campaign Metadata '!B:B,MATCH(M203,'Campaign Metadata '!A:A,0))</f>
        <v>45667</v>
      </c>
      <c r="O203" s="17">
        <f>INDEX('Campaign Metadata '!C:C,MATCH(M203,'Campaign Metadata '!A:A,0))</f>
        <v>45698</v>
      </c>
      <c r="P203" s="4" t="str">
        <f t="shared" si="3"/>
        <v>BEFORE</v>
      </c>
    </row>
    <row r="204" spans="1:16" ht="15.75" customHeight="1">
      <c r="A204" s="1" t="s">
        <v>221</v>
      </c>
      <c r="B204" s="3" t="s">
        <v>14</v>
      </c>
      <c r="C204" s="21">
        <v>45571</v>
      </c>
      <c r="D204" s="3" t="s">
        <v>15</v>
      </c>
      <c r="E204" s="3" t="s">
        <v>352</v>
      </c>
      <c r="F204" s="7">
        <v>2080</v>
      </c>
      <c r="G204" s="7">
        <v>389</v>
      </c>
      <c r="H204" s="7">
        <v>92</v>
      </c>
      <c r="I204" s="7">
        <v>30971</v>
      </c>
      <c r="J204" s="7">
        <v>25347</v>
      </c>
      <c r="K204" s="7">
        <v>111</v>
      </c>
      <c r="L204" s="3" t="s">
        <v>341</v>
      </c>
      <c r="M204" s="3" t="s">
        <v>342</v>
      </c>
      <c r="N204" s="27">
        <f>INDEX('Campaign Metadata '!B:B,MATCH(M204,'Campaign Metadata '!A:A,0))</f>
        <v>45717</v>
      </c>
      <c r="O204" s="17">
        <f>INDEX('Campaign Metadata '!C:C,MATCH(M204,'Campaign Metadata '!A:A,0))</f>
        <v>45747</v>
      </c>
      <c r="P204" s="4" t="str">
        <f t="shared" si="3"/>
        <v>BEFORE</v>
      </c>
    </row>
    <row r="205" spans="1:16" ht="15.75" customHeight="1">
      <c r="A205" s="1" t="s">
        <v>222</v>
      </c>
      <c r="B205" s="3" t="s">
        <v>18</v>
      </c>
      <c r="C205" s="21">
        <v>45656</v>
      </c>
      <c r="D205" s="3" t="s">
        <v>15</v>
      </c>
      <c r="E205" s="3" t="s">
        <v>350</v>
      </c>
      <c r="F205" s="7">
        <v>4214</v>
      </c>
      <c r="G205" s="7">
        <v>286</v>
      </c>
      <c r="H205" s="7">
        <v>127</v>
      </c>
      <c r="I205" s="7">
        <v>47293</v>
      </c>
      <c r="J205" s="7">
        <v>27184</v>
      </c>
      <c r="K205" s="7">
        <v>232</v>
      </c>
      <c r="L205" s="3" t="s">
        <v>353</v>
      </c>
      <c r="M205" s="3" t="s">
        <v>339</v>
      </c>
      <c r="N205" s="27">
        <f>INDEX('Campaign Metadata '!B:B,MATCH(M205,'Campaign Metadata '!A:A,0))</f>
        <v>45667</v>
      </c>
      <c r="O205" s="17">
        <f>INDEX('Campaign Metadata '!C:C,MATCH(M205,'Campaign Metadata '!A:A,0))</f>
        <v>45698</v>
      </c>
      <c r="P205" s="4" t="str">
        <f t="shared" si="3"/>
        <v>BEFORE</v>
      </c>
    </row>
    <row r="206" spans="1:16" ht="15.75" customHeight="1">
      <c r="A206" s="1" t="s">
        <v>223</v>
      </c>
      <c r="B206" s="3" t="s">
        <v>18</v>
      </c>
      <c r="C206" s="21">
        <v>45763</v>
      </c>
      <c r="D206" s="3" t="s">
        <v>15</v>
      </c>
      <c r="E206" s="3" t="s">
        <v>345</v>
      </c>
      <c r="F206" s="7">
        <v>3792</v>
      </c>
      <c r="G206" s="7">
        <v>315</v>
      </c>
      <c r="H206" s="7">
        <v>120</v>
      </c>
      <c r="I206" s="7">
        <v>54592</v>
      </c>
      <c r="J206" s="7">
        <v>67886</v>
      </c>
      <c r="K206" s="7">
        <v>117</v>
      </c>
      <c r="L206" s="3" t="s">
        <v>354</v>
      </c>
      <c r="M206" s="3" t="s">
        <v>342</v>
      </c>
      <c r="N206" s="27">
        <f>INDEX('Campaign Metadata '!B:B,MATCH(M206,'Campaign Metadata '!A:A,0))</f>
        <v>45717</v>
      </c>
      <c r="O206" s="17">
        <f>INDEX('Campaign Metadata '!C:C,MATCH(M206,'Campaign Metadata '!A:A,0))</f>
        <v>45747</v>
      </c>
      <c r="P206" s="4" t="str">
        <f t="shared" si="3"/>
        <v>AFTER</v>
      </c>
    </row>
    <row r="207" spans="1:16" ht="15.75" customHeight="1">
      <c r="A207" s="1" t="s">
        <v>224</v>
      </c>
      <c r="B207" s="3" t="s">
        <v>18</v>
      </c>
      <c r="C207" s="21">
        <v>45525</v>
      </c>
      <c r="D207" s="3" t="s">
        <v>19</v>
      </c>
      <c r="E207" s="3" t="s">
        <v>340</v>
      </c>
      <c r="F207" s="7">
        <v>3989</v>
      </c>
      <c r="G207" s="7">
        <v>476</v>
      </c>
      <c r="H207" s="7">
        <v>128</v>
      </c>
      <c r="I207" s="7">
        <v>57569</v>
      </c>
      <c r="J207" s="7">
        <v>40193</v>
      </c>
      <c r="K207" s="7">
        <v>222</v>
      </c>
      <c r="L207" s="3" t="s">
        <v>351</v>
      </c>
      <c r="M207" s="3" t="s">
        <v>339</v>
      </c>
      <c r="N207" s="27">
        <f>INDEX('Campaign Metadata '!B:B,MATCH(M207,'Campaign Metadata '!A:A,0))</f>
        <v>45667</v>
      </c>
      <c r="O207" s="17">
        <f>INDEX('Campaign Metadata '!C:C,MATCH(M207,'Campaign Metadata '!A:A,0))</f>
        <v>45698</v>
      </c>
      <c r="P207" s="4" t="str">
        <f t="shared" si="3"/>
        <v>BEFORE</v>
      </c>
    </row>
    <row r="208" spans="1:16" ht="15.75" customHeight="1">
      <c r="A208" s="1" t="s">
        <v>225</v>
      </c>
      <c r="B208" s="3" t="s">
        <v>18</v>
      </c>
      <c r="C208" s="21">
        <v>45387</v>
      </c>
      <c r="D208" s="3" t="s">
        <v>19</v>
      </c>
      <c r="E208" s="3" t="s">
        <v>345</v>
      </c>
      <c r="F208" s="7">
        <v>2857</v>
      </c>
      <c r="G208" s="7">
        <v>443</v>
      </c>
      <c r="H208" s="7">
        <v>359</v>
      </c>
      <c r="I208" s="7">
        <v>51519</v>
      </c>
      <c r="J208" s="7">
        <v>28256</v>
      </c>
      <c r="K208" s="7">
        <v>155</v>
      </c>
      <c r="L208" s="3" t="s">
        <v>338</v>
      </c>
      <c r="M208" s="3" t="s">
        <v>339</v>
      </c>
      <c r="N208" s="27">
        <f>INDEX('Campaign Metadata '!B:B,MATCH(M208,'Campaign Metadata '!A:A,0))</f>
        <v>45667</v>
      </c>
      <c r="O208" s="17">
        <f>INDEX('Campaign Metadata '!C:C,MATCH(M208,'Campaign Metadata '!A:A,0))</f>
        <v>45698</v>
      </c>
      <c r="P208" s="4" t="str">
        <f t="shared" si="3"/>
        <v>BEFORE</v>
      </c>
    </row>
    <row r="209" spans="1:16" ht="15.75" customHeight="1">
      <c r="A209" s="1" t="s">
        <v>226</v>
      </c>
      <c r="B209" s="3" t="s">
        <v>18</v>
      </c>
      <c r="C209" s="21">
        <v>45754</v>
      </c>
      <c r="D209" s="3" t="s">
        <v>15</v>
      </c>
      <c r="E209" s="3" t="s">
        <v>355</v>
      </c>
      <c r="F209" s="7">
        <v>1403</v>
      </c>
      <c r="G209" s="7">
        <v>385</v>
      </c>
      <c r="H209" s="7">
        <v>344</v>
      </c>
      <c r="I209" s="7">
        <v>54223</v>
      </c>
      <c r="J209" s="7">
        <v>72595</v>
      </c>
      <c r="K209" s="7">
        <v>239</v>
      </c>
      <c r="L209" s="3" t="s">
        <v>354</v>
      </c>
      <c r="M209" s="3" t="s">
        <v>342</v>
      </c>
      <c r="N209" s="27">
        <f>INDEX('Campaign Metadata '!B:B,MATCH(M209,'Campaign Metadata '!A:A,0))</f>
        <v>45717</v>
      </c>
      <c r="O209" s="17">
        <f>INDEX('Campaign Metadata '!C:C,MATCH(M209,'Campaign Metadata '!A:A,0))</f>
        <v>45747</v>
      </c>
      <c r="P209" s="4" t="str">
        <f t="shared" si="3"/>
        <v>AFTER</v>
      </c>
    </row>
    <row r="210" spans="1:16" ht="15.75" customHeight="1">
      <c r="A210" s="1" t="s">
        <v>227</v>
      </c>
      <c r="B210" s="3" t="s">
        <v>18</v>
      </c>
      <c r="C210" s="21">
        <v>45492</v>
      </c>
      <c r="D210" s="3" t="s">
        <v>19</v>
      </c>
      <c r="E210" s="3" t="s">
        <v>349</v>
      </c>
      <c r="F210" s="7">
        <v>3071</v>
      </c>
      <c r="G210" s="7">
        <v>126</v>
      </c>
      <c r="H210" s="7">
        <v>200</v>
      </c>
      <c r="I210" s="7">
        <v>44013</v>
      </c>
      <c r="J210" s="7">
        <v>44679</v>
      </c>
      <c r="K210" s="7">
        <v>118</v>
      </c>
      <c r="L210" s="3" t="s">
        <v>351</v>
      </c>
      <c r="M210" s="3" t="s">
        <v>339</v>
      </c>
      <c r="N210" s="27">
        <f>INDEX('Campaign Metadata '!B:B,MATCH(M210,'Campaign Metadata '!A:A,0))</f>
        <v>45667</v>
      </c>
      <c r="O210" s="17">
        <f>INDEX('Campaign Metadata '!C:C,MATCH(M210,'Campaign Metadata '!A:A,0))</f>
        <v>45698</v>
      </c>
      <c r="P210" s="4" t="str">
        <f t="shared" si="3"/>
        <v>BEFORE</v>
      </c>
    </row>
    <row r="211" spans="1:16" ht="15.75" customHeight="1">
      <c r="A211" s="1" t="s">
        <v>228</v>
      </c>
      <c r="B211" s="3" t="s">
        <v>18</v>
      </c>
      <c r="C211" s="21">
        <v>45780</v>
      </c>
      <c r="D211" s="3" t="s">
        <v>19</v>
      </c>
      <c r="E211" s="3" t="s">
        <v>352</v>
      </c>
      <c r="F211" s="7">
        <v>1010</v>
      </c>
      <c r="G211" s="7">
        <v>361</v>
      </c>
      <c r="H211" s="7">
        <v>240</v>
      </c>
      <c r="I211" s="7">
        <v>47229</v>
      </c>
      <c r="J211" s="7">
        <v>72573</v>
      </c>
      <c r="K211" s="7">
        <v>275</v>
      </c>
      <c r="L211" s="3" t="s">
        <v>338</v>
      </c>
      <c r="M211" s="3" t="s">
        <v>339</v>
      </c>
      <c r="N211" s="27">
        <f>INDEX('Campaign Metadata '!B:B,MATCH(M211,'Campaign Metadata '!A:A,0))</f>
        <v>45667</v>
      </c>
      <c r="O211" s="17">
        <f>INDEX('Campaign Metadata '!C:C,MATCH(M211,'Campaign Metadata '!A:A,0))</f>
        <v>45698</v>
      </c>
      <c r="P211" s="4" t="str">
        <f t="shared" si="3"/>
        <v>AFTER</v>
      </c>
    </row>
    <row r="212" spans="1:16" ht="15.75" customHeight="1">
      <c r="A212" s="1" t="s">
        <v>229</v>
      </c>
      <c r="B212" s="3" t="s">
        <v>18</v>
      </c>
      <c r="C212" s="21">
        <v>45396</v>
      </c>
      <c r="D212" s="3" t="s">
        <v>19</v>
      </c>
      <c r="E212" s="3" t="s">
        <v>337</v>
      </c>
      <c r="F212" s="7">
        <v>1295</v>
      </c>
      <c r="G212" s="7">
        <v>153</v>
      </c>
      <c r="H212" s="7">
        <v>81</v>
      </c>
      <c r="I212" s="7">
        <v>48350</v>
      </c>
      <c r="J212" s="7">
        <v>61033</v>
      </c>
      <c r="K212" s="7">
        <v>232</v>
      </c>
      <c r="L212" s="3" t="s">
        <v>351</v>
      </c>
      <c r="M212" s="3" t="s">
        <v>339</v>
      </c>
      <c r="N212" s="27">
        <f>INDEX('Campaign Metadata '!B:B,MATCH(M212,'Campaign Metadata '!A:A,0))</f>
        <v>45667</v>
      </c>
      <c r="O212" s="17">
        <f>INDEX('Campaign Metadata '!C:C,MATCH(M212,'Campaign Metadata '!A:A,0))</f>
        <v>45698</v>
      </c>
      <c r="P212" s="4" t="str">
        <f t="shared" si="3"/>
        <v>BEFORE</v>
      </c>
    </row>
    <row r="213" spans="1:16" ht="15.75" customHeight="1">
      <c r="A213" s="1" t="s">
        <v>230</v>
      </c>
      <c r="B213" s="3" t="s">
        <v>18</v>
      </c>
      <c r="C213" s="21">
        <v>45827</v>
      </c>
      <c r="D213" s="3" t="s">
        <v>19</v>
      </c>
      <c r="E213" s="3" t="s">
        <v>349</v>
      </c>
      <c r="F213" s="7">
        <v>1433</v>
      </c>
      <c r="G213" s="7">
        <v>452</v>
      </c>
      <c r="H213" s="7">
        <v>305</v>
      </c>
      <c r="I213" s="7">
        <v>54541</v>
      </c>
      <c r="J213" s="7">
        <v>63700</v>
      </c>
      <c r="K213" s="7">
        <v>296</v>
      </c>
      <c r="L213" s="3" t="s">
        <v>351</v>
      </c>
      <c r="M213" s="3" t="s">
        <v>339</v>
      </c>
      <c r="N213" s="27">
        <f>INDEX('Campaign Metadata '!B:B,MATCH(M213,'Campaign Metadata '!A:A,0))</f>
        <v>45667</v>
      </c>
      <c r="O213" s="17">
        <f>INDEX('Campaign Metadata '!C:C,MATCH(M213,'Campaign Metadata '!A:A,0))</f>
        <v>45698</v>
      </c>
      <c r="P213" s="4" t="str">
        <f t="shared" si="3"/>
        <v>AFTER</v>
      </c>
    </row>
    <row r="214" spans="1:16" ht="15.75" customHeight="1">
      <c r="A214" s="1" t="s">
        <v>231</v>
      </c>
      <c r="B214" s="3" t="s">
        <v>14</v>
      </c>
      <c r="C214" s="21">
        <v>45832</v>
      </c>
      <c r="D214" s="3" t="s">
        <v>19</v>
      </c>
      <c r="E214" s="3" t="s">
        <v>350</v>
      </c>
      <c r="F214" s="7">
        <v>4902</v>
      </c>
      <c r="G214" s="7">
        <v>422</v>
      </c>
      <c r="H214" s="7">
        <v>376</v>
      </c>
      <c r="I214" s="7">
        <v>31674</v>
      </c>
      <c r="J214" s="7">
        <v>53225</v>
      </c>
      <c r="K214" s="7">
        <v>147</v>
      </c>
      <c r="L214" s="3" t="s">
        <v>353</v>
      </c>
      <c r="M214" s="3" t="s">
        <v>35</v>
      </c>
      <c r="N214" s="27">
        <f>INDEX('Campaign Metadata '!B:B,MATCH(M214,'Campaign Metadata '!A:A,0))</f>
        <v>45627</v>
      </c>
      <c r="O214" s="17">
        <f>INDEX('Campaign Metadata '!C:C,MATCH(M214,'Campaign Metadata '!A:A,0))</f>
        <v>45657</v>
      </c>
      <c r="P214" s="4" t="str">
        <f t="shared" si="3"/>
        <v>AFTER</v>
      </c>
    </row>
    <row r="215" spans="1:16" ht="15.75" customHeight="1">
      <c r="A215" s="1" t="s">
        <v>232</v>
      </c>
      <c r="B215" s="3" t="s">
        <v>18</v>
      </c>
      <c r="C215" s="21">
        <v>45574</v>
      </c>
      <c r="D215" s="3" t="s">
        <v>15</v>
      </c>
      <c r="E215" s="3" t="s">
        <v>345</v>
      </c>
      <c r="F215" s="7">
        <v>2659</v>
      </c>
      <c r="G215" s="7">
        <v>167</v>
      </c>
      <c r="H215" s="7">
        <v>73</v>
      </c>
      <c r="I215" s="7">
        <v>23090</v>
      </c>
      <c r="J215" s="7">
        <v>25872</v>
      </c>
      <c r="K215" s="7">
        <v>293</v>
      </c>
      <c r="L215" s="3" t="s">
        <v>354</v>
      </c>
      <c r="M215" s="3" t="s">
        <v>342</v>
      </c>
      <c r="N215" s="27">
        <f>INDEX('Campaign Metadata '!B:B,MATCH(M215,'Campaign Metadata '!A:A,0))</f>
        <v>45717</v>
      </c>
      <c r="O215" s="17">
        <f>INDEX('Campaign Metadata '!C:C,MATCH(M215,'Campaign Metadata '!A:A,0))</f>
        <v>45747</v>
      </c>
      <c r="P215" s="4" t="str">
        <f t="shared" si="3"/>
        <v>BEFORE</v>
      </c>
    </row>
    <row r="216" spans="1:16" ht="15.75" customHeight="1">
      <c r="A216" s="1" t="s">
        <v>233</v>
      </c>
      <c r="B216" s="3" t="s">
        <v>346</v>
      </c>
      <c r="C216" s="21">
        <v>45672</v>
      </c>
      <c r="D216" s="3" t="s">
        <v>15</v>
      </c>
      <c r="E216" s="3" t="s">
        <v>356</v>
      </c>
      <c r="F216" s="7">
        <v>2599</v>
      </c>
      <c r="G216" s="7">
        <v>324</v>
      </c>
      <c r="H216" s="7">
        <v>182</v>
      </c>
      <c r="I216" s="7">
        <v>37525</v>
      </c>
      <c r="J216" s="7">
        <v>37216</v>
      </c>
      <c r="K216" s="7">
        <v>186</v>
      </c>
      <c r="L216" s="3" t="s">
        <v>348</v>
      </c>
      <c r="M216" s="3" t="s">
        <v>342</v>
      </c>
      <c r="N216" s="27">
        <f>INDEX('Campaign Metadata '!B:B,MATCH(M216,'Campaign Metadata '!A:A,0))</f>
        <v>45717</v>
      </c>
      <c r="O216" s="17">
        <f>INDEX('Campaign Metadata '!C:C,MATCH(M216,'Campaign Metadata '!A:A,0))</f>
        <v>45747</v>
      </c>
      <c r="P216" s="4" t="str">
        <f t="shared" si="3"/>
        <v>BEFORE</v>
      </c>
    </row>
    <row r="217" spans="1:16" ht="15.75" customHeight="1">
      <c r="A217" s="1" t="s">
        <v>234</v>
      </c>
      <c r="B217" s="3" t="s">
        <v>18</v>
      </c>
      <c r="C217" s="21">
        <v>45669</v>
      </c>
      <c r="D217" s="3" t="s">
        <v>15</v>
      </c>
      <c r="E217" s="3" t="s">
        <v>347</v>
      </c>
      <c r="F217" s="7">
        <v>1765</v>
      </c>
      <c r="G217" s="7">
        <v>285</v>
      </c>
      <c r="H217" s="7">
        <v>100</v>
      </c>
      <c r="I217" s="7">
        <v>41313</v>
      </c>
      <c r="J217" s="7">
        <v>56575</v>
      </c>
      <c r="K217" s="7">
        <v>174</v>
      </c>
      <c r="L217" s="3" t="s">
        <v>354</v>
      </c>
      <c r="M217" s="3" t="s">
        <v>342</v>
      </c>
      <c r="N217" s="27">
        <f>INDEX('Campaign Metadata '!B:B,MATCH(M217,'Campaign Metadata '!A:A,0))</f>
        <v>45717</v>
      </c>
      <c r="O217" s="17">
        <f>INDEX('Campaign Metadata '!C:C,MATCH(M217,'Campaign Metadata '!A:A,0))</f>
        <v>45747</v>
      </c>
      <c r="P217" s="4" t="str">
        <f t="shared" si="3"/>
        <v>BEFORE</v>
      </c>
    </row>
    <row r="218" spans="1:16" ht="15.75" customHeight="1">
      <c r="A218" s="1" t="s">
        <v>235</v>
      </c>
      <c r="B218" s="3" t="s">
        <v>14</v>
      </c>
      <c r="C218" s="21">
        <v>45808</v>
      </c>
      <c r="D218" s="3" t="s">
        <v>15</v>
      </c>
      <c r="E218" s="3" t="s">
        <v>349</v>
      </c>
      <c r="F218" s="7">
        <v>2169</v>
      </c>
      <c r="G218" s="7">
        <v>240</v>
      </c>
      <c r="H218" s="7">
        <v>57</v>
      </c>
      <c r="I218" s="7">
        <v>26109</v>
      </c>
      <c r="J218" s="7">
        <v>46667</v>
      </c>
      <c r="K218" s="7">
        <v>133</v>
      </c>
      <c r="L218" s="3" t="s">
        <v>338</v>
      </c>
      <c r="M218" s="3" t="s">
        <v>339</v>
      </c>
      <c r="N218" s="27">
        <f>INDEX('Campaign Metadata '!B:B,MATCH(M218,'Campaign Metadata '!A:A,0))</f>
        <v>45667</v>
      </c>
      <c r="O218" s="17">
        <f>INDEX('Campaign Metadata '!C:C,MATCH(M218,'Campaign Metadata '!A:A,0))</f>
        <v>45698</v>
      </c>
      <c r="P218" s="4" t="str">
        <f t="shared" si="3"/>
        <v>AFTER</v>
      </c>
    </row>
    <row r="219" spans="1:16" ht="15.75" customHeight="1">
      <c r="A219" s="1" t="s">
        <v>236</v>
      </c>
      <c r="B219" s="3" t="s">
        <v>18</v>
      </c>
      <c r="C219" s="21">
        <v>45579</v>
      </c>
      <c r="D219" s="3" t="s">
        <v>19</v>
      </c>
      <c r="E219" s="3" t="s">
        <v>340</v>
      </c>
      <c r="F219" s="7">
        <v>4303</v>
      </c>
      <c r="G219" s="7">
        <v>306</v>
      </c>
      <c r="H219" s="7">
        <v>302</v>
      </c>
      <c r="I219" s="7">
        <v>39575</v>
      </c>
      <c r="J219" s="7">
        <v>33762</v>
      </c>
      <c r="K219" s="7">
        <v>265</v>
      </c>
      <c r="L219" s="3" t="s">
        <v>351</v>
      </c>
      <c r="M219" s="3" t="s">
        <v>339</v>
      </c>
      <c r="N219" s="27">
        <f>INDEX('Campaign Metadata '!B:B,MATCH(M219,'Campaign Metadata '!A:A,0))</f>
        <v>45667</v>
      </c>
      <c r="O219" s="17">
        <f>INDEX('Campaign Metadata '!C:C,MATCH(M219,'Campaign Metadata '!A:A,0))</f>
        <v>45698</v>
      </c>
      <c r="P219" s="4" t="str">
        <f t="shared" si="3"/>
        <v>BEFORE</v>
      </c>
    </row>
    <row r="220" spans="1:16" ht="15.75" customHeight="1">
      <c r="A220" s="1" t="s">
        <v>237</v>
      </c>
      <c r="B220" s="3" t="s">
        <v>18</v>
      </c>
      <c r="C220" s="21">
        <v>45332</v>
      </c>
      <c r="D220" s="3" t="s">
        <v>15</v>
      </c>
      <c r="E220" s="3" t="s">
        <v>355</v>
      </c>
      <c r="F220" s="7">
        <v>1519</v>
      </c>
      <c r="G220" s="7">
        <v>456</v>
      </c>
      <c r="H220" s="7">
        <v>379</v>
      </c>
      <c r="I220" s="7">
        <v>51611</v>
      </c>
      <c r="J220" s="7">
        <v>45880</v>
      </c>
      <c r="K220" s="7">
        <v>176</v>
      </c>
      <c r="L220" s="3" t="s">
        <v>354</v>
      </c>
      <c r="M220" s="3" t="s">
        <v>342</v>
      </c>
      <c r="N220" s="27">
        <f>INDEX('Campaign Metadata '!B:B,MATCH(M220,'Campaign Metadata '!A:A,0))</f>
        <v>45717</v>
      </c>
      <c r="O220" s="17">
        <f>INDEX('Campaign Metadata '!C:C,MATCH(M220,'Campaign Metadata '!A:A,0))</f>
        <v>45747</v>
      </c>
      <c r="P220" s="4" t="str">
        <f t="shared" si="3"/>
        <v>BEFORE</v>
      </c>
    </row>
    <row r="221" spans="1:16" ht="15.75" customHeight="1">
      <c r="A221" s="1" t="s">
        <v>238</v>
      </c>
      <c r="B221" s="3" t="s">
        <v>346</v>
      </c>
      <c r="C221" s="21">
        <v>45636</v>
      </c>
      <c r="D221" s="3" t="s">
        <v>15</v>
      </c>
      <c r="E221" s="3" t="s">
        <v>349</v>
      </c>
      <c r="F221" s="7">
        <v>2569</v>
      </c>
      <c r="G221" s="7">
        <v>140</v>
      </c>
      <c r="H221" s="7">
        <v>375</v>
      </c>
      <c r="I221" s="7">
        <v>38372</v>
      </c>
      <c r="J221" s="7">
        <v>22102</v>
      </c>
      <c r="K221" s="7">
        <v>255</v>
      </c>
      <c r="L221" s="3" t="s">
        <v>348</v>
      </c>
      <c r="M221" s="3" t="s">
        <v>342</v>
      </c>
      <c r="N221" s="27">
        <f>INDEX('Campaign Metadata '!B:B,MATCH(M221,'Campaign Metadata '!A:A,0))</f>
        <v>45717</v>
      </c>
      <c r="O221" s="17">
        <f>INDEX('Campaign Metadata '!C:C,MATCH(M221,'Campaign Metadata '!A:A,0))</f>
        <v>45747</v>
      </c>
      <c r="P221" s="4" t="str">
        <f t="shared" si="3"/>
        <v>BEFORE</v>
      </c>
    </row>
    <row r="222" spans="1:16" ht="15.75" customHeight="1">
      <c r="A222" s="1" t="s">
        <v>239</v>
      </c>
      <c r="B222" s="3" t="s">
        <v>18</v>
      </c>
      <c r="C222" s="21">
        <v>45786</v>
      </c>
      <c r="D222" s="3" t="s">
        <v>19</v>
      </c>
      <c r="E222" s="3" t="s">
        <v>347</v>
      </c>
      <c r="F222" s="7">
        <v>2778</v>
      </c>
      <c r="G222" s="7">
        <v>241</v>
      </c>
      <c r="H222" s="7">
        <v>317</v>
      </c>
      <c r="I222" s="7">
        <v>26247</v>
      </c>
      <c r="J222" s="7">
        <v>20677</v>
      </c>
      <c r="K222" s="7">
        <v>282</v>
      </c>
      <c r="L222" s="3" t="s">
        <v>344</v>
      </c>
      <c r="M222" s="3" t="s">
        <v>339</v>
      </c>
      <c r="N222" s="27">
        <f>INDEX('Campaign Metadata '!B:B,MATCH(M222,'Campaign Metadata '!A:A,0))</f>
        <v>45667</v>
      </c>
      <c r="O222" s="17">
        <f>INDEX('Campaign Metadata '!C:C,MATCH(M222,'Campaign Metadata '!A:A,0))</f>
        <v>45698</v>
      </c>
      <c r="P222" s="4" t="str">
        <f t="shared" si="3"/>
        <v>AFTER</v>
      </c>
    </row>
    <row r="223" spans="1:16" ht="15.75" customHeight="1">
      <c r="A223" s="1" t="s">
        <v>240</v>
      </c>
      <c r="B223" s="3" t="s">
        <v>18</v>
      </c>
      <c r="C223" s="21">
        <v>45829</v>
      </c>
      <c r="D223" s="3" t="s">
        <v>15</v>
      </c>
      <c r="E223" s="3" t="s">
        <v>340</v>
      </c>
      <c r="F223" s="7">
        <v>3611</v>
      </c>
      <c r="G223" s="7">
        <v>127</v>
      </c>
      <c r="H223" s="7">
        <v>139</v>
      </c>
      <c r="I223" s="7">
        <v>44768</v>
      </c>
      <c r="J223" s="7">
        <v>29435</v>
      </c>
      <c r="K223" s="7">
        <v>178</v>
      </c>
      <c r="L223" s="3" t="s">
        <v>353</v>
      </c>
      <c r="M223" s="3" t="s">
        <v>339</v>
      </c>
      <c r="N223" s="27">
        <f>INDEX('Campaign Metadata '!B:B,MATCH(M223,'Campaign Metadata '!A:A,0))</f>
        <v>45667</v>
      </c>
      <c r="O223" s="17">
        <f>INDEX('Campaign Metadata '!C:C,MATCH(M223,'Campaign Metadata '!A:A,0))</f>
        <v>45698</v>
      </c>
      <c r="P223" s="4" t="str">
        <f t="shared" si="3"/>
        <v>AFTER</v>
      </c>
    </row>
    <row r="224" spans="1:16" ht="15.75" customHeight="1">
      <c r="A224" s="1" t="s">
        <v>241</v>
      </c>
      <c r="B224" s="3" t="s">
        <v>18</v>
      </c>
      <c r="C224" s="21">
        <v>45462</v>
      </c>
      <c r="D224" s="3" t="s">
        <v>15</v>
      </c>
      <c r="E224" s="3" t="s">
        <v>349</v>
      </c>
      <c r="F224" s="7">
        <v>1224</v>
      </c>
      <c r="G224" s="7">
        <v>168</v>
      </c>
      <c r="H224" s="7">
        <v>199</v>
      </c>
      <c r="I224" s="7">
        <v>54232</v>
      </c>
      <c r="J224" s="7">
        <v>52844</v>
      </c>
      <c r="K224" s="7">
        <v>271</v>
      </c>
      <c r="L224" s="3" t="s">
        <v>354</v>
      </c>
      <c r="M224" s="3" t="s">
        <v>342</v>
      </c>
      <c r="N224" s="27">
        <f>INDEX('Campaign Metadata '!B:B,MATCH(M224,'Campaign Metadata '!A:A,0))</f>
        <v>45717</v>
      </c>
      <c r="O224" s="17">
        <f>INDEX('Campaign Metadata '!C:C,MATCH(M224,'Campaign Metadata '!A:A,0))</f>
        <v>45747</v>
      </c>
      <c r="P224" s="4" t="str">
        <f t="shared" si="3"/>
        <v>BEFORE</v>
      </c>
    </row>
    <row r="225" spans="1:16" ht="15.75" customHeight="1">
      <c r="A225" s="1" t="s">
        <v>242</v>
      </c>
      <c r="B225" s="3" t="s">
        <v>18</v>
      </c>
      <c r="C225" s="21">
        <v>45636</v>
      </c>
      <c r="D225" s="3" t="s">
        <v>15</v>
      </c>
      <c r="E225" s="3" t="s">
        <v>355</v>
      </c>
      <c r="F225" s="7">
        <v>4673</v>
      </c>
      <c r="G225" s="7">
        <v>270</v>
      </c>
      <c r="H225" s="7">
        <v>93</v>
      </c>
      <c r="I225" s="7">
        <v>45260</v>
      </c>
      <c r="J225" s="7">
        <v>57513</v>
      </c>
      <c r="K225" s="7">
        <v>103</v>
      </c>
      <c r="L225" s="3" t="s">
        <v>353</v>
      </c>
      <c r="M225" s="3" t="s">
        <v>339</v>
      </c>
      <c r="N225" s="27">
        <f>INDEX('Campaign Metadata '!B:B,MATCH(M225,'Campaign Metadata '!A:A,0))</f>
        <v>45667</v>
      </c>
      <c r="O225" s="17">
        <f>INDEX('Campaign Metadata '!C:C,MATCH(M225,'Campaign Metadata '!A:A,0))</f>
        <v>45698</v>
      </c>
      <c r="P225" s="4" t="str">
        <f t="shared" si="3"/>
        <v>BEFORE</v>
      </c>
    </row>
    <row r="226" spans="1:16" ht="15.75" customHeight="1">
      <c r="A226" s="1" t="s">
        <v>243</v>
      </c>
      <c r="B226" s="3" t="s">
        <v>346</v>
      </c>
      <c r="C226" s="21">
        <v>45323</v>
      </c>
      <c r="D226" s="3" t="s">
        <v>15</v>
      </c>
      <c r="E226" s="3" t="s">
        <v>345</v>
      </c>
      <c r="F226" s="7">
        <v>1432</v>
      </c>
      <c r="G226" s="7">
        <v>437</v>
      </c>
      <c r="H226" s="7">
        <v>267</v>
      </c>
      <c r="I226" s="7">
        <v>40634</v>
      </c>
      <c r="J226" s="7">
        <v>54511</v>
      </c>
      <c r="K226" s="7">
        <v>197</v>
      </c>
      <c r="L226" s="3" t="s">
        <v>348</v>
      </c>
      <c r="M226" s="3" t="s">
        <v>342</v>
      </c>
      <c r="N226" s="27">
        <f>INDEX('Campaign Metadata '!B:B,MATCH(M226,'Campaign Metadata '!A:A,0))</f>
        <v>45717</v>
      </c>
      <c r="O226" s="17">
        <f>INDEX('Campaign Metadata '!C:C,MATCH(M226,'Campaign Metadata '!A:A,0))</f>
        <v>45747</v>
      </c>
      <c r="P226" s="4" t="str">
        <f t="shared" si="3"/>
        <v>BEFORE</v>
      </c>
    </row>
    <row r="227" spans="1:16" ht="15.75" customHeight="1">
      <c r="A227" s="1" t="s">
        <v>244</v>
      </c>
      <c r="B227" s="3" t="s">
        <v>18</v>
      </c>
      <c r="C227" s="21">
        <v>45308</v>
      </c>
      <c r="D227" s="3" t="s">
        <v>19</v>
      </c>
      <c r="E227" s="3" t="s">
        <v>343</v>
      </c>
      <c r="F227" s="7">
        <v>2174</v>
      </c>
      <c r="G227" s="7">
        <v>499</v>
      </c>
      <c r="H227" s="7">
        <v>212</v>
      </c>
      <c r="I227" s="7">
        <v>54938</v>
      </c>
      <c r="J227" s="7">
        <v>27190</v>
      </c>
      <c r="K227" s="7">
        <v>265</v>
      </c>
      <c r="L227" s="3" t="s">
        <v>344</v>
      </c>
      <c r="M227" s="3" t="s">
        <v>339</v>
      </c>
      <c r="N227" s="27">
        <f>INDEX('Campaign Metadata '!B:B,MATCH(M227,'Campaign Metadata '!A:A,0))</f>
        <v>45667</v>
      </c>
      <c r="O227" s="17">
        <f>INDEX('Campaign Metadata '!C:C,MATCH(M227,'Campaign Metadata '!A:A,0))</f>
        <v>45698</v>
      </c>
      <c r="P227" s="4" t="str">
        <f t="shared" si="3"/>
        <v>BEFORE</v>
      </c>
    </row>
    <row r="228" spans="1:16" ht="15.75" customHeight="1">
      <c r="A228" s="1" t="s">
        <v>245</v>
      </c>
      <c r="B228" s="3" t="s">
        <v>346</v>
      </c>
      <c r="C228" s="21">
        <v>45738</v>
      </c>
      <c r="D228" s="3" t="s">
        <v>15</v>
      </c>
      <c r="E228" s="3" t="s">
        <v>347</v>
      </c>
      <c r="F228" s="7">
        <v>4308</v>
      </c>
      <c r="G228" s="7">
        <v>171</v>
      </c>
      <c r="H228" s="7">
        <v>106</v>
      </c>
      <c r="I228" s="7">
        <v>36955</v>
      </c>
      <c r="J228" s="7">
        <v>23949</v>
      </c>
      <c r="K228" s="7">
        <v>294</v>
      </c>
      <c r="L228" s="3" t="s">
        <v>348</v>
      </c>
      <c r="M228" s="3" t="s">
        <v>342</v>
      </c>
      <c r="N228" s="27">
        <f>INDEX('Campaign Metadata '!B:B,MATCH(M228,'Campaign Metadata '!A:A,0))</f>
        <v>45717</v>
      </c>
      <c r="O228" s="17">
        <f>INDEX('Campaign Metadata '!C:C,MATCH(M228,'Campaign Metadata '!A:A,0))</f>
        <v>45747</v>
      </c>
      <c r="P228" s="4" t="str">
        <f t="shared" si="3"/>
        <v>DURING</v>
      </c>
    </row>
    <row r="229" spans="1:16" ht="15.75" customHeight="1">
      <c r="A229" s="1" t="s">
        <v>246</v>
      </c>
      <c r="B229" s="3" t="s">
        <v>346</v>
      </c>
      <c r="C229" s="21">
        <v>45442</v>
      </c>
      <c r="D229" s="3" t="s">
        <v>37</v>
      </c>
      <c r="E229" s="3" t="s">
        <v>349</v>
      </c>
      <c r="F229" s="7">
        <v>1060</v>
      </c>
      <c r="G229" s="7">
        <v>442</v>
      </c>
      <c r="H229" s="7">
        <v>319</v>
      </c>
      <c r="I229" s="7">
        <v>57194</v>
      </c>
      <c r="J229" s="7">
        <v>24258</v>
      </c>
      <c r="K229" s="7">
        <v>101</v>
      </c>
      <c r="L229" s="3" t="s">
        <v>357</v>
      </c>
      <c r="M229" s="3" t="s">
        <v>358</v>
      </c>
      <c r="N229" s="27">
        <f>INDEX('Campaign Metadata '!B:B,MATCH(M229,'Campaign Metadata '!A:A,0))</f>
        <v>45458</v>
      </c>
      <c r="O229" s="17">
        <f>INDEX('Campaign Metadata '!C:C,MATCH(M229,'Campaign Metadata '!A:A,0))</f>
        <v>45488</v>
      </c>
      <c r="P229" s="4" t="str">
        <f t="shared" si="3"/>
        <v>BEFORE</v>
      </c>
    </row>
    <row r="230" spans="1:16" ht="15.75" customHeight="1">
      <c r="A230" s="1" t="s">
        <v>247</v>
      </c>
      <c r="B230" s="3" t="s">
        <v>346</v>
      </c>
      <c r="C230" s="21">
        <v>45346</v>
      </c>
      <c r="D230" s="3" t="s">
        <v>15</v>
      </c>
      <c r="E230" s="3" t="s">
        <v>347</v>
      </c>
      <c r="F230" s="7">
        <v>4653</v>
      </c>
      <c r="G230" s="7">
        <v>226</v>
      </c>
      <c r="H230" s="7">
        <v>349</v>
      </c>
      <c r="I230" s="7">
        <v>56876</v>
      </c>
      <c r="J230" s="7">
        <v>28452</v>
      </c>
      <c r="K230" s="7">
        <v>257</v>
      </c>
      <c r="L230" s="3" t="s">
        <v>348</v>
      </c>
      <c r="M230" s="3" t="s">
        <v>342</v>
      </c>
      <c r="N230" s="27">
        <f>INDEX('Campaign Metadata '!B:B,MATCH(M230,'Campaign Metadata '!A:A,0))</f>
        <v>45717</v>
      </c>
      <c r="O230" s="17">
        <f>INDEX('Campaign Metadata '!C:C,MATCH(M230,'Campaign Metadata '!A:A,0))</f>
        <v>45747</v>
      </c>
      <c r="P230" s="4" t="str">
        <f t="shared" si="3"/>
        <v>BEFORE</v>
      </c>
    </row>
    <row r="231" spans="1:16" ht="15.75" customHeight="1">
      <c r="A231" s="1" t="s">
        <v>248</v>
      </c>
      <c r="B231" s="3" t="s">
        <v>346</v>
      </c>
      <c r="C231" s="21">
        <v>45791</v>
      </c>
      <c r="D231" s="3" t="s">
        <v>15</v>
      </c>
      <c r="E231" s="3" t="s">
        <v>337</v>
      </c>
      <c r="F231" s="7">
        <v>1701</v>
      </c>
      <c r="G231" s="7">
        <v>272</v>
      </c>
      <c r="H231" s="7">
        <v>385</v>
      </c>
      <c r="I231" s="7">
        <v>47496</v>
      </c>
      <c r="J231" s="7">
        <v>40832</v>
      </c>
      <c r="K231" s="7">
        <v>246</v>
      </c>
      <c r="L231" s="3" t="s">
        <v>348</v>
      </c>
      <c r="M231" s="3" t="s">
        <v>342</v>
      </c>
      <c r="N231" s="27">
        <f>INDEX('Campaign Metadata '!B:B,MATCH(M231,'Campaign Metadata '!A:A,0))</f>
        <v>45717</v>
      </c>
      <c r="O231" s="17">
        <f>INDEX('Campaign Metadata '!C:C,MATCH(M231,'Campaign Metadata '!A:A,0))</f>
        <v>45747</v>
      </c>
      <c r="P231" s="4" t="str">
        <f t="shared" si="3"/>
        <v>AFTER</v>
      </c>
    </row>
    <row r="232" spans="1:16" ht="15.75" customHeight="1">
      <c r="A232" s="1" t="s">
        <v>249</v>
      </c>
      <c r="B232" s="3" t="s">
        <v>14</v>
      </c>
      <c r="C232" s="21">
        <v>45379</v>
      </c>
      <c r="D232" s="3" t="s">
        <v>15</v>
      </c>
      <c r="E232" s="3" t="s">
        <v>349</v>
      </c>
      <c r="F232" s="7">
        <v>1673</v>
      </c>
      <c r="G232" s="7">
        <v>280</v>
      </c>
      <c r="H232" s="7">
        <v>67</v>
      </c>
      <c r="I232" s="7">
        <v>29847</v>
      </c>
      <c r="J232" s="7">
        <v>48016</v>
      </c>
      <c r="K232" s="7">
        <v>213</v>
      </c>
      <c r="L232" s="3" t="s">
        <v>338</v>
      </c>
      <c r="M232" s="3" t="s">
        <v>339</v>
      </c>
      <c r="N232" s="27">
        <f>INDEX('Campaign Metadata '!B:B,MATCH(M232,'Campaign Metadata '!A:A,0))</f>
        <v>45667</v>
      </c>
      <c r="O232" s="17">
        <f>INDEX('Campaign Metadata '!C:C,MATCH(M232,'Campaign Metadata '!A:A,0))</f>
        <v>45698</v>
      </c>
      <c r="P232" s="4" t="str">
        <f t="shared" si="3"/>
        <v>BEFORE</v>
      </c>
    </row>
    <row r="233" spans="1:16" ht="15.75" customHeight="1">
      <c r="A233" s="1" t="s">
        <v>250</v>
      </c>
      <c r="B233" s="3" t="s">
        <v>346</v>
      </c>
      <c r="C233" s="21">
        <v>45723</v>
      </c>
      <c r="D233" s="3" t="s">
        <v>15</v>
      </c>
      <c r="E233" s="3" t="s">
        <v>352</v>
      </c>
      <c r="F233" s="7">
        <v>4310</v>
      </c>
      <c r="G233" s="7">
        <v>284</v>
      </c>
      <c r="H233" s="7">
        <v>306</v>
      </c>
      <c r="I233" s="7">
        <v>44606</v>
      </c>
      <c r="J233" s="7">
        <v>42604</v>
      </c>
      <c r="K233" s="7">
        <v>290</v>
      </c>
      <c r="L233" s="3" t="s">
        <v>348</v>
      </c>
      <c r="M233" s="3" t="s">
        <v>342</v>
      </c>
      <c r="N233" s="27">
        <f>INDEX('Campaign Metadata '!B:B,MATCH(M233,'Campaign Metadata '!A:A,0))</f>
        <v>45717</v>
      </c>
      <c r="O233" s="17">
        <f>INDEX('Campaign Metadata '!C:C,MATCH(M233,'Campaign Metadata '!A:A,0))</f>
        <v>45747</v>
      </c>
      <c r="P233" s="4" t="str">
        <f t="shared" si="3"/>
        <v>DURING</v>
      </c>
    </row>
    <row r="234" spans="1:16" ht="15.75" customHeight="1">
      <c r="A234" s="1" t="s">
        <v>251</v>
      </c>
      <c r="B234" s="3" t="s">
        <v>18</v>
      </c>
      <c r="C234" s="21">
        <v>45585</v>
      </c>
      <c r="D234" s="3" t="s">
        <v>15</v>
      </c>
      <c r="E234" s="3" t="s">
        <v>355</v>
      </c>
      <c r="F234" s="7">
        <v>2752</v>
      </c>
      <c r="G234" s="7">
        <v>309</v>
      </c>
      <c r="H234" s="7">
        <v>91</v>
      </c>
      <c r="I234" s="7">
        <v>39038</v>
      </c>
      <c r="J234" s="7">
        <v>28095</v>
      </c>
      <c r="K234" s="7">
        <v>277</v>
      </c>
      <c r="L234" s="3" t="s">
        <v>353</v>
      </c>
      <c r="M234" s="3" t="s">
        <v>339</v>
      </c>
      <c r="N234" s="27">
        <f>INDEX('Campaign Metadata '!B:B,MATCH(M234,'Campaign Metadata '!A:A,0))</f>
        <v>45667</v>
      </c>
      <c r="O234" s="17">
        <f>INDEX('Campaign Metadata '!C:C,MATCH(M234,'Campaign Metadata '!A:A,0))</f>
        <v>45698</v>
      </c>
      <c r="P234" s="4" t="str">
        <f t="shared" si="3"/>
        <v>BEFORE</v>
      </c>
    </row>
    <row r="235" spans="1:16" ht="15.75" customHeight="1">
      <c r="A235" s="1" t="s">
        <v>252</v>
      </c>
      <c r="B235" s="3" t="s">
        <v>18</v>
      </c>
      <c r="C235" s="21">
        <v>45324</v>
      </c>
      <c r="D235" s="3" t="s">
        <v>15</v>
      </c>
      <c r="E235" s="3" t="s">
        <v>355</v>
      </c>
      <c r="F235" s="7">
        <v>3818</v>
      </c>
      <c r="G235" s="7">
        <v>115</v>
      </c>
      <c r="H235" s="7">
        <v>286</v>
      </c>
      <c r="I235" s="7">
        <v>25127</v>
      </c>
      <c r="J235" s="7">
        <v>22277</v>
      </c>
      <c r="K235" s="7">
        <v>263</v>
      </c>
      <c r="L235" s="3" t="s">
        <v>353</v>
      </c>
      <c r="M235" s="3" t="s">
        <v>339</v>
      </c>
      <c r="N235" s="27">
        <f>INDEX('Campaign Metadata '!B:B,MATCH(M235,'Campaign Metadata '!A:A,0))</f>
        <v>45667</v>
      </c>
      <c r="O235" s="17">
        <f>INDEX('Campaign Metadata '!C:C,MATCH(M235,'Campaign Metadata '!A:A,0))</f>
        <v>45698</v>
      </c>
      <c r="P235" s="4" t="str">
        <f t="shared" si="3"/>
        <v>BEFORE</v>
      </c>
    </row>
    <row r="236" spans="1:16" ht="15.75" customHeight="1">
      <c r="A236" s="1" t="s">
        <v>253</v>
      </c>
      <c r="B236" s="3" t="s">
        <v>346</v>
      </c>
      <c r="C236" s="21">
        <v>45542</v>
      </c>
      <c r="D236" s="3" t="s">
        <v>15</v>
      </c>
      <c r="E236" s="3" t="s">
        <v>356</v>
      </c>
      <c r="F236" s="7">
        <v>2101</v>
      </c>
      <c r="G236" s="7">
        <v>411</v>
      </c>
      <c r="H236" s="7">
        <v>190</v>
      </c>
      <c r="I236" s="7">
        <v>41791</v>
      </c>
      <c r="J236" s="7">
        <v>57090</v>
      </c>
      <c r="K236" s="7">
        <v>172</v>
      </c>
      <c r="L236" s="3" t="s">
        <v>348</v>
      </c>
      <c r="M236" s="3" t="s">
        <v>342</v>
      </c>
      <c r="N236" s="27">
        <f>INDEX('Campaign Metadata '!B:B,MATCH(M236,'Campaign Metadata '!A:A,0))</f>
        <v>45717</v>
      </c>
      <c r="O236" s="17">
        <f>INDEX('Campaign Metadata '!C:C,MATCH(M236,'Campaign Metadata '!A:A,0))</f>
        <v>45747</v>
      </c>
      <c r="P236" s="4" t="str">
        <f t="shared" si="3"/>
        <v>BEFORE</v>
      </c>
    </row>
    <row r="237" spans="1:16" ht="15.75" customHeight="1">
      <c r="A237" s="1" t="s">
        <v>254</v>
      </c>
      <c r="B237" s="3" t="s">
        <v>14</v>
      </c>
      <c r="C237" s="21">
        <v>45646</v>
      </c>
      <c r="D237" s="3" t="s">
        <v>15</v>
      </c>
      <c r="E237" s="3" t="s">
        <v>337</v>
      </c>
      <c r="F237" s="7">
        <v>2519</v>
      </c>
      <c r="G237" s="7">
        <v>202</v>
      </c>
      <c r="H237" s="7">
        <v>239</v>
      </c>
      <c r="I237" s="7">
        <v>36245</v>
      </c>
      <c r="J237" s="7">
        <v>48606</v>
      </c>
      <c r="K237" s="7">
        <v>145</v>
      </c>
      <c r="L237" s="3" t="s">
        <v>341</v>
      </c>
      <c r="M237" s="3" t="s">
        <v>342</v>
      </c>
      <c r="N237" s="27">
        <f>INDEX('Campaign Metadata '!B:B,MATCH(M237,'Campaign Metadata '!A:A,0))</f>
        <v>45717</v>
      </c>
      <c r="O237" s="17">
        <f>INDEX('Campaign Metadata '!C:C,MATCH(M237,'Campaign Metadata '!A:A,0))</f>
        <v>45747</v>
      </c>
      <c r="P237" s="4" t="str">
        <f t="shared" si="3"/>
        <v>BEFORE</v>
      </c>
    </row>
    <row r="238" spans="1:16" ht="15.75" customHeight="1">
      <c r="A238" s="1" t="s">
        <v>255</v>
      </c>
      <c r="B238" s="3" t="s">
        <v>346</v>
      </c>
      <c r="C238" s="21">
        <v>45305</v>
      </c>
      <c r="D238" s="3" t="s">
        <v>15</v>
      </c>
      <c r="E238" s="3" t="s">
        <v>349</v>
      </c>
      <c r="F238" s="7">
        <v>4502</v>
      </c>
      <c r="G238" s="7">
        <v>238</v>
      </c>
      <c r="H238" s="7">
        <v>386</v>
      </c>
      <c r="I238" s="7">
        <v>39198</v>
      </c>
      <c r="J238" s="7">
        <v>25050</v>
      </c>
      <c r="K238" s="7">
        <v>297</v>
      </c>
      <c r="L238" s="3" t="s">
        <v>348</v>
      </c>
      <c r="M238" s="3" t="s">
        <v>342</v>
      </c>
      <c r="N238" s="27">
        <f>INDEX('Campaign Metadata '!B:B,MATCH(M238,'Campaign Metadata '!A:A,0))</f>
        <v>45717</v>
      </c>
      <c r="O238" s="17">
        <f>INDEX('Campaign Metadata '!C:C,MATCH(M238,'Campaign Metadata '!A:A,0))</f>
        <v>45747</v>
      </c>
      <c r="P238" s="4" t="str">
        <f t="shared" si="3"/>
        <v>BEFORE</v>
      </c>
    </row>
    <row r="239" spans="1:16" ht="15.75" customHeight="1">
      <c r="A239" s="1" t="s">
        <v>256</v>
      </c>
      <c r="B239" s="3" t="s">
        <v>14</v>
      </c>
      <c r="C239" s="21">
        <v>45823</v>
      </c>
      <c r="D239" s="3" t="s">
        <v>15</v>
      </c>
      <c r="E239" s="3" t="s">
        <v>340</v>
      </c>
      <c r="F239" s="7">
        <v>2478</v>
      </c>
      <c r="G239" s="7">
        <v>427</v>
      </c>
      <c r="H239" s="7">
        <v>242</v>
      </c>
      <c r="I239" s="7">
        <v>59272</v>
      </c>
      <c r="J239" s="7">
        <v>37833</v>
      </c>
      <c r="K239" s="7">
        <v>214</v>
      </c>
      <c r="L239" s="3" t="s">
        <v>338</v>
      </c>
      <c r="M239" s="3" t="s">
        <v>339</v>
      </c>
      <c r="N239" s="27">
        <f>INDEX('Campaign Metadata '!B:B,MATCH(M239,'Campaign Metadata '!A:A,0))</f>
        <v>45667</v>
      </c>
      <c r="O239" s="17">
        <f>INDEX('Campaign Metadata '!C:C,MATCH(M239,'Campaign Metadata '!A:A,0))</f>
        <v>45698</v>
      </c>
      <c r="P239" s="4" t="str">
        <f t="shared" si="3"/>
        <v>AFTER</v>
      </c>
    </row>
    <row r="240" spans="1:16" ht="15.75" customHeight="1">
      <c r="A240" s="1" t="s">
        <v>257</v>
      </c>
      <c r="B240" s="3" t="s">
        <v>18</v>
      </c>
      <c r="C240" s="21">
        <v>45639</v>
      </c>
      <c r="D240" s="3" t="s">
        <v>19</v>
      </c>
      <c r="E240" s="3" t="s">
        <v>343</v>
      </c>
      <c r="F240" s="7">
        <v>4984</v>
      </c>
      <c r="G240" s="7">
        <v>300</v>
      </c>
      <c r="H240" s="7">
        <v>338</v>
      </c>
      <c r="I240" s="7">
        <v>32900</v>
      </c>
      <c r="J240" s="7">
        <v>31691</v>
      </c>
      <c r="K240" s="7">
        <v>160</v>
      </c>
      <c r="L240" s="3" t="s">
        <v>344</v>
      </c>
      <c r="M240" s="3" t="s">
        <v>339</v>
      </c>
      <c r="N240" s="27">
        <f>INDEX('Campaign Metadata '!B:B,MATCH(M240,'Campaign Metadata '!A:A,0))</f>
        <v>45667</v>
      </c>
      <c r="O240" s="17">
        <f>INDEX('Campaign Metadata '!C:C,MATCH(M240,'Campaign Metadata '!A:A,0))</f>
        <v>45698</v>
      </c>
      <c r="P240" s="4" t="str">
        <f t="shared" si="3"/>
        <v>BEFORE</v>
      </c>
    </row>
    <row r="241" spans="1:16" ht="15.75" customHeight="1">
      <c r="A241" s="1" t="s">
        <v>258</v>
      </c>
      <c r="B241" s="3" t="s">
        <v>346</v>
      </c>
      <c r="C241" s="21">
        <v>45533</v>
      </c>
      <c r="D241" s="3" t="s">
        <v>15</v>
      </c>
      <c r="E241" s="3" t="s">
        <v>345</v>
      </c>
      <c r="F241" s="7">
        <v>4774</v>
      </c>
      <c r="G241" s="7">
        <v>389</v>
      </c>
      <c r="H241" s="7">
        <v>358</v>
      </c>
      <c r="I241" s="7">
        <v>52346</v>
      </c>
      <c r="J241" s="7">
        <v>30518</v>
      </c>
      <c r="K241" s="7">
        <v>277</v>
      </c>
      <c r="L241" s="3" t="s">
        <v>348</v>
      </c>
      <c r="M241" s="3" t="s">
        <v>342</v>
      </c>
      <c r="N241" s="27">
        <f>INDEX('Campaign Metadata '!B:B,MATCH(M241,'Campaign Metadata '!A:A,0))</f>
        <v>45717</v>
      </c>
      <c r="O241" s="17">
        <f>INDEX('Campaign Metadata '!C:C,MATCH(M241,'Campaign Metadata '!A:A,0))</f>
        <v>45747</v>
      </c>
      <c r="P241" s="4" t="str">
        <f t="shared" si="3"/>
        <v>BEFORE</v>
      </c>
    </row>
    <row r="242" spans="1:16" ht="15.75" customHeight="1">
      <c r="A242" s="1" t="s">
        <v>259</v>
      </c>
      <c r="B242" s="3" t="s">
        <v>18</v>
      </c>
      <c r="C242" s="21">
        <v>45550</v>
      </c>
      <c r="D242" s="3" t="s">
        <v>15</v>
      </c>
      <c r="E242" s="3" t="s">
        <v>350</v>
      </c>
      <c r="F242" s="7">
        <v>2145</v>
      </c>
      <c r="G242" s="7">
        <v>340</v>
      </c>
      <c r="H242" s="7">
        <v>85</v>
      </c>
      <c r="I242" s="7">
        <v>53323</v>
      </c>
      <c r="J242" s="7">
        <v>49938</v>
      </c>
      <c r="K242" s="7">
        <v>104</v>
      </c>
      <c r="L242" s="3" t="s">
        <v>353</v>
      </c>
      <c r="M242" s="3" t="s">
        <v>339</v>
      </c>
      <c r="N242" s="27">
        <f>INDEX('Campaign Metadata '!B:B,MATCH(M242,'Campaign Metadata '!A:A,0))</f>
        <v>45667</v>
      </c>
      <c r="O242" s="17">
        <f>INDEX('Campaign Metadata '!C:C,MATCH(M242,'Campaign Metadata '!A:A,0))</f>
        <v>45698</v>
      </c>
      <c r="P242" s="4" t="str">
        <f t="shared" si="3"/>
        <v>BEFORE</v>
      </c>
    </row>
    <row r="243" spans="1:16" ht="15.75" customHeight="1">
      <c r="A243" s="1" t="s">
        <v>260</v>
      </c>
      <c r="B243" s="3" t="s">
        <v>18</v>
      </c>
      <c r="C243" s="21">
        <v>45759</v>
      </c>
      <c r="D243" s="3" t="s">
        <v>19</v>
      </c>
      <c r="E243" s="3" t="s">
        <v>355</v>
      </c>
      <c r="F243" s="7">
        <v>4315</v>
      </c>
      <c r="G243" s="7">
        <v>208</v>
      </c>
      <c r="H243" s="7">
        <v>273</v>
      </c>
      <c r="I243" s="7">
        <v>35780</v>
      </c>
      <c r="J243" s="7">
        <v>44349</v>
      </c>
      <c r="K243" s="7">
        <v>133</v>
      </c>
      <c r="L243" s="3" t="s">
        <v>351</v>
      </c>
      <c r="M243" s="3" t="s">
        <v>339</v>
      </c>
      <c r="N243" s="27">
        <f>INDEX('Campaign Metadata '!B:B,MATCH(M243,'Campaign Metadata '!A:A,0))</f>
        <v>45667</v>
      </c>
      <c r="O243" s="17">
        <f>INDEX('Campaign Metadata '!C:C,MATCH(M243,'Campaign Metadata '!A:A,0))</f>
        <v>45698</v>
      </c>
      <c r="P243" s="4" t="str">
        <f t="shared" si="3"/>
        <v>AFTER</v>
      </c>
    </row>
    <row r="244" spans="1:16" ht="15.75" customHeight="1">
      <c r="A244" s="1" t="s">
        <v>261</v>
      </c>
      <c r="B244" s="3" t="s">
        <v>18</v>
      </c>
      <c r="C244" s="21">
        <v>45636</v>
      </c>
      <c r="D244" s="3" t="s">
        <v>19</v>
      </c>
      <c r="E244" s="3" t="s">
        <v>345</v>
      </c>
      <c r="F244" s="7">
        <v>2267</v>
      </c>
      <c r="G244" s="7">
        <v>230</v>
      </c>
      <c r="H244" s="7">
        <v>243</v>
      </c>
      <c r="I244" s="7">
        <v>27904</v>
      </c>
      <c r="J244" s="7">
        <v>69771</v>
      </c>
      <c r="K244" s="7">
        <v>255</v>
      </c>
      <c r="L244" s="3" t="s">
        <v>351</v>
      </c>
      <c r="M244" s="3" t="s">
        <v>339</v>
      </c>
      <c r="N244" s="27">
        <f>INDEX('Campaign Metadata '!B:B,MATCH(M244,'Campaign Metadata '!A:A,0))</f>
        <v>45667</v>
      </c>
      <c r="O244" s="17">
        <f>INDEX('Campaign Metadata '!C:C,MATCH(M244,'Campaign Metadata '!A:A,0))</f>
        <v>45698</v>
      </c>
      <c r="P244" s="4" t="str">
        <f t="shared" si="3"/>
        <v>BEFORE</v>
      </c>
    </row>
    <row r="245" spans="1:16" ht="15.75" customHeight="1">
      <c r="A245" s="1" t="s">
        <v>262</v>
      </c>
      <c r="B245" s="3" t="s">
        <v>346</v>
      </c>
      <c r="C245" s="21">
        <v>45816</v>
      </c>
      <c r="D245" s="3" t="s">
        <v>15</v>
      </c>
      <c r="E245" s="3" t="s">
        <v>347</v>
      </c>
      <c r="F245" s="7">
        <v>4375</v>
      </c>
      <c r="G245" s="7">
        <v>303</v>
      </c>
      <c r="H245" s="7">
        <v>294</v>
      </c>
      <c r="I245" s="7">
        <v>57468</v>
      </c>
      <c r="J245" s="7">
        <v>53397</v>
      </c>
      <c r="K245" s="7">
        <v>159</v>
      </c>
      <c r="L245" s="3" t="s">
        <v>348</v>
      </c>
      <c r="M245" s="3" t="s">
        <v>342</v>
      </c>
      <c r="N245" s="27">
        <f>INDEX('Campaign Metadata '!B:B,MATCH(M245,'Campaign Metadata '!A:A,0))</f>
        <v>45717</v>
      </c>
      <c r="O245" s="17">
        <f>INDEX('Campaign Metadata '!C:C,MATCH(M245,'Campaign Metadata '!A:A,0))</f>
        <v>45747</v>
      </c>
      <c r="P245" s="4" t="str">
        <f t="shared" si="3"/>
        <v>AFTER</v>
      </c>
    </row>
    <row r="246" spans="1:16" ht="15.75" customHeight="1">
      <c r="A246" s="1" t="s">
        <v>263</v>
      </c>
      <c r="B246" s="3" t="s">
        <v>18</v>
      </c>
      <c r="C246" s="21">
        <v>45666</v>
      </c>
      <c r="D246" s="3" t="s">
        <v>19</v>
      </c>
      <c r="E246" s="3" t="s">
        <v>356</v>
      </c>
      <c r="F246" s="7">
        <v>3817</v>
      </c>
      <c r="G246" s="7">
        <v>284</v>
      </c>
      <c r="H246" s="7">
        <v>204</v>
      </c>
      <c r="I246" s="7">
        <v>46434</v>
      </c>
      <c r="J246" s="7">
        <v>53396</v>
      </c>
      <c r="K246" s="7">
        <v>104</v>
      </c>
      <c r="L246" s="3" t="s">
        <v>344</v>
      </c>
      <c r="M246" s="3" t="s">
        <v>339</v>
      </c>
      <c r="N246" s="27">
        <f>INDEX('Campaign Metadata '!B:B,MATCH(M246,'Campaign Metadata '!A:A,0))</f>
        <v>45667</v>
      </c>
      <c r="O246" s="17">
        <f>INDEX('Campaign Metadata '!C:C,MATCH(M246,'Campaign Metadata '!A:A,0))</f>
        <v>45698</v>
      </c>
      <c r="P246" s="4" t="str">
        <f t="shared" si="3"/>
        <v>BEFORE</v>
      </c>
    </row>
    <row r="247" spans="1:16" ht="15.75" customHeight="1">
      <c r="A247" s="1" t="s">
        <v>264</v>
      </c>
      <c r="B247" s="3" t="s">
        <v>18</v>
      </c>
      <c r="C247" s="21">
        <v>45481</v>
      </c>
      <c r="D247" s="3" t="s">
        <v>19</v>
      </c>
      <c r="E247" s="3" t="s">
        <v>352</v>
      </c>
      <c r="F247" s="7">
        <v>2981</v>
      </c>
      <c r="G247" s="7">
        <v>258</v>
      </c>
      <c r="H247" s="7">
        <v>168</v>
      </c>
      <c r="I247" s="7">
        <v>20677</v>
      </c>
      <c r="J247" s="7">
        <v>68290</v>
      </c>
      <c r="K247" s="7">
        <v>130</v>
      </c>
      <c r="L247" s="3" t="s">
        <v>338</v>
      </c>
      <c r="M247" s="3" t="s">
        <v>339</v>
      </c>
      <c r="N247" s="27">
        <f>INDEX('Campaign Metadata '!B:B,MATCH(M247,'Campaign Metadata '!A:A,0))</f>
        <v>45667</v>
      </c>
      <c r="O247" s="17">
        <f>INDEX('Campaign Metadata '!C:C,MATCH(M247,'Campaign Metadata '!A:A,0))</f>
        <v>45698</v>
      </c>
      <c r="P247" s="4" t="str">
        <f t="shared" si="3"/>
        <v>BEFORE</v>
      </c>
    </row>
    <row r="248" spans="1:16" ht="15.75" customHeight="1">
      <c r="A248" s="1" t="s">
        <v>265</v>
      </c>
      <c r="B248" s="3" t="s">
        <v>18</v>
      </c>
      <c r="C248" s="21">
        <v>45551</v>
      </c>
      <c r="D248" s="3" t="s">
        <v>19</v>
      </c>
      <c r="E248" s="3" t="s">
        <v>356</v>
      </c>
      <c r="F248" s="7">
        <v>3300</v>
      </c>
      <c r="G248" s="7">
        <v>354</v>
      </c>
      <c r="H248" s="7">
        <v>397</v>
      </c>
      <c r="I248" s="7">
        <v>56773</v>
      </c>
      <c r="J248" s="7">
        <v>72110</v>
      </c>
      <c r="K248" s="7">
        <v>163</v>
      </c>
      <c r="L248" s="3" t="s">
        <v>351</v>
      </c>
      <c r="M248" s="3" t="s">
        <v>339</v>
      </c>
      <c r="N248" s="27">
        <f>INDEX('Campaign Metadata '!B:B,MATCH(M248,'Campaign Metadata '!A:A,0))</f>
        <v>45667</v>
      </c>
      <c r="O248" s="17">
        <f>INDEX('Campaign Metadata '!C:C,MATCH(M248,'Campaign Metadata '!A:A,0))</f>
        <v>45698</v>
      </c>
      <c r="P248" s="4" t="str">
        <f t="shared" si="3"/>
        <v>BEFORE</v>
      </c>
    </row>
    <row r="249" spans="1:16" ht="15.75" customHeight="1">
      <c r="A249" s="1" t="s">
        <v>266</v>
      </c>
      <c r="B249" s="3" t="s">
        <v>346</v>
      </c>
      <c r="C249" s="21">
        <v>45457</v>
      </c>
      <c r="D249" s="3" t="s">
        <v>37</v>
      </c>
      <c r="E249" s="3" t="s">
        <v>345</v>
      </c>
      <c r="F249" s="7">
        <v>4722</v>
      </c>
      <c r="G249" s="7">
        <v>310</v>
      </c>
      <c r="H249" s="7">
        <v>344</v>
      </c>
      <c r="I249" s="7">
        <v>27911</v>
      </c>
      <c r="J249" s="7">
        <v>19000</v>
      </c>
      <c r="K249" s="7">
        <v>225</v>
      </c>
      <c r="L249" s="3" t="s">
        <v>357</v>
      </c>
      <c r="M249" s="3" t="s">
        <v>358</v>
      </c>
      <c r="N249" s="27">
        <f>INDEX('Campaign Metadata '!B:B,MATCH(M249,'Campaign Metadata '!A:A,0))</f>
        <v>45458</v>
      </c>
      <c r="O249" s="17">
        <f>INDEX('Campaign Metadata '!C:C,MATCH(M249,'Campaign Metadata '!A:A,0))</f>
        <v>45488</v>
      </c>
      <c r="P249" s="4" t="str">
        <f t="shared" si="3"/>
        <v>BEFORE</v>
      </c>
    </row>
    <row r="250" spans="1:16" ht="15.75" customHeight="1">
      <c r="A250" s="1" t="s">
        <v>267</v>
      </c>
      <c r="B250" s="3" t="s">
        <v>14</v>
      </c>
      <c r="C250" s="21">
        <v>45357</v>
      </c>
      <c r="D250" s="3" t="s">
        <v>15</v>
      </c>
      <c r="E250" s="3" t="s">
        <v>349</v>
      </c>
      <c r="F250" s="7">
        <v>3529</v>
      </c>
      <c r="G250" s="7">
        <v>263</v>
      </c>
      <c r="H250" s="7">
        <v>107</v>
      </c>
      <c r="I250" s="7">
        <v>26570</v>
      </c>
      <c r="J250" s="7">
        <v>19367</v>
      </c>
      <c r="K250" s="7">
        <v>96</v>
      </c>
      <c r="L250" s="3" t="s">
        <v>341</v>
      </c>
      <c r="M250" s="3" t="s">
        <v>342</v>
      </c>
      <c r="N250" s="27">
        <f>INDEX('Campaign Metadata '!B:B,MATCH(M250,'Campaign Metadata '!A:A,0))</f>
        <v>45717</v>
      </c>
      <c r="O250" s="17">
        <f>INDEX('Campaign Metadata '!C:C,MATCH(M250,'Campaign Metadata '!A:A,0))</f>
        <v>45747</v>
      </c>
      <c r="P250" s="4" t="str">
        <f t="shared" si="3"/>
        <v>BEFORE</v>
      </c>
    </row>
    <row r="251" spans="1:16" ht="15.75" customHeight="1">
      <c r="A251" s="1" t="s">
        <v>268</v>
      </c>
      <c r="B251" s="3" t="s">
        <v>18</v>
      </c>
      <c r="C251" s="21">
        <v>45792</v>
      </c>
      <c r="D251" s="3" t="s">
        <v>15</v>
      </c>
      <c r="E251" s="3" t="s">
        <v>356</v>
      </c>
      <c r="F251" s="7">
        <v>4782</v>
      </c>
      <c r="G251" s="7">
        <v>210</v>
      </c>
      <c r="H251" s="7">
        <v>311</v>
      </c>
      <c r="I251" s="7">
        <v>29793</v>
      </c>
      <c r="J251" s="7">
        <v>37543</v>
      </c>
      <c r="K251" s="7">
        <v>145</v>
      </c>
      <c r="L251" s="3" t="s">
        <v>353</v>
      </c>
      <c r="M251" s="3" t="s">
        <v>339</v>
      </c>
      <c r="N251" s="27">
        <f>INDEX('Campaign Metadata '!B:B,MATCH(M251,'Campaign Metadata '!A:A,0))</f>
        <v>45667</v>
      </c>
      <c r="O251" s="17">
        <f>INDEX('Campaign Metadata '!C:C,MATCH(M251,'Campaign Metadata '!A:A,0))</f>
        <v>45698</v>
      </c>
      <c r="P251" s="4" t="str">
        <f t="shared" si="3"/>
        <v>AFTER</v>
      </c>
    </row>
    <row r="252" spans="1:16" ht="15.75" customHeight="1">
      <c r="A252" s="1" t="s">
        <v>269</v>
      </c>
      <c r="B252" s="3" t="s">
        <v>18</v>
      </c>
      <c r="C252" s="21">
        <v>45480</v>
      </c>
      <c r="D252" s="3" t="s">
        <v>15</v>
      </c>
      <c r="E252" s="3" t="s">
        <v>349</v>
      </c>
      <c r="F252" s="7">
        <v>1848</v>
      </c>
      <c r="G252" s="7">
        <v>417</v>
      </c>
      <c r="H252" s="7">
        <v>294</v>
      </c>
      <c r="I252" s="7">
        <v>57819</v>
      </c>
      <c r="J252" s="7">
        <v>19798</v>
      </c>
      <c r="K252" s="7">
        <v>262</v>
      </c>
      <c r="L252" s="3" t="s">
        <v>354</v>
      </c>
      <c r="M252" s="3" t="s">
        <v>342</v>
      </c>
      <c r="N252" s="27">
        <f>INDEX('Campaign Metadata '!B:B,MATCH(M252,'Campaign Metadata '!A:A,0))</f>
        <v>45717</v>
      </c>
      <c r="O252" s="17">
        <f>INDEX('Campaign Metadata '!C:C,MATCH(M252,'Campaign Metadata '!A:A,0))</f>
        <v>45747</v>
      </c>
      <c r="P252" s="4" t="str">
        <f t="shared" si="3"/>
        <v>BEFORE</v>
      </c>
    </row>
    <row r="253" spans="1:16" ht="15.75" customHeight="1">
      <c r="A253" s="1" t="s">
        <v>270</v>
      </c>
      <c r="B253" s="3" t="s">
        <v>346</v>
      </c>
      <c r="C253" s="21">
        <v>45591</v>
      </c>
      <c r="D253" s="3" t="s">
        <v>15</v>
      </c>
      <c r="E253" s="3" t="s">
        <v>343</v>
      </c>
      <c r="F253" s="7">
        <v>4676</v>
      </c>
      <c r="G253" s="7">
        <v>211</v>
      </c>
      <c r="H253" s="7">
        <v>55</v>
      </c>
      <c r="I253" s="7">
        <v>45917</v>
      </c>
      <c r="J253" s="7">
        <v>73503</v>
      </c>
      <c r="K253" s="7">
        <v>248</v>
      </c>
      <c r="L253" s="3" t="s">
        <v>348</v>
      </c>
      <c r="M253" s="3" t="s">
        <v>342</v>
      </c>
      <c r="N253" s="27">
        <f>INDEX('Campaign Metadata '!B:B,MATCH(M253,'Campaign Metadata '!A:A,0))</f>
        <v>45717</v>
      </c>
      <c r="O253" s="17">
        <f>INDEX('Campaign Metadata '!C:C,MATCH(M253,'Campaign Metadata '!A:A,0))</f>
        <v>45747</v>
      </c>
      <c r="P253" s="4" t="str">
        <f t="shared" si="3"/>
        <v>BEFORE</v>
      </c>
    </row>
    <row r="254" spans="1:16" ht="15.75" customHeight="1">
      <c r="A254" s="1" t="s">
        <v>271</v>
      </c>
      <c r="B254" s="3" t="s">
        <v>346</v>
      </c>
      <c r="C254" s="21">
        <v>45512</v>
      </c>
      <c r="D254" s="3" t="s">
        <v>15</v>
      </c>
      <c r="E254" s="3" t="s">
        <v>355</v>
      </c>
      <c r="F254" s="7">
        <v>1994</v>
      </c>
      <c r="G254" s="7">
        <v>197</v>
      </c>
      <c r="H254" s="7">
        <v>290</v>
      </c>
      <c r="I254" s="7">
        <v>49500</v>
      </c>
      <c r="J254" s="7">
        <v>23343</v>
      </c>
      <c r="K254" s="7">
        <v>160</v>
      </c>
      <c r="L254" s="3" t="s">
        <v>348</v>
      </c>
      <c r="M254" s="3" t="s">
        <v>342</v>
      </c>
      <c r="N254" s="27">
        <f>INDEX('Campaign Metadata '!B:B,MATCH(M254,'Campaign Metadata '!A:A,0))</f>
        <v>45717</v>
      </c>
      <c r="O254" s="17">
        <f>INDEX('Campaign Metadata '!C:C,MATCH(M254,'Campaign Metadata '!A:A,0))</f>
        <v>45747</v>
      </c>
      <c r="P254" s="4" t="str">
        <f t="shared" si="3"/>
        <v>BEFORE</v>
      </c>
    </row>
    <row r="255" spans="1:16" ht="15.75" customHeight="1">
      <c r="A255" s="1" t="s">
        <v>272</v>
      </c>
      <c r="B255" s="3" t="s">
        <v>18</v>
      </c>
      <c r="C255" s="21">
        <v>45691</v>
      </c>
      <c r="D255" s="3" t="s">
        <v>15</v>
      </c>
      <c r="E255" s="3" t="s">
        <v>349</v>
      </c>
      <c r="F255" s="7">
        <v>4995</v>
      </c>
      <c r="G255" s="7">
        <v>231</v>
      </c>
      <c r="H255" s="7">
        <v>94</v>
      </c>
      <c r="I255" s="7">
        <v>34431</v>
      </c>
      <c r="J255" s="7">
        <v>32560</v>
      </c>
      <c r="K255" s="7">
        <v>262</v>
      </c>
      <c r="L255" s="3" t="s">
        <v>353</v>
      </c>
      <c r="M255" s="3" t="s">
        <v>339</v>
      </c>
      <c r="N255" s="27">
        <f>INDEX('Campaign Metadata '!B:B,MATCH(M255,'Campaign Metadata '!A:A,0))</f>
        <v>45667</v>
      </c>
      <c r="O255" s="17">
        <f>INDEX('Campaign Metadata '!C:C,MATCH(M255,'Campaign Metadata '!A:A,0))</f>
        <v>45698</v>
      </c>
      <c r="P255" s="4" t="str">
        <f t="shared" si="3"/>
        <v>DURING</v>
      </c>
    </row>
    <row r="256" spans="1:16" ht="15.75" customHeight="1">
      <c r="A256" s="1" t="s">
        <v>273</v>
      </c>
      <c r="B256" s="3" t="s">
        <v>18</v>
      </c>
      <c r="C256" s="21">
        <v>45385</v>
      </c>
      <c r="D256" s="3" t="s">
        <v>19</v>
      </c>
      <c r="E256" s="3" t="s">
        <v>352</v>
      </c>
      <c r="F256" s="7">
        <v>2291</v>
      </c>
      <c r="G256" s="7">
        <v>146</v>
      </c>
      <c r="H256" s="7">
        <v>399</v>
      </c>
      <c r="I256" s="7">
        <v>49319</v>
      </c>
      <c r="J256" s="7">
        <v>28056</v>
      </c>
      <c r="K256" s="7">
        <v>90</v>
      </c>
      <c r="L256" s="3" t="s">
        <v>351</v>
      </c>
      <c r="M256" s="3" t="s">
        <v>339</v>
      </c>
      <c r="N256" s="27">
        <f>INDEX('Campaign Metadata '!B:B,MATCH(M256,'Campaign Metadata '!A:A,0))</f>
        <v>45667</v>
      </c>
      <c r="O256" s="17">
        <f>INDEX('Campaign Metadata '!C:C,MATCH(M256,'Campaign Metadata '!A:A,0))</f>
        <v>45698</v>
      </c>
      <c r="P256" s="4" t="str">
        <f t="shared" si="3"/>
        <v>BEFORE</v>
      </c>
    </row>
    <row r="257" spans="1:16" ht="15.75" customHeight="1">
      <c r="A257" s="1" t="s">
        <v>274</v>
      </c>
      <c r="B257" s="3" t="s">
        <v>18</v>
      </c>
      <c r="C257" s="21">
        <v>45481</v>
      </c>
      <c r="D257" s="3" t="s">
        <v>19</v>
      </c>
      <c r="E257" s="3" t="s">
        <v>345</v>
      </c>
      <c r="F257" s="7">
        <v>2304</v>
      </c>
      <c r="G257" s="7">
        <v>289</v>
      </c>
      <c r="H257" s="7">
        <v>161</v>
      </c>
      <c r="I257" s="7">
        <v>52645</v>
      </c>
      <c r="J257" s="7">
        <v>66262</v>
      </c>
      <c r="K257" s="7">
        <v>146</v>
      </c>
      <c r="L257" s="3" t="s">
        <v>344</v>
      </c>
      <c r="M257" s="3" t="s">
        <v>339</v>
      </c>
      <c r="N257" s="27">
        <f>INDEX('Campaign Metadata '!B:B,MATCH(M257,'Campaign Metadata '!A:A,0))</f>
        <v>45667</v>
      </c>
      <c r="O257" s="17">
        <f>INDEX('Campaign Metadata '!C:C,MATCH(M257,'Campaign Metadata '!A:A,0))</f>
        <v>45698</v>
      </c>
      <c r="P257" s="4" t="str">
        <f t="shared" si="3"/>
        <v>BEFORE</v>
      </c>
    </row>
    <row r="258" spans="1:16" ht="15.75" customHeight="1">
      <c r="A258" s="1" t="s">
        <v>275</v>
      </c>
      <c r="B258" s="3" t="s">
        <v>18</v>
      </c>
      <c r="C258" s="21">
        <v>45451</v>
      </c>
      <c r="D258" s="3" t="s">
        <v>19</v>
      </c>
      <c r="E258" s="3" t="s">
        <v>352</v>
      </c>
      <c r="F258" s="7">
        <v>3413</v>
      </c>
      <c r="G258" s="7">
        <v>326</v>
      </c>
      <c r="H258" s="7">
        <v>86</v>
      </c>
      <c r="I258" s="7">
        <v>44680</v>
      </c>
      <c r="J258" s="7">
        <v>52719</v>
      </c>
      <c r="K258" s="7">
        <v>272</v>
      </c>
      <c r="L258" s="3" t="s">
        <v>351</v>
      </c>
      <c r="M258" s="3" t="s">
        <v>339</v>
      </c>
      <c r="N258" s="27">
        <f>INDEX('Campaign Metadata '!B:B,MATCH(M258,'Campaign Metadata '!A:A,0))</f>
        <v>45667</v>
      </c>
      <c r="O258" s="17">
        <f>INDEX('Campaign Metadata '!C:C,MATCH(M258,'Campaign Metadata '!A:A,0))</f>
        <v>45698</v>
      </c>
      <c r="P258" s="4" t="str">
        <f t="shared" si="3"/>
        <v>BEFORE</v>
      </c>
    </row>
    <row r="259" spans="1:16" ht="15.75" customHeight="1">
      <c r="A259" s="1" t="s">
        <v>276</v>
      </c>
      <c r="B259" s="3" t="s">
        <v>346</v>
      </c>
      <c r="C259" s="21">
        <v>45736</v>
      </c>
      <c r="D259" s="3" t="s">
        <v>37</v>
      </c>
      <c r="E259" s="3" t="s">
        <v>355</v>
      </c>
      <c r="F259" s="7">
        <v>1453</v>
      </c>
      <c r="G259" s="7">
        <v>156</v>
      </c>
      <c r="H259" s="7">
        <v>178</v>
      </c>
      <c r="I259" s="7">
        <v>52980</v>
      </c>
      <c r="J259" s="7">
        <v>57180</v>
      </c>
      <c r="K259" s="7">
        <v>286</v>
      </c>
      <c r="L259" s="3" t="s">
        <v>357</v>
      </c>
      <c r="M259" s="3" t="s">
        <v>358</v>
      </c>
      <c r="N259" s="27">
        <f>INDEX('Campaign Metadata '!B:B,MATCH(M259,'Campaign Metadata '!A:A,0))</f>
        <v>45458</v>
      </c>
      <c r="O259" s="17">
        <f>INDEX('Campaign Metadata '!C:C,MATCH(M259,'Campaign Metadata '!A:A,0))</f>
        <v>45488</v>
      </c>
      <c r="P259" s="4" t="str">
        <f t="shared" ref="P259:P301" si="4">IF(AND(C259&lt;=O259,C259&gt;=N259),"DURING",IF(C259&lt;O259,"BEFORE", "AFTER"))</f>
        <v>AFTER</v>
      </c>
    </row>
    <row r="260" spans="1:16" ht="15.75" customHeight="1">
      <c r="A260" s="1" t="s">
        <v>277</v>
      </c>
      <c r="B260" s="3" t="s">
        <v>18</v>
      </c>
      <c r="C260" s="21">
        <v>45676</v>
      </c>
      <c r="D260" s="3" t="s">
        <v>19</v>
      </c>
      <c r="E260" s="3" t="s">
        <v>347</v>
      </c>
      <c r="F260" s="7">
        <v>1651</v>
      </c>
      <c r="G260" s="7">
        <v>480</v>
      </c>
      <c r="H260" s="7">
        <v>282</v>
      </c>
      <c r="I260" s="7">
        <v>32140</v>
      </c>
      <c r="J260" s="7">
        <v>70560</v>
      </c>
      <c r="K260" s="7">
        <v>138</v>
      </c>
      <c r="L260" s="3" t="s">
        <v>338</v>
      </c>
      <c r="M260" s="3" t="s">
        <v>339</v>
      </c>
      <c r="N260" s="27">
        <f>INDEX('Campaign Metadata '!B:B,MATCH(M260,'Campaign Metadata '!A:A,0))</f>
        <v>45667</v>
      </c>
      <c r="O260" s="17">
        <f>INDEX('Campaign Metadata '!C:C,MATCH(M260,'Campaign Metadata '!A:A,0))</f>
        <v>45698</v>
      </c>
      <c r="P260" s="4" t="str">
        <f t="shared" si="4"/>
        <v>DURING</v>
      </c>
    </row>
    <row r="261" spans="1:16" ht="15.75" customHeight="1">
      <c r="A261" s="1" t="s">
        <v>278</v>
      </c>
      <c r="B261" s="3" t="s">
        <v>18</v>
      </c>
      <c r="C261" s="21">
        <v>45662</v>
      </c>
      <c r="D261" s="3" t="s">
        <v>19</v>
      </c>
      <c r="E261" s="3" t="s">
        <v>340</v>
      </c>
      <c r="F261" s="7">
        <v>3341</v>
      </c>
      <c r="G261" s="7">
        <v>154</v>
      </c>
      <c r="H261" s="7">
        <v>123</v>
      </c>
      <c r="I261" s="7">
        <v>43369</v>
      </c>
      <c r="J261" s="7">
        <v>49035</v>
      </c>
      <c r="K261" s="7">
        <v>128</v>
      </c>
      <c r="L261" s="3" t="s">
        <v>344</v>
      </c>
      <c r="M261" s="3" t="s">
        <v>339</v>
      </c>
      <c r="N261" s="27">
        <f>INDEX('Campaign Metadata '!B:B,MATCH(M261,'Campaign Metadata '!A:A,0))</f>
        <v>45667</v>
      </c>
      <c r="O261" s="17">
        <f>INDEX('Campaign Metadata '!C:C,MATCH(M261,'Campaign Metadata '!A:A,0))</f>
        <v>45698</v>
      </c>
      <c r="P261" s="4" t="str">
        <f t="shared" si="4"/>
        <v>BEFORE</v>
      </c>
    </row>
    <row r="262" spans="1:16" ht="15.75" customHeight="1">
      <c r="A262" s="1" t="s">
        <v>279</v>
      </c>
      <c r="B262" s="3" t="s">
        <v>18</v>
      </c>
      <c r="C262" s="21">
        <v>45612</v>
      </c>
      <c r="D262" s="3" t="s">
        <v>15</v>
      </c>
      <c r="E262" s="3" t="s">
        <v>355</v>
      </c>
      <c r="F262" s="7">
        <v>2972</v>
      </c>
      <c r="G262" s="7">
        <v>263</v>
      </c>
      <c r="H262" s="7">
        <v>308</v>
      </c>
      <c r="I262" s="7">
        <v>51740</v>
      </c>
      <c r="J262" s="7">
        <v>28214</v>
      </c>
      <c r="K262" s="7">
        <v>190</v>
      </c>
      <c r="L262" s="3" t="s">
        <v>354</v>
      </c>
      <c r="M262" s="3" t="s">
        <v>342</v>
      </c>
      <c r="N262" s="27">
        <f>INDEX('Campaign Metadata '!B:B,MATCH(M262,'Campaign Metadata '!A:A,0))</f>
        <v>45717</v>
      </c>
      <c r="O262" s="17">
        <f>INDEX('Campaign Metadata '!C:C,MATCH(M262,'Campaign Metadata '!A:A,0))</f>
        <v>45747</v>
      </c>
      <c r="P262" s="4" t="str">
        <f t="shared" si="4"/>
        <v>BEFORE</v>
      </c>
    </row>
    <row r="263" spans="1:16" ht="15.75" customHeight="1">
      <c r="A263" s="1" t="s">
        <v>280</v>
      </c>
      <c r="B263" s="3" t="s">
        <v>18</v>
      </c>
      <c r="C263" s="21">
        <v>45626</v>
      </c>
      <c r="D263" s="3" t="s">
        <v>19</v>
      </c>
      <c r="E263" s="3" t="s">
        <v>340</v>
      </c>
      <c r="F263" s="7">
        <v>4963</v>
      </c>
      <c r="G263" s="7">
        <v>255</v>
      </c>
      <c r="H263" s="7">
        <v>193</v>
      </c>
      <c r="I263" s="7">
        <v>44386</v>
      </c>
      <c r="J263" s="7">
        <v>28415</v>
      </c>
      <c r="K263" s="7">
        <v>174</v>
      </c>
      <c r="L263" s="3" t="s">
        <v>344</v>
      </c>
      <c r="M263" s="3" t="s">
        <v>339</v>
      </c>
      <c r="N263" s="27">
        <f>INDEX('Campaign Metadata '!B:B,MATCH(M263,'Campaign Metadata '!A:A,0))</f>
        <v>45667</v>
      </c>
      <c r="O263" s="17">
        <f>INDEX('Campaign Metadata '!C:C,MATCH(M263,'Campaign Metadata '!A:A,0))</f>
        <v>45698</v>
      </c>
      <c r="P263" s="4" t="str">
        <f t="shared" si="4"/>
        <v>BEFORE</v>
      </c>
    </row>
    <row r="264" spans="1:16" ht="15.75" customHeight="1">
      <c r="A264" s="1" t="s">
        <v>281</v>
      </c>
      <c r="B264" s="3" t="s">
        <v>346</v>
      </c>
      <c r="C264" s="21">
        <v>45378</v>
      </c>
      <c r="D264" s="3" t="s">
        <v>15</v>
      </c>
      <c r="E264" s="3" t="s">
        <v>347</v>
      </c>
      <c r="F264" s="7">
        <v>2399</v>
      </c>
      <c r="G264" s="7">
        <v>191</v>
      </c>
      <c r="H264" s="7">
        <v>221</v>
      </c>
      <c r="I264" s="7">
        <v>51603</v>
      </c>
      <c r="J264" s="7">
        <v>40033</v>
      </c>
      <c r="K264" s="7">
        <v>173</v>
      </c>
      <c r="L264" s="3" t="s">
        <v>348</v>
      </c>
      <c r="M264" s="3" t="s">
        <v>342</v>
      </c>
      <c r="N264" s="27">
        <f>INDEX('Campaign Metadata '!B:B,MATCH(M264,'Campaign Metadata '!A:A,0))</f>
        <v>45717</v>
      </c>
      <c r="O264" s="17">
        <f>INDEX('Campaign Metadata '!C:C,MATCH(M264,'Campaign Metadata '!A:A,0))</f>
        <v>45747</v>
      </c>
      <c r="P264" s="4" t="str">
        <f t="shared" si="4"/>
        <v>BEFORE</v>
      </c>
    </row>
    <row r="265" spans="1:16" ht="15.75" customHeight="1">
      <c r="A265" s="1" t="s">
        <v>282</v>
      </c>
      <c r="B265" s="3" t="s">
        <v>346</v>
      </c>
      <c r="C265" s="21">
        <v>45808</v>
      </c>
      <c r="D265" s="3" t="s">
        <v>37</v>
      </c>
      <c r="E265" s="3" t="s">
        <v>350</v>
      </c>
      <c r="F265" s="7">
        <v>2162</v>
      </c>
      <c r="G265" s="7">
        <v>318</v>
      </c>
      <c r="H265" s="7">
        <v>83</v>
      </c>
      <c r="I265" s="7">
        <v>46719</v>
      </c>
      <c r="J265" s="7">
        <v>20482</v>
      </c>
      <c r="K265" s="7">
        <v>185</v>
      </c>
      <c r="L265" s="3" t="s">
        <v>357</v>
      </c>
      <c r="M265" s="3" t="s">
        <v>358</v>
      </c>
      <c r="N265" s="27">
        <f>INDEX('Campaign Metadata '!B:B,MATCH(M265,'Campaign Metadata '!A:A,0))</f>
        <v>45458</v>
      </c>
      <c r="O265" s="17">
        <f>INDEX('Campaign Metadata '!C:C,MATCH(M265,'Campaign Metadata '!A:A,0))</f>
        <v>45488</v>
      </c>
      <c r="P265" s="4" t="str">
        <f t="shared" si="4"/>
        <v>AFTER</v>
      </c>
    </row>
    <row r="266" spans="1:16" ht="15.75" customHeight="1">
      <c r="A266" s="1" t="s">
        <v>283</v>
      </c>
      <c r="B266" s="3" t="s">
        <v>18</v>
      </c>
      <c r="C266" s="21">
        <v>45825</v>
      </c>
      <c r="D266" s="3" t="s">
        <v>19</v>
      </c>
      <c r="E266" s="3" t="s">
        <v>340</v>
      </c>
      <c r="F266" s="7">
        <v>4341</v>
      </c>
      <c r="G266" s="7">
        <v>141</v>
      </c>
      <c r="H266" s="7">
        <v>63</v>
      </c>
      <c r="I266" s="7">
        <v>50081</v>
      </c>
      <c r="J266" s="7">
        <v>27507</v>
      </c>
      <c r="K266" s="7">
        <v>221</v>
      </c>
      <c r="L266" s="3" t="s">
        <v>351</v>
      </c>
      <c r="M266" s="3" t="s">
        <v>339</v>
      </c>
      <c r="N266" s="27">
        <f>INDEX('Campaign Metadata '!B:B,MATCH(M266,'Campaign Metadata '!A:A,0))</f>
        <v>45667</v>
      </c>
      <c r="O266" s="17">
        <f>INDEX('Campaign Metadata '!C:C,MATCH(M266,'Campaign Metadata '!A:A,0))</f>
        <v>45698</v>
      </c>
      <c r="P266" s="4" t="str">
        <f t="shared" si="4"/>
        <v>AFTER</v>
      </c>
    </row>
    <row r="267" spans="1:16" ht="15.75" customHeight="1">
      <c r="A267" s="1" t="s">
        <v>284</v>
      </c>
      <c r="B267" s="3" t="s">
        <v>14</v>
      </c>
      <c r="C267" s="21">
        <v>45442</v>
      </c>
      <c r="D267" s="3" t="s">
        <v>19</v>
      </c>
      <c r="E267" s="3" t="s">
        <v>350</v>
      </c>
      <c r="F267" s="7">
        <v>2448</v>
      </c>
      <c r="G267" s="7">
        <v>464</v>
      </c>
      <c r="H267" s="7">
        <v>98</v>
      </c>
      <c r="I267" s="7">
        <v>25737</v>
      </c>
      <c r="J267" s="7">
        <v>48545</v>
      </c>
      <c r="K267" s="7">
        <v>246</v>
      </c>
      <c r="L267" s="3" t="s">
        <v>353</v>
      </c>
      <c r="M267" s="3" t="s">
        <v>35</v>
      </c>
      <c r="N267" s="27">
        <f>INDEX('Campaign Metadata '!B:B,MATCH(M267,'Campaign Metadata '!A:A,0))</f>
        <v>45627</v>
      </c>
      <c r="O267" s="17">
        <f>INDEX('Campaign Metadata '!C:C,MATCH(M267,'Campaign Metadata '!A:A,0))</f>
        <v>45657</v>
      </c>
      <c r="P267" s="4" t="str">
        <f t="shared" si="4"/>
        <v>BEFORE</v>
      </c>
    </row>
    <row r="268" spans="1:16" ht="15.75" customHeight="1">
      <c r="A268" s="1" t="s">
        <v>285</v>
      </c>
      <c r="B268" s="3" t="s">
        <v>346</v>
      </c>
      <c r="C268" s="21">
        <v>45604</v>
      </c>
      <c r="D268" s="3" t="s">
        <v>15</v>
      </c>
      <c r="E268" s="3" t="s">
        <v>352</v>
      </c>
      <c r="F268" s="7">
        <v>2471</v>
      </c>
      <c r="G268" s="7">
        <v>166</v>
      </c>
      <c r="H268" s="7">
        <v>320</v>
      </c>
      <c r="I268" s="7">
        <v>48254</v>
      </c>
      <c r="J268" s="7">
        <v>46900</v>
      </c>
      <c r="K268" s="7">
        <v>111</v>
      </c>
      <c r="L268" s="3" t="s">
        <v>348</v>
      </c>
      <c r="M268" s="3" t="s">
        <v>342</v>
      </c>
      <c r="N268" s="27">
        <f>INDEX('Campaign Metadata '!B:B,MATCH(M268,'Campaign Metadata '!A:A,0))</f>
        <v>45717</v>
      </c>
      <c r="O268" s="17">
        <f>INDEX('Campaign Metadata '!C:C,MATCH(M268,'Campaign Metadata '!A:A,0))</f>
        <v>45747</v>
      </c>
      <c r="P268" s="4" t="str">
        <f t="shared" si="4"/>
        <v>BEFORE</v>
      </c>
    </row>
    <row r="269" spans="1:16" ht="15.75" customHeight="1">
      <c r="A269" s="1" t="s">
        <v>286</v>
      </c>
      <c r="B269" s="3" t="s">
        <v>346</v>
      </c>
      <c r="C269" s="21">
        <v>45368</v>
      </c>
      <c r="D269" s="3" t="s">
        <v>37</v>
      </c>
      <c r="E269" s="3" t="s">
        <v>340</v>
      </c>
      <c r="F269" s="7">
        <v>2692</v>
      </c>
      <c r="G269" s="7">
        <v>446</v>
      </c>
      <c r="H269" s="7">
        <v>216</v>
      </c>
      <c r="I269" s="7">
        <v>45818</v>
      </c>
      <c r="J269" s="7">
        <v>62723</v>
      </c>
      <c r="K269" s="7">
        <v>85</v>
      </c>
      <c r="L269" s="3" t="s">
        <v>357</v>
      </c>
      <c r="M269" s="3" t="s">
        <v>358</v>
      </c>
      <c r="N269" s="27">
        <f>INDEX('Campaign Metadata '!B:B,MATCH(M269,'Campaign Metadata '!A:A,0))</f>
        <v>45458</v>
      </c>
      <c r="O269" s="17">
        <f>INDEX('Campaign Metadata '!C:C,MATCH(M269,'Campaign Metadata '!A:A,0))</f>
        <v>45488</v>
      </c>
      <c r="P269" s="4" t="str">
        <f t="shared" si="4"/>
        <v>BEFORE</v>
      </c>
    </row>
    <row r="270" spans="1:16" ht="15.75" customHeight="1">
      <c r="A270" s="1" t="s">
        <v>287</v>
      </c>
      <c r="B270" s="3" t="s">
        <v>346</v>
      </c>
      <c r="C270" s="21">
        <v>45464</v>
      </c>
      <c r="D270" s="3" t="s">
        <v>37</v>
      </c>
      <c r="E270" s="3" t="s">
        <v>347</v>
      </c>
      <c r="F270" s="7">
        <v>4621</v>
      </c>
      <c r="G270" s="7">
        <v>374</v>
      </c>
      <c r="H270" s="7">
        <v>298</v>
      </c>
      <c r="I270" s="7">
        <v>56979</v>
      </c>
      <c r="J270" s="7">
        <v>24098</v>
      </c>
      <c r="K270" s="7">
        <v>205</v>
      </c>
      <c r="L270" s="3" t="s">
        <v>357</v>
      </c>
      <c r="M270" s="3" t="s">
        <v>358</v>
      </c>
      <c r="N270" s="27">
        <f>INDEX('Campaign Metadata '!B:B,MATCH(M270,'Campaign Metadata '!A:A,0))</f>
        <v>45458</v>
      </c>
      <c r="O270" s="17">
        <f>INDEX('Campaign Metadata '!C:C,MATCH(M270,'Campaign Metadata '!A:A,0))</f>
        <v>45488</v>
      </c>
      <c r="P270" s="4" t="str">
        <f t="shared" si="4"/>
        <v>DURING</v>
      </c>
    </row>
    <row r="271" spans="1:16" ht="15.75" customHeight="1">
      <c r="A271" s="1" t="s">
        <v>288</v>
      </c>
      <c r="B271" s="3" t="s">
        <v>18</v>
      </c>
      <c r="C271" s="21">
        <v>45609</v>
      </c>
      <c r="D271" s="3" t="s">
        <v>19</v>
      </c>
      <c r="E271" s="3" t="s">
        <v>343</v>
      </c>
      <c r="F271" s="7">
        <v>1409</v>
      </c>
      <c r="G271" s="7">
        <v>466</v>
      </c>
      <c r="H271" s="7">
        <v>105</v>
      </c>
      <c r="I271" s="7">
        <v>58923</v>
      </c>
      <c r="J271" s="7">
        <v>38753</v>
      </c>
      <c r="K271" s="7">
        <v>265</v>
      </c>
      <c r="L271" s="3" t="s">
        <v>351</v>
      </c>
      <c r="M271" s="3" t="s">
        <v>339</v>
      </c>
      <c r="N271" s="27">
        <f>INDEX('Campaign Metadata '!B:B,MATCH(M271,'Campaign Metadata '!A:A,0))</f>
        <v>45667</v>
      </c>
      <c r="O271" s="17">
        <f>INDEX('Campaign Metadata '!C:C,MATCH(M271,'Campaign Metadata '!A:A,0))</f>
        <v>45698</v>
      </c>
      <c r="P271" s="4" t="str">
        <f t="shared" si="4"/>
        <v>BEFORE</v>
      </c>
    </row>
    <row r="272" spans="1:16" ht="15.75" customHeight="1">
      <c r="A272" s="1" t="s">
        <v>289</v>
      </c>
      <c r="B272" s="3" t="s">
        <v>18</v>
      </c>
      <c r="C272" s="21">
        <v>45693</v>
      </c>
      <c r="D272" s="3" t="s">
        <v>19</v>
      </c>
      <c r="E272" s="3" t="s">
        <v>337</v>
      </c>
      <c r="F272" s="7">
        <v>3029</v>
      </c>
      <c r="G272" s="7">
        <v>440</v>
      </c>
      <c r="H272" s="7">
        <v>66</v>
      </c>
      <c r="I272" s="7">
        <v>23815</v>
      </c>
      <c r="J272" s="7">
        <v>47895</v>
      </c>
      <c r="K272" s="7">
        <v>210</v>
      </c>
      <c r="L272" s="3" t="s">
        <v>351</v>
      </c>
      <c r="M272" s="3" t="s">
        <v>339</v>
      </c>
      <c r="N272" s="27">
        <f>INDEX('Campaign Metadata '!B:B,MATCH(M272,'Campaign Metadata '!A:A,0))</f>
        <v>45667</v>
      </c>
      <c r="O272" s="17">
        <f>INDEX('Campaign Metadata '!C:C,MATCH(M272,'Campaign Metadata '!A:A,0))</f>
        <v>45698</v>
      </c>
      <c r="P272" s="4" t="str">
        <f t="shared" si="4"/>
        <v>DURING</v>
      </c>
    </row>
    <row r="273" spans="1:16" ht="15.75" customHeight="1">
      <c r="A273" s="1" t="s">
        <v>290</v>
      </c>
      <c r="B273" s="3" t="s">
        <v>18</v>
      </c>
      <c r="C273" s="21">
        <v>45603</v>
      </c>
      <c r="D273" s="3" t="s">
        <v>15</v>
      </c>
      <c r="E273" s="3" t="s">
        <v>340</v>
      </c>
      <c r="F273" s="7">
        <v>2229</v>
      </c>
      <c r="G273" s="7">
        <v>395</v>
      </c>
      <c r="H273" s="7">
        <v>328</v>
      </c>
      <c r="I273" s="7">
        <v>56921</v>
      </c>
      <c r="J273" s="7">
        <v>37176</v>
      </c>
      <c r="K273" s="7">
        <v>126</v>
      </c>
      <c r="L273" s="3" t="s">
        <v>354</v>
      </c>
      <c r="M273" s="3" t="s">
        <v>342</v>
      </c>
      <c r="N273" s="27">
        <f>INDEX('Campaign Metadata '!B:B,MATCH(M273,'Campaign Metadata '!A:A,0))</f>
        <v>45717</v>
      </c>
      <c r="O273" s="17">
        <f>INDEX('Campaign Metadata '!C:C,MATCH(M273,'Campaign Metadata '!A:A,0))</f>
        <v>45747</v>
      </c>
      <c r="P273" s="4" t="str">
        <f t="shared" si="4"/>
        <v>BEFORE</v>
      </c>
    </row>
    <row r="274" spans="1:16" ht="15.75" customHeight="1">
      <c r="A274" s="1" t="s">
        <v>291</v>
      </c>
      <c r="B274" s="3" t="s">
        <v>18</v>
      </c>
      <c r="C274" s="21">
        <v>45334</v>
      </c>
      <c r="D274" s="3" t="s">
        <v>15</v>
      </c>
      <c r="E274" s="3" t="s">
        <v>340</v>
      </c>
      <c r="F274" s="7">
        <v>2691</v>
      </c>
      <c r="G274" s="7">
        <v>486</v>
      </c>
      <c r="H274" s="7">
        <v>206</v>
      </c>
      <c r="I274" s="7">
        <v>51133</v>
      </c>
      <c r="J274" s="7">
        <v>44583</v>
      </c>
      <c r="K274" s="7">
        <v>276</v>
      </c>
      <c r="L274" s="3" t="s">
        <v>353</v>
      </c>
      <c r="M274" s="3" t="s">
        <v>339</v>
      </c>
      <c r="N274" s="27">
        <f>INDEX('Campaign Metadata '!B:B,MATCH(M274,'Campaign Metadata '!A:A,0))</f>
        <v>45667</v>
      </c>
      <c r="O274" s="17">
        <f>INDEX('Campaign Metadata '!C:C,MATCH(M274,'Campaign Metadata '!A:A,0))</f>
        <v>45698</v>
      </c>
      <c r="P274" s="4" t="str">
        <f t="shared" si="4"/>
        <v>BEFORE</v>
      </c>
    </row>
    <row r="275" spans="1:16" ht="15.75" customHeight="1">
      <c r="A275" s="1" t="s">
        <v>292</v>
      </c>
      <c r="B275" s="3" t="s">
        <v>14</v>
      </c>
      <c r="C275" s="21">
        <v>45573</v>
      </c>
      <c r="D275" s="3" t="s">
        <v>15</v>
      </c>
      <c r="E275" s="3" t="s">
        <v>340</v>
      </c>
      <c r="F275" s="7">
        <v>2110</v>
      </c>
      <c r="G275" s="7">
        <v>384</v>
      </c>
      <c r="H275" s="7">
        <v>236</v>
      </c>
      <c r="I275" s="7">
        <v>49965</v>
      </c>
      <c r="J275" s="7">
        <v>61555</v>
      </c>
      <c r="K275" s="7">
        <v>195</v>
      </c>
      <c r="L275" s="3" t="s">
        <v>341</v>
      </c>
      <c r="M275" s="3" t="s">
        <v>342</v>
      </c>
      <c r="N275" s="27">
        <f>INDEX('Campaign Metadata '!B:B,MATCH(M275,'Campaign Metadata '!A:A,0))</f>
        <v>45717</v>
      </c>
      <c r="O275" s="17">
        <f>INDEX('Campaign Metadata '!C:C,MATCH(M275,'Campaign Metadata '!A:A,0))</f>
        <v>45747</v>
      </c>
      <c r="P275" s="4" t="str">
        <f t="shared" si="4"/>
        <v>BEFORE</v>
      </c>
    </row>
    <row r="276" spans="1:16" ht="15.75" customHeight="1">
      <c r="A276" s="1" t="s">
        <v>293</v>
      </c>
      <c r="B276" s="3" t="s">
        <v>14</v>
      </c>
      <c r="C276" s="21">
        <v>45341</v>
      </c>
      <c r="D276" s="3" t="s">
        <v>15</v>
      </c>
      <c r="E276" s="3" t="s">
        <v>345</v>
      </c>
      <c r="F276" s="7">
        <v>4752</v>
      </c>
      <c r="G276" s="7">
        <v>449</v>
      </c>
      <c r="H276" s="7">
        <v>309</v>
      </c>
      <c r="I276" s="7">
        <v>58530</v>
      </c>
      <c r="J276" s="7">
        <v>26630</v>
      </c>
      <c r="K276" s="7">
        <v>234</v>
      </c>
      <c r="L276" s="3" t="s">
        <v>341</v>
      </c>
      <c r="M276" s="3" t="s">
        <v>342</v>
      </c>
      <c r="N276" s="27">
        <f>INDEX('Campaign Metadata '!B:B,MATCH(M276,'Campaign Metadata '!A:A,0))</f>
        <v>45717</v>
      </c>
      <c r="O276" s="17">
        <f>INDEX('Campaign Metadata '!C:C,MATCH(M276,'Campaign Metadata '!A:A,0))</f>
        <v>45747</v>
      </c>
      <c r="P276" s="4" t="str">
        <f t="shared" si="4"/>
        <v>BEFORE</v>
      </c>
    </row>
    <row r="277" spans="1:16" ht="15.75" customHeight="1">
      <c r="A277" s="1" t="s">
        <v>294</v>
      </c>
      <c r="B277" s="3" t="s">
        <v>18</v>
      </c>
      <c r="C277" s="21">
        <v>45720</v>
      </c>
      <c r="D277" s="3" t="s">
        <v>15</v>
      </c>
      <c r="E277" s="3" t="s">
        <v>337</v>
      </c>
      <c r="F277" s="7">
        <v>2177</v>
      </c>
      <c r="G277" s="7">
        <v>258</v>
      </c>
      <c r="H277" s="7">
        <v>292</v>
      </c>
      <c r="I277" s="7">
        <v>47276</v>
      </c>
      <c r="J277" s="7">
        <v>51324</v>
      </c>
      <c r="K277" s="7">
        <v>143</v>
      </c>
      <c r="L277" s="3" t="s">
        <v>353</v>
      </c>
      <c r="M277" s="3" t="s">
        <v>339</v>
      </c>
      <c r="N277" s="27">
        <f>INDEX('Campaign Metadata '!B:B,MATCH(M277,'Campaign Metadata '!A:A,0))</f>
        <v>45667</v>
      </c>
      <c r="O277" s="17">
        <f>INDEX('Campaign Metadata '!C:C,MATCH(M277,'Campaign Metadata '!A:A,0))</f>
        <v>45698</v>
      </c>
      <c r="P277" s="4" t="str">
        <f t="shared" si="4"/>
        <v>AFTER</v>
      </c>
    </row>
    <row r="278" spans="1:16" ht="15.75" customHeight="1">
      <c r="A278" s="1" t="s">
        <v>295</v>
      </c>
      <c r="B278" s="3" t="s">
        <v>14</v>
      </c>
      <c r="C278" s="21">
        <v>45691</v>
      </c>
      <c r="D278" s="3" t="s">
        <v>19</v>
      </c>
      <c r="E278" s="3" t="s">
        <v>343</v>
      </c>
      <c r="F278" s="7">
        <v>1205</v>
      </c>
      <c r="G278" s="7">
        <v>486</v>
      </c>
      <c r="H278" s="7">
        <v>269</v>
      </c>
      <c r="I278" s="7">
        <v>23341</v>
      </c>
      <c r="J278" s="7">
        <v>42411</v>
      </c>
      <c r="K278" s="7">
        <v>184</v>
      </c>
      <c r="L278" s="3" t="s">
        <v>353</v>
      </c>
      <c r="M278" s="3" t="s">
        <v>35</v>
      </c>
      <c r="N278" s="27">
        <f>INDEX('Campaign Metadata '!B:B,MATCH(M278,'Campaign Metadata '!A:A,0))</f>
        <v>45627</v>
      </c>
      <c r="O278" s="17">
        <f>INDEX('Campaign Metadata '!C:C,MATCH(M278,'Campaign Metadata '!A:A,0))</f>
        <v>45657</v>
      </c>
      <c r="P278" s="4" t="str">
        <f t="shared" si="4"/>
        <v>AFTER</v>
      </c>
    </row>
    <row r="279" spans="1:16" ht="15.75" customHeight="1">
      <c r="A279" s="1" t="s">
        <v>296</v>
      </c>
      <c r="B279" s="3" t="s">
        <v>14</v>
      </c>
      <c r="C279" s="21">
        <v>45628</v>
      </c>
      <c r="D279" s="3" t="s">
        <v>15</v>
      </c>
      <c r="E279" s="3" t="s">
        <v>352</v>
      </c>
      <c r="F279" s="7">
        <v>3194</v>
      </c>
      <c r="G279" s="7">
        <v>292</v>
      </c>
      <c r="H279" s="7">
        <v>245</v>
      </c>
      <c r="I279" s="7">
        <v>56371</v>
      </c>
      <c r="J279" s="7">
        <v>65597</v>
      </c>
      <c r="K279" s="7">
        <v>163</v>
      </c>
      <c r="L279" s="3" t="s">
        <v>338</v>
      </c>
      <c r="M279" s="3" t="s">
        <v>339</v>
      </c>
      <c r="N279" s="27">
        <f>INDEX('Campaign Metadata '!B:B,MATCH(M279,'Campaign Metadata '!A:A,0))</f>
        <v>45667</v>
      </c>
      <c r="O279" s="17">
        <f>INDEX('Campaign Metadata '!C:C,MATCH(M279,'Campaign Metadata '!A:A,0))</f>
        <v>45698</v>
      </c>
      <c r="P279" s="4" t="str">
        <f t="shared" si="4"/>
        <v>BEFORE</v>
      </c>
    </row>
    <row r="280" spans="1:16" ht="15.75" customHeight="1">
      <c r="A280" s="1" t="s">
        <v>297</v>
      </c>
      <c r="B280" s="3" t="s">
        <v>18</v>
      </c>
      <c r="C280" s="21">
        <v>45676</v>
      </c>
      <c r="D280" s="3" t="s">
        <v>19</v>
      </c>
      <c r="E280" s="3" t="s">
        <v>343</v>
      </c>
      <c r="F280" s="7">
        <v>3507</v>
      </c>
      <c r="G280" s="7">
        <v>295</v>
      </c>
      <c r="H280" s="7">
        <v>371</v>
      </c>
      <c r="I280" s="7">
        <v>20410</v>
      </c>
      <c r="J280" s="7">
        <v>53965</v>
      </c>
      <c r="K280" s="7">
        <v>212</v>
      </c>
      <c r="L280" s="3" t="s">
        <v>338</v>
      </c>
      <c r="M280" s="3" t="s">
        <v>339</v>
      </c>
      <c r="N280" s="27">
        <f>INDEX('Campaign Metadata '!B:B,MATCH(M280,'Campaign Metadata '!A:A,0))</f>
        <v>45667</v>
      </c>
      <c r="O280" s="17">
        <f>INDEX('Campaign Metadata '!C:C,MATCH(M280,'Campaign Metadata '!A:A,0))</f>
        <v>45698</v>
      </c>
      <c r="P280" s="4" t="str">
        <f t="shared" si="4"/>
        <v>DURING</v>
      </c>
    </row>
    <row r="281" spans="1:16" ht="15.75" customHeight="1">
      <c r="A281" s="1" t="s">
        <v>298</v>
      </c>
      <c r="B281" s="3" t="s">
        <v>18</v>
      </c>
      <c r="C281" s="21">
        <v>45563</v>
      </c>
      <c r="D281" s="3" t="s">
        <v>19</v>
      </c>
      <c r="E281" s="3" t="s">
        <v>345</v>
      </c>
      <c r="F281" s="7">
        <v>4471</v>
      </c>
      <c r="G281" s="7">
        <v>317</v>
      </c>
      <c r="H281" s="7">
        <v>249</v>
      </c>
      <c r="I281" s="7">
        <v>44862</v>
      </c>
      <c r="J281" s="7">
        <v>33365</v>
      </c>
      <c r="K281" s="7">
        <v>184</v>
      </c>
      <c r="L281" s="3" t="s">
        <v>351</v>
      </c>
      <c r="M281" s="3" t="s">
        <v>339</v>
      </c>
      <c r="N281" s="27">
        <f>INDEX('Campaign Metadata '!B:B,MATCH(M281,'Campaign Metadata '!A:A,0))</f>
        <v>45667</v>
      </c>
      <c r="O281" s="17">
        <f>INDEX('Campaign Metadata '!C:C,MATCH(M281,'Campaign Metadata '!A:A,0))</f>
        <v>45698</v>
      </c>
      <c r="P281" s="4" t="str">
        <f t="shared" si="4"/>
        <v>BEFORE</v>
      </c>
    </row>
    <row r="282" spans="1:16" ht="15.75" customHeight="1">
      <c r="A282" s="1" t="s">
        <v>299</v>
      </c>
      <c r="B282" s="3" t="s">
        <v>14</v>
      </c>
      <c r="C282" s="21">
        <v>45298</v>
      </c>
      <c r="D282" s="3" t="s">
        <v>15</v>
      </c>
      <c r="E282" s="3" t="s">
        <v>352</v>
      </c>
      <c r="F282" s="7">
        <v>4931</v>
      </c>
      <c r="G282" s="7">
        <v>469</v>
      </c>
      <c r="H282" s="7">
        <v>193</v>
      </c>
      <c r="I282" s="7">
        <v>56701</v>
      </c>
      <c r="J282" s="7">
        <v>69437</v>
      </c>
      <c r="K282" s="7">
        <v>291</v>
      </c>
      <c r="L282" s="3" t="s">
        <v>338</v>
      </c>
      <c r="M282" s="3" t="s">
        <v>339</v>
      </c>
      <c r="N282" s="27">
        <f>INDEX('Campaign Metadata '!B:B,MATCH(M282,'Campaign Metadata '!A:A,0))</f>
        <v>45667</v>
      </c>
      <c r="O282" s="17">
        <f>INDEX('Campaign Metadata '!C:C,MATCH(M282,'Campaign Metadata '!A:A,0))</f>
        <v>45698</v>
      </c>
      <c r="P282" s="4" t="str">
        <f t="shared" si="4"/>
        <v>BEFORE</v>
      </c>
    </row>
    <row r="283" spans="1:16" ht="15.75" customHeight="1">
      <c r="A283" s="1" t="s">
        <v>300</v>
      </c>
      <c r="B283" s="3" t="s">
        <v>18</v>
      </c>
      <c r="C283" s="21">
        <v>45343</v>
      </c>
      <c r="D283" s="3" t="s">
        <v>19</v>
      </c>
      <c r="E283" s="3" t="s">
        <v>350</v>
      </c>
      <c r="F283" s="7">
        <v>2604</v>
      </c>
      <c r="G283" s="7">
        <v>439</v>
      </c>
      <c r="H283" s="7">
        <v>148</v>
      </c>
      <c r="I283" s="7">
        <v>58468</v>
      </c>
      <c r="J283" s="7">
        <v>39629</v>
      </c>
      <c r="K283" s="7">
        <v>163</v>
      </c>
      <c r="L283" s="3" t="s">
        <v>344</v>
      </c>
      <c r="M283" s="3" t="s">
        <v>339</v>
      </c>
      <c r="N283" s="27">
        <f>INDEX('Campaign Metadata '!B:B,MATCH(M283,'Campaign Metadata '!A:A,0))</f>
        <v>45667</v>
      </c>
      <c r="O283" s="17">
        <f>INDEX('Campaign Metadata '!C:C,MATCH(M283,'Campaign Metadata '!A:A,0))</f>
        <v>45698</v>
      </c>
      <c r="P283" s="4" t="str">
        <f t="shared" si="4"/>
        <v>BEFORE</v>
      </c>
    </row>
    <row r="284" spans="1:16" ht="15.75" customHeight="1">
      <c r="A284" s="1" t="s">
        <v>301</v>
      </c>
      <c r="B284" s="3" t="s">
        <v>14</v>
      </c>
      <c r="C284" s="21">
        <v>45531</v>
      </c>
      <c r="D284" s="3" t="s">
        <v>15</v>
      </c>
      <c r="E284" s="3" t="s">
        <v>347</v>
      </c>
      <c r="F284" s="7">
        <v>4197</v>
      </c>
      <c r="G284" s="7">
        <v>359</v>
      </c>
      <c r="H284" s="7">
        <v>280</v>
      </c>
      <c r="I284" s="7">
        <v>56048</v>
      </c>
      <c r="J284" s="7">
        <v>70930</v>
      </c>
      <c r="K284" s="7">
        <v>295</v>
      </c>
      <c r="L284" s="3" t="s">
        <v>341</v>
      </c>
      <c r="M284" s="3" t="s">
        <v>342</v>
      </c>
      <c r="N284" s="27">
        <f>INDEX('Campaign Metadata '!B:B,MATCH(M284,'Campaign Metadata '!A:A,0))</f>
        <v>45717</v>
      </c>
      <c r="O284" s="17">
        <f>INDEX('Campaign Metadata '!C:C,MATCH(M284,'Campaign Metadata '!A:A,0))</f>
        <v>45747</v>
      </c>
      <c r="P284" s="4" t="str">
        <f t="shared" si="4"/>
        <v>BEFORE</v>
      </c>
    </row>
    <row r="285" spans="1:16" ht="15.75" customHeight="1">
      <c r="A285" s="1" t="s">
        <v>302</v>
      </c>
      <c r="B285" s="3" t="s">
        <v>14</v>
      </c>
      <c r="C285" s="21">
        <v>45589</v>
      </c>
      <c r="D285" s="3" t="s">
        <v>19</v>
      </c>
      <c r="E285" s="3" t="s">
        <v>352</v>
      </c>
      <c r="F285" s="7">
        <v>1914</v>
      </c>
      <c r="G285" s="7">
        <v>255</v>
      </c>
      <c r="H285" s="7">
        <v>156</v>
      </c>
      <c r="I285" s="7">
        <v>27660</v>
      </c>
      <c r="J285" s="7">
        <v>47776</v>
      </c>
      <c r="K285" s="7">
        <v>111</v>
      </c>
      <c r="L285" s="3" t="s">
        <v>353</v>
      </c>
      <c r="M285" s="3" t="s">
        <v>35</v>
      </c>
      <c r="N285" s="27">
        <f>INDEX('Campaign Metadata '!B:B,MATCH(M285,'Campaign Metadata '!A:A,0))</f>
        <v>45627</v>
      </c>
      <c r="O285" s="17">
        <f>INDEX('Campaign Metadata '!C:C,MATCH(M285,'Campaign Metadata '!A:A,0))</f>
        <v>45657</v>
      </c>
      <c r="P285" s="4" t="str">
        <f t="shared" si="4"/>
        <v>BEFORE</v>
      </c>
    </row>
    <row r="286" spans="1:16" ht="15.75" customHeight="1">
      <c r="A286" s="1" t="s">
        <v>303</v>
      </c>
      <c r="B286" s="3" t="s">
        <v>346</v>
      </c>
      <c r="C286" s="21">
        <v>45686</v>
      </c>
      <c r="D286" s="3" t="s">
        <v>15</v>
      </c>
      <c r="E286" s="3" t="s">
        <v>343</v>
      </c>
      <c r="F286" s="7">
        <v>1334</v>
      </c>
      <c r="G286" s="7">
        <v>357</v>
      </c>
      <c r="H286" s="7">
        <v>257</v>
      </c>
      <c r="I286" s="7">
        <v>56910</v>
      </c>
      <c r="J286" s="7">
        <v>70606</v>
      </c>
      <c r="K286" s="7">
        <v>228</v>
      </c>
      <c r="L286" s="3" t="s">
        <v>348</v>
      </c>
      <c r="M286" s="3" t="s">
        <v>342</v>
      </c>
      <c r="N286" s="27">
        <f>INDEX('Campaign Metadata '!B:B,MATCH(M286,'Campaign Metadata '!A:A,0))</f>
        <v>45717</v>
      </c>
      <c r="O286" s="17">
        <f>INDEX('Campaign Metadata '!C:C,MATCH(M286,'Campaign Metadata '!A:A,0))</f>
        <v>45747</v>
      </c>
      <c r="P286" s="4" t="str">
        <f t="shared" si="4"/>
        <v>BEFORE</v>
      </c>
    </row>
    <row r="287" spans="1:16" ht="15.75" customHeight="1">
      <c r="A287" s="1" t="s">
        <v>304</v>
      </c>
      <c r="B287" s="3" t="s">
        <v>14</v>
      </c>
      <c r="C287" s="21">
        <v>45413</v>
      </c>
      <c r="D287" s="3" t="s">
        <v>15</v>
      </c>
      <c r="E287" s="3" t="s">
        <v>350</v>
      </c>
      <c r="F287" s="7">
        <v>3359</v>
      </c>
      <c r="G287" s="7">
        <v>137</v>
      </c>
      <c r="H287" s="7">
        <v>387</v>
      </c>
      <c r="I287" s="7">
        <v>33861</v>
      </c>
      <c r="J287" s="7">
        <v>47257</v>
      </c>
      <c r="K287" s="7">
        <v>198</v>
      </c>
      <c r="L287" s="3" t="s">
        <v>341</v>
      </c>
      <c r="M287" s="3" t="s">
        <v>342</v>
      </c>
      <c r="N287" s="27">
        <f>INDEX('Campaign Metadata '!B:B,MATCH(M287,'Campaign Metadata '!A:A,0))</f>
        <v>45717</v>
      </c>
      <c r="O287" s="17">
        <f>INDEX('Campaign Metadata '!C:C,MATCH(M287,'Campaign Metadata '!A:A,0))</f>
        <v>45747</v>
      </c>
      <c r="P287" s="4" t="str">
        <f t="shared" si="4"/>
        <v>BEFORE</v>
      </c>
    </row>
    <row r="288" spans="1:16" ht="15.75" customHeight="1">
      <c r="A288" s="1" t="s">
        <v>305</v>
      </c>
      <c r="B288" s="3" t="s">
        <v>346</v>
      </c>
      <c r="C288" s="21">
        <v>45468</v>
      </c>
      <c r="D288" s="3" t="s">
        <v>15</v>
      </c>
      <c r="E288" s="3" t="s">
        <v>356</v>
      </c>
      <c r="F288" s="7">
        <v>2172</v>
      </c>
      <c r="G288" s="7">
        <v>338</v>
      </c>
      <c r="H288" s="7">
        <v>70</v>
      </c>
      <c r="I288" s="7">
        <v>30515</v>
      </c>
      <c r="J288" s="7">
        <v>57853</v>
      </c>
      <c r="K288" s="7">
        <v>156</v>
      </c>
      <c r="L288" s="3" t="s">
        <v>348</v>
      </c>
      <c r="M288" s="3" t="s">
        <v>342</v>
      </c>
      <c r="N288" s="27">
        <f>INDEX('Campaign Metadata '!B:B,MATCH(M288,'Campaign Metadata '!A:A,0))</f>
        <v>45717</v>
      </c>
      <c r="O288" s="17">
        <f>INDEX('Campaign Metadata '!C:C,MATCH(M288,'Campaign Metadata '!A:A,0))</f>
        <v>45747</v>
      </c>
      <c r="P288" s="4" t="str">
        <f t="shared" si="4"/>
        <v>BEFORE</v>
      </c>
    </row>
    <row r="289" spans="1:16" ht="15.75" customHeight="1">
      <c r="A289" s="1" t="s">
        <v>306</v>
      </c>
      <c r="B289" s="3" t="s">
        <v>18</v>
      </c>
      <c r="C289" s="21">
        <v>45513</v>
      </c>
      <c r="D289" s="3" t="s">
        <v>19</v>
      </c>
      <c r="E289" s="3" t="s">
        <v>355</v>
      </c>
      <c r="F289" s="7">
        <v>4877</v>
      </c>
      <c r="G289" s="7">
        <v>442</v>
      </c>
      <c r="H289" s="7">
        <v>236</v>
      </c>
      <c r="I289" s="7">
        <v>52673</v>
      </c>
      <c r="J289" s="7">
        <v>48241</v>
      </c>
      <c r="K289" s="7">
        <v>114</v>
      </c>
      <c r="L289" s="3" t="s">
        <v>351</v>
      </c>
      <c r="M289" s="3" t="s">
        <v>339</v>
      </c>
      <c r="N289" s="27">
        <f>INDEX('Campaign Metadata '!B:B,MATCH(M289,'Campaign Metadata '!A:A,0))</f>
        <v>45667</v>
      </c>
      <c r="O289" s="17">
        <f>INDEX('Campaign Metadata '!C:C,MATCH(M289,'Campaign Metadata '!A:A,0))</f>
        <v>45698</v>
      </c>
      <c r="P289" s="4" t="str">
        <f t="shared" si="4"/>
        <v>BEFORE</v>
      </c>
    </row>
    <row r="290" spans="1:16" ht="15.75" customHeight="1">
      <c r="A290" s="1" t="s">
        <v>307</v>
      </c>
      <c r="B290" s="3" t="s">
        <v>14</v>
      </c>
      <c r="C290" s="21">
        <v>45678</v>
      </c>
      <c r="D290" s="3" t="s">
        <v>19</v>
      </c>
      <c r="E290" s="3" t="s">
        <v>343</v>
      </c>
      <c r="F290" s="7">
        <v>4918</v>
      </c>
      <c r="G290" s="7">
        <v>440</v>
      </c>
      <c r="H290" s="7">
        <v>149</v>
      </c>
      <c r="I290" s="7">
        <v>53269</v>
      </c>
      <c r="J290" s="7">
        <v>64370</v>
      </c>
      <c r="K290" s="7">
        <v>269</v>
      </c>
      <c r="L290" s="3" t="s">
        <v>353</v>
      </c>
      <c r="M290" s="3" t="s">
        <v>35</v>
      </c>
      <c r="N290" s="27">
        <f>INDEX('Campaign Metadata '!B:B,MATCH(M290,'Campaign Metadata '!A:A,0))</f>
        <v>45627</v>
      </c>
      <c r="O290" s="17">
        <f>INDEX('Campaign Metadata '!C:C,MATCH(M290,'Campaign Metadata '!A:A,0))</f>
        <v>45657</v>
      </c>
      <c r="P290" s="4" t="str">
        <f t="shared" si="4"/>
        <v>AFTER</v>
      </c>
    </row>
    <row r="291" spans="1:16" ht="15.75" customHeight="1">
      <c r="A291" s="1" t="s">
        <v>308</v>
      </c>
      <c r="B291" s="3" t="s">
        <v>18</v>
      </c>
      <c r="C291" s="21">
        <v>45517</v>
      </c>
      <c r="D291" s="3" t="s">
        <v>15</v>
      </c>
      <c r="E291" s="3" t="s">
        <v>340</v>
      </c>
      <c r="F291" s="7">
        <v>3418</v>
      </c>
      <c r="G291" s="7">
        <v>107</v>
      </c>
      <c r="H291" s="7">
        <v>221</v>
      </c>
      <c r="I291" s="7">
        <v>23927</v>
      </c>
      <c r="J291" s="7">
        <v>26182</v>
      </c>
      <c r="K291" s="7">
        <v>155</v>
      </c>
      <c r="L291" s="3" t="s">
        <v>354</v>
      </c>
      <c r="M291" s="3" t="s">
        <v>342</v>
      </c>
      <c r="N291" s="27">
        <f>INDEX('Campaign Metadata '!B:B,MATCH(M291,'Campaign Metadata '!A:A,0))</f>
        <v>45717</v>
      </c>
      <c r="O291" s="17">
        <f>INDEX('Campaign Metadata '!C:C,MATCH(M291,'Campaign Metadata '!A:A,0))</f>
        <v>45747</v>
      </c>
      <c r="P291" s="4" t="str">
        <f t="shared" si="4"/>
        <v>BEFORE</v>
      </c>
    </row>
    <row r="292" spans="1:16" ht="15.75" customHeight="1">
      <c r="A292" s="1" t="s">
        <v>309</v>
      </c>
      <c r="B292" s="3" t="s">
        <v>14</v>
      </c>
      <c r="C292" s="21">
        <v>45472</v>
      </c>
      <c r="D292" s="3" t="s">
        <v>15</v>
      </c>
      <c r="E292" s="3" t="s">
        <v>356</v>
      </c>
      <c r="F292" s="7">
        <v>2088</v>
      </c>
      <c r="G292" s="7">
        <v>490</v>
      </c>
      <c r="H292" s="7">
        <v>124</v>
      </c>
      <c r="I292" s="7">
        <v>46544</v>
      </c>
      <c r="J292" s="7">
        <v>69346</v>
      </c>
      <c r="K292" s="7">
        <v>178</v>
      </c>
      <c r="L292" s="3" t="s">
        <v>338</v>
      </c>
      <c r="M292" s="3" t="s">
        <v>339</v>
      </c>
      <c r="N292" s="27">
        <f>INDEX('Campaign Metadata '!B:B,MATCH(M292,'Campaign Metadata '!A:A,0))</f>
        <v>45667</v>
      </c>
      <c r="O292" s="17">
        <f>INDEX('Campaign Metadata '!C:C,MATCH(M292,'Campaign Metadata '!A:A,0))</f>
        <v>45698</v>
      </c>
      <c r="P292" s="4" t="str">
        <f t="shared" si="4"/>
        <v>BEFORE</v>
      </c>
    </row>
    <row r="293" spans="1:16" ht="15.75" customHeight="1">
      <c r="A293" s="1" t="s">
        <v>310</v>
      </c>
      <c r="B293" s="3" t="s">
        <v>18</v>
      </c>
      <c r="C293" s="21">
        <v>45599</v>
      </c>
      <c r="D293" s="3" t="s">
        <v>19</v>
      </c>
      <c r="E293" s="3" t="s">
        <v>340</v>
      </c>
      <c r="F293" s="7">
        <v>3061</v>
      </c>
      <c r="G293" s="7">
        <v>320</v>
      </c>
      <c r="H293" s="7">
        <v>76</v>
      </c>
      <c r="I293" s="7">
        <v>26640</v>
      </c>
      <c r="J293" s="7">
        <v>24306</v>
      </c>
      <c r="K293" s="7">
        <v>112</v>
      </c>
      <c r="L293" s="3" t="s">
        <v>344</v>
      </c>
      <c r="M293" s="3" t="s">
        <v>339</v>
      </c>
      <c r="N293" s="27">
        <f>INDEX('Campaign Metadata '!B:B,MATCH(M293,'Campaign Metadata '!A:A,0))</f>
        <v>45667</v>
      </c>
      <c r="O293" s="17">
        <f>INDEX('Campaign Metadata '!C:C,MATCH(M293,'Campaign Metadata '!A:A,0))</f>
        <v>45698</v>
      </c>
      <c r="P293" s="4" t="str">
        <f t="shared" si="4"/>
        <v>BEFORE</v>
      </c>
    </row>
    <row r="294" spans="1:16" ht="15.75" customHeight="1">
      <c r="A294" s="1" t="s">
        <v>311</v>
      </c>
      <c r="B294" s="3" t="s">
        <v>346</v>
      </c>
      <c r="C294" s="21">
        <v>45765</v>
      </c>
      <c r="D294" s="3" t="s">
        <v>37</v>
      </c>
      <c r="E294" s="3" t="s">
        <v>356</v>
      </c>
      <c r="F294" s="7">
        <v>1265</v>
      </c>
      <c r="G294" s="7">
        <v>230</v>
      </c>
      <c r="H294" s="7">
        <v>364</v>
      </c>
      <c r="I294" s="7">
        <v>41312</v>
      </c>
      <c r="J294" s="7">
        <v>50382</v>
      </c>
      <c r="K294" s="7">
        <v>106</v>
      </c>
      <c r="L294" s="3" t="s">
        <v>357</v>
      </c>
      <c r="M294" s="3" t="s">
        <v>358</v>
      </c>
      <c r="N294" s="27">
        <f>INDEX('Campaign Metadata '!B:B,MATCH(M294,'Campaign Metadata '!A:A,0))</f>
        <v>45458</v>
      </c>
      <c r="O294" s="17">
        <f>INDEX('Campaign Metadata '!C:C,MATCH(M294,'Campaign Metadata '!A:A,0))</f>
        <v>45488</v>
      </c>
      <c r="P294" s="4" t="str">
        <f t="shared" si="4"/>
        <v>AFTER</v>
      </c>
    </row>
    <row r="295" spans="1:16" ht="15.75" customHeight="1">
      <c r="A295" s="1" t="s">
        <v>312</v>
      </c>
      <c r="B295" s="3" t="s">
        <v>14</v>
      </c>
      <c r="C295" s="21">
        <v>45653</v>
      </c>
      <c r="D295" s="3" t="s">
        <v>15</v>
      </c>
      <c r="E295" s="3" t="s">
        <v>355</v>
      </c>
      <c r="F295" s="7">
        <v>1436</v>
      </c>
      <c r="G295" s="7">
        <v>219</v>
      </c>
      <c r="H295" s="7">
        <v>229</v>
      </c>
      <c r="I295" s="7">
        <v>58488</v>
      </c>
      <c r="J295" s="7">
        <v>24314</v>
      </c>
      <c r="K295" s="7">
        <v>147</v>
      </c>
      <c r="L295" s="3" t="s">
        <v>341</v>
      </c>
      <c r="M295" s="3" t="s">
        <v>342</v>
      </c>
      <c r="N295" s="27">
        <f>INDEX('Campaign Metadata '!B:B,MATCH(M295,'Campaign Metadata '!A:A,0))</f>
        <v>45717</v>
      </c>
      <c r="O295" s="17">
        <f>INDEX('Campaign Metadata '!C:C,MATCH(M295,'Campaign Metadata '!A:A,0))</f>
        <v>45747</v>
      </c>
      <c r="P295" s="4" t="str">
        <f t="shared" si="4"/>
        <v>BEFORE</v>
      </c>
    </row>
    <row r="296" spans="1:16" ht="15.75" customHeight="1">
      <c r="A296" s="1" t="s">
        <v>313</v>
      </c>
      <c r="B296" s="3" t="s">
        <v>14</v>
      </c>
      <c r="C296" s="21">
        <v>45724</v>
      </c>
      <c r="D296" s="3" t="s">
        <v>19</v>
      </c>
      <c r="E296" s="3" t="s">
        <v>352</v>
      </c>
      <c r="F296" s="7">
        <v>2244</v>
      </c>
      <c r="G296" s="7">
        <v>392</v>
      </c>
      <c r="H296" s="7">
        <v>231</v>
      </c>
      <c r="I296" s="7">
        <v>25834</v>
      </c>
      <c r="J296" s="7">
        <v>50906</v>
      </c>
      <c r="K296" s="7">
        <v>165</v>
      </c>
      <c r="L296" s="3" t="s">
        <v>353</v>
      </c>
      <c r="M296" s="3" t="s">
        <v>35</v>
      </c>
      <c r="N296" s="27">
        <f>INDEX('Campaign Metadata '!B:B,MATCH(M296,'Campaign Metadata '!A:A,0))</f>
        <v>45627</v>
      </c>
      <c r="O296" s="17">
        <f>INDEX('Campaign Metadata '!C:C,MATCH(M296,'Campaign Metadata '!A:A,0))</f>
        <v>45657</v>
      </c>
      <c r="P296" s="4" t="str">
        <f t="shared" si="4"/>
        <v>AFTER</v>
      </c>
    </row>
    <row r="297" spans="1:16" ht="15.75" customHeight="1">
      <c r="A297" s="1" t="s">
        <v>314</v>
      </c>
      <c r="B297" s="3" t="s">
        <v>18</v>
      </c>
      <c r="C297" s="21">
        <v>45736</v>
      </c>
      <c r="D297" s="3" t="s">
        <v>19</v>
      </c>
      <c r="E297" s="3" t="s">
        <v>356</v>
      </c>
      <c r="F297" s="7">
        <v>3393</v>
      </c>
      <c r="G297" s="7">
        <v>104</v>
      </c>
      <c r="H297" s="7">
        <v>79</v>
      </c>
      <c r="I297" s="7">
        <v>30025</v>
      </c>
      <c r="J297" s="7">
        <v>21593</v>
      </c>
      <c r="K297" s="7">
        <v>165</v>
      </c>
      <c r="L297" s="3" t="s">
        <v>344</v>
      </c>
      <c r="M297" s="3" t="s">
        <v>339</v>
      </c>
      <c r="N297" s="27">
        <f>INDEX('Campaign Metadata '!B:B,MATCH(M297,'Campaign Metadata '!A:A,0))</f>
        <v>45667</v>
      </c>
      <c r="O297" s="17">
        <f>INDEX('Campaign Metadata '!C:C,MATCH(M297,'Campaign Metadata '!A:A,0))</f>
        <v>45698</v>
      </c>
      <c r="P297" s="4" t="str">
        <f t="shared" si="4"/>
        <v>AFTER</v>
      </c>
    </row>
    <row r="298" spans="1:16" ht="15.75" customHeight="1">
      <c r="A298" s="1" t="s">
        <v>315</v>
      </c>
      <c r="B298" s="3" t="s">
        <v>18</v>
      </c>
      <c r="C298" s="21">
        <v>45612</v>
      </c>
      <c r="D298" s="3" t="s">
        <v>15</v>
      </c>
      <c r="E298" s="3" t="s">
        <v>340</v>
      </c>
      <c r="F298" s="7">
        <v>2901</v>
      </c>
      <c r="G298" s="7">
        <v>108</v>
      </c>
      <c r="H298" s="7">
        <v>86</v>
      </c>
      <c r="I298" s="7">
        <v>51777</v>
      </c>
      <c r="J298" s="7">
        <v>23773</v>
      </c>
      <c r="K298" s="7">
        <v>160</v>
      </c>
      <c r="L298" s="3" t="s">
        <v>354</v>
      </c>
      <c r="M298" s="3" t="s">
        <v>342</v>
      </c>
      <c r="N298" s="27">
        <f>INDEX('Campaign Metadata '!B:B,MATCH(M298,'Campaign Metadata '!A:A,0))</f>
        <v>45717</v>
      </c>
      <c r="O298" s="17">
        <f>INDEX('Campaign Metadata '!C:C,MATCH(M298,'Campaign Metadata '!A:A,0))</f>
        <v>45747</v>
      </c>
      <c r="P298" s="4" t="str">
        <f t="shared" si="4"/>
        <v>BEFORE</v>
      </c>
    </row>
    <row r="299" spans="1:16" ht="15.75" customHeight="1">
      <c r="A299" s="1" t="s">
        <v>316</v>
      </c>
      <c r="B299" s="3" t="s">
        <v>18</v>
      </c>
      <c r="C299" s="21">
        <v>45838</v>
      </c>
      <c r="D299" s="3" t="s">
        <v>15</v>
      </c>
      <c r="E299" s="3" t="s">
        <v>349</v>
      </c>
      <c r="F299" s="7">
        <v>2275</v>
      </c>
      <c r="G299" s="7">
        <v>285</v>
      </c>
      <c r="H299" s="7">
        <v>125</v>
      </c>
      <c r="I299" s="7">
        <v>43970</v>
      </c>
      <c r="J299" s="7">
        <v>74761</v>
      </c>
      <c r="K299" s="7">
        <v>83</v>
      </c>
      <c r="L299" s="3" t="s">
        <v>353</v>
      </c>
      <c r="M299" s="3" t="s">
        <v>339</v>
      </c>
      <c r="N299" s="27">
        <f>INDEX('Campaign Metadata '!B:B,MATCH(M299,'Campaign Metadata '!A:A,0))</f>
        <v>45667</v>
      </c>
      <c r="O299" s="17">
        <f>INDEX('Campaign Metadata '!C:C,MATCH(M299,'Campaign Metadata '!A:A,0))</f>
        <v>45698</v>
      </c>
      <c r="P299" s="4" t="str">
        <f t="shared" si="4"/>
        <v>AFTER</v>
      </c>
    </row>
    <row r="300" spans="1:16" ht="15.75" customHeight="1">
      <c r="A300" s="1" t="s">
        <v>317</v>
      </c>
      <c r="B300" s="3" t="s">
        <v>18</v>
      </c>
      <c r="C300" s="21">
        <v>45303</v>
      </c>
      <c r="D300" s="3" t="s">
        <v>19</v>
      </c>
      <c r="E300" s="3" t="s">
        <v>345</v>
      </c>
      <c r="F300" s="7">
        <v>2227</v>
      </c>
      <c r="G300" s="7">
        <v>494</v>
      </c>
      <c r="H300" s="7">
        <v>161</v>
      </c>
      <c r="I300" s="7">
        <v>51651</v>
      </c>
      <c r="J300" s="7">
        <v>68074</v>
      </c>
      <c r="K300" s="7">
        <v>240</v>
      </c>
      <c r="L300" s="3" t="s">
        <v>351</v>
      </c>
      <c r="M300" s="3" t="s">
        <v>339</v>
      </c>
      <c r="N300" s="27">
        <f>INDEX('Campaign Metadata '!B:B,MATCH(M300,'Campaign Metadata '!A:A,0))</f>
        <v>45667</v>
      </c>
      <c r="O300" s="17">
        <f>INDEX('Campaign Metadata '!C:C,MATCH(M300,'Campaign Metadata '!A:A,0))</f>
        <v>45698</v>
      </c>
      <c r="P300" s="4" t="str">
        <f t="shared" si="4"/>
        <v>BEFORE</v>
      </c>
    </row>
    <row r="301" spans="1:16" ht="15.75" customHeight="1">
      <c r="A301" s="1" t="s">
        <v>318</v>
      </c>
      <c r="B301" s="3" t="s">
        <v>14</v>
      </c>
      <c r="C301" s="21">
        <v>45329</v>
      </c>
      <c r="D301" s="3" t="s">
        <v>15</v>
      </c>
      <c r="E301" s="3" t="s">
        <v>347</v>
      </c>
      <c r="F301" s="7">
        <v>1883</v>
      </c>
      <c r="G301" s="7">
        <v>432</v>
      </c>
      <c r="H301" s="7">
        <v>397</v>
      </c>
      <c r="I301" s="7">
        <v>28759</v>
      </c>
      <c r="J301" s="7">
        <v>18691</v>
      </c>
      <c r="K301" s="7">
        <v>270</v>
      </c>
      <c r="L301" s="3" t="s">
        <v>338</v>
      </c>
      <c r="M301" s="3" t="s">
        <v>339</v>
      </c>
      <c r="N301" s="27">
        <f>INDEX('Campaign Metadata '!B:B,MATCH(M301,'Campaign Metadata '!A:A,0))</f>
        <v>45667</v>
      </c>
      <c r="O301" s="17">
        <f>INDEX('Campaign Metadata '!C:C,MATCH(M301,'Campaign Metadata '!A:A,0))</f>
        <v>45698</v>
      </c>
      <c r="P301" s="4" t="str">
        <f t="shared" si="4"/>
        <v>BEFORE</v>
      </c>
    </row>
    <row r="302" spans="1:16" ht="15.75" hidden="1" customHeight="1">
      <c r="C302" s="13"/>
      <c r="M302"/>
      <c r="N302" s="8"/>
      <c r="O302" s="8"/>
      <c r="P302" s="8"/>
    </row>
    <row r="303" spans="1:16" ht="15.75" customHeight="1">
      <c r="B303"/>
      <c r="C303" s="17"/>
      <c r="D303"/>
      <c r="E303"/>
      <c r="F303"/>
      <c r="G303"/>
      <c r="H303"/>
      <c r="I303"/>
      <c r="J303"/>
      <c r="K303"/>
      <c r="L303"/>
    </row>
    <row r="304" spans="1:16" ht="15.75" customHeight="1">
      <c r="B304"/>
      <c r="C304" s="17"/>
      <c r="D304"/>
      <c r="E304"/>
      <c r="F304"/>
      <c r="G304"/>
      <c r="H304"/>
      <c r="I304"/>
      <c r="J304"/>
      <c r="K304"/>
      <c r="L304"/>
    </row>
    <row r="305" spans="3:16" customFormat="1" ht="15.75" customHeight="1">
      <c r="C305" s="17"/>
      <c r="M305" s="4"/>
      <c r="N305" s="27"/>
      <c r="O305" s="17"/>
      <c r="P305" s="4"/>
    </row>
    <row r="306" spans="3:16" customFormat="1" ht="15.75" customHeight="1">
      <c r="C306" s="17"/>
      <c r="M306" s="4"/>
      <c r="N306" s="27"/>
      <c r="O306" s="17"/>
      <c r="P306" s="4"/>
    </row>
    <row r="307" spans="3:16" customFormat="1" ht="15.75" customHeight="1">
      <c r="C307" s="17"/>
      <c r="M307" s="4"/>
      <c r="N307" s="27"/>
      <c r="O307" s="17"/>
      <c r="P307" s="4"/>
    </row>
    <row r="308" spans="3:16" customFormat="1" ht="15.75" customHeight="1">
      <c r="C308" s="17"/>
      <c r="M308" s="4"/>
      <c r="N308" s="27"/>
      <c r="O308" s="17"/>
      <c r="P308" s="4"/>
    </row>
    <row r="309" spans="3:16" customFormat="1" ht="15.75" customHeight="1">
      <c r="C309" s="17"/>
      <c r="M309" s="4"/>
      <c r="N309" s="27"/>
      <c r="O309" s="17"/>
      <c r="P309" s="4"/>
    </row>
    <row r="310" spans="3:16" customFormat="1" ht="15.75" customHeight="1">
      <c r="C310" s="17"/>
      <c r="M310" s="4"/>
      <c r="N310" s="27"/>
      <c r="O310" s="17"/>
      <c r="P310" s="4"/>
    </row>
    <row r="311" spans="3:16" customFormat="1" ht="15.75" customHeight="1">
      <c r="C311" s="17"/>
      <c r="M311" s="4"/>
      <c r="N311" s="27"/>
      <c r="O311" s="17"/>
      <c r="P311" s="4"/>
    </row>
    <row r="312" spans="3:16" customFormat="1" ht="15.75" customHeight="1">
      <c r="C312" s="17"/>
      <c r="M312" s="4"/>
      <c r="N312" s="27"/>
      <c r="O312" s="17"/>
      <c r="P312" s="4"/>
    </row>
    <row r="313" spans="3:16" customFormat="1" ht="15.75" customHeight="1">
      <c r="C313" s="17"/>
      <c r="M313" s="4"/>
      <c r="N313" s="27"/>
      <c r="O313" s="17"/>
      <c r="P313" s="4"/>
    </row>
    <row r="314" spans="3:16" customFormat="1" ht="15.75" customHeight="1">
      <c r="C314" s="17"/>
      <c r="M314" s="4"/>
      <c r="N314" s="27"/>
      <c r="O314" s="17"/>
      <c r="P314" s="4"/>
    </row>
    <row r="315" spans="3:16" customFormat="1" ht="15.75" customHeight="1">
      <c r="C315" s="17"/>
      <c r="M315" s="4"/>
      <c r="N315" s="27"/>
      <c r="O315" s="17"/>
      <c r="P315" s="4"/>
    </row>
    <row r="316" spans="3:16" customFormat="1" ht="15.75" customHeight="1">
      <c r="C316" s="17"/>
      <c r="M316" s="4"/>
      <c r="N316" s="27"/>
      <c r="O316" s="17"/>
      <c r="P316" s="4"/>
    </row>
    <row r="317" spans="3:16" customFormat="1" ht="15.75" customHeight="1">
      <c r="C317" s="17"/>
      <c r="M317" s="4"/>
      <c r="N317" s="27"/>
      <c r="O317" s="17"/>
      <c r="P317" s="4"/>
    </row>
    <row r="318" spans="3:16" customFormat="1" ht="15.75" customHeight="1">
      <c r="C318" s="17"/>
      <c r="M318" s="4"/>
      <c r="N318" s="27"/>
      <c r="O318" s="17"/>
      <c r="P318" s="4"/>
    </row>
    <row r="319" spans="3:16" customFormat="1" ht="15.75" customHeight="1">
      <c r="C319" s="17"/>
      <c r="M319" s="4"/>
      <c r="N319" s="27"/>
      <c r="O319" s="17"/>
      <c r="P319" s="4"/>
    </row>
    <row r="320" spans="3:16" customFormat="1" ht="15.75" customHeight="1">
      <c r="C320" s="17"/>
      <c r="M320" s="4"/>
      <c r="N320" s="27"/>
      <c r="O320" s="17"/>
      <c r="P320" s="4"/>
    </row>
    <row r="321" spans="3:16" customFormat="1" ht="15.75" customHeight="1">
      <c r="C321" s="17"/>
      <c r="M321" s="4"/>
      <c r="N321" s="27"/>
      <c r="O321" s="17"/>
      <c r="P321" s="4"/>
    </row>
    <row r="322" spans="3:16" customFormat="1" ht="15.75" customHeight="1">
      <c r="C322" s="17"/>
      <c r="M322" s="4"/>
      <c r="N322" s="27"/>
      <c r="O322" s="17"/>
      <c r="P322" s="4"/>
    </row>
    <row r="323" spans="3:16" customFormat="1" ht="15.75" customHeight="1">
      <c r="C323" s="17"/>
      <c r="M323" s="4"/>
      <c r="N323" s="27"/>
      <c r="O323" s="17"/>
      <c r="P323" s="4"/>
    </row>
    <row r="324" spans="3:16" customFormat="1" ht="15.75" customHeight="1">
      <c r="C324" s="17"/>
      <c r="M324" s="4"/>
      <c r="N324" s="27"/>
      <c r="O324" s="17"/>
      <c r="P324" s="4"/>
    </row>
    <row r="325" spans="3:16" customFormat="1" ht="15.75" customHeight="1">
      <c r="C325" s="17"/>
      <c r="M325" s="4"/>
      <c r="N325" s="27"/>
      <c r="O325" s="17"/>
      <c r="P325" s="4"/>
    </row>
    <row r="326" spans="3:16" customFormat="1" ht="15.75" customHeight="1">
      <c r="C326" s="17"/>
      <c r="M326" s="4"/>
      <c r="N326" s="27"/>
      <c r="O326" s="17"/>
      <c r="P326" s="4"/>
    </row>
    <row r="327" spans="3:16" customFormat="1" ht="15.75" customHeight="1">
      <c r="C327" s="17"/>
      <c r="M327" s="4"/>
      <c r="N327" s="27"/>
      <c r="O327" s="17"/>
      <c r="P327" s="4"/>
    </row>
    <row r="328" spans="3:16" customFormat="1" ht="15.75" customHeight="1">
      <c r="C328" s="17"/>
      <c r="M328" s="4"/>
      <c r="N328" s="27"/>
      <c r="O328" s="17"/>
      <c r="P328" s="4"/>
    </row>
    <row r="329" spans="3:16" customFormat="1" ht="15.75" customHeight="1">
      <c r="C329" s="17"/>
      <c r="M329" s="4"/>
      <c r="N329" s="27"/>
      <c r="O329" s="17"/>
      <c r="P329" s="4"/>
    </row>
    <row r="330" spans="3:16" customFormat="1" ht="15.75" customHeight="1">
      <c r="C330" s="17"/>
      <c r="M330" s="4"/>
      <c r="N330" s="27"/>
      <c r="O330" s="17"/>
      <c r="P330" s="4"/>
    </row>
    <row r="331" spans="3:16" customFormat="1" ht="15.75" customHeight="1">
      <c r="C331" s="17"/>
      <c r="M331" s="4"/>
      <c r="N331" s="27"/>
      <c r="O331" s="17"/>
      <c r="P331" s="4"/>
    </row>
    <row r="332" spans="3:16" customFormat="1" ht="15.75" customHeight="1">
      <c r="C332" s="17"/>
      <c r="M332" s="4"/>
      <c r="N332" s="27"/>
      <c r="O332" s="17"/>
      <c r="P332" s="4"/>
    </row>
    <row r="333" spans="3:16" customFormat="1" ht="15.75" customHeight="1">
      <c r="C333" s="17"/>
      <c r="M333" s="4"/>
      <c r="N333" s="27"/>
      <c r="O333" s="17"/>
      <c r="P333" s="4"/>
    </row>
    <row r="334" spans="3:16" customFormat="1" ht="15.75" customHeight="1">
      <c r="C334" s="17"/>
      <c r="M334" s="4"/>
      <c r="N334" s="27"/>
      <c r="O334" s="17"/>
      <c r="P334" s="4"/>
    </row>
    <row r="335" spans="3:16" customFormat="1" ht="15.75" customHeight="1">
      <c r="C335" s="17"/>
      <c r="M335" s="4"/>
      <c r="N335" s="27"/>
      <c r="O335" s="17"/>
      <c r="P335" s="4"/>
    </row>
    <row r="336" spans="3:16" customFormat="1" ht="15.75" customHeight="1">
      <c r="C336" s="17"/>
      <c r="M336" s="4"/>
      <c r="N336" s="27"/>
      <c r="O336" s="17"/>
      <c r="P336" s="4"/>
    </row>
    <row r="337" spans="3:16" customFormat="1" ht="15.75" customHeight="1">
      <c r="C337" s="17"/>
      <c r="M337" s="4"/>
      <c r="N337" s="27"/>
      <c r="O337" s="17"/>
      <c r="P337" s="4"/>
    </row>
    <row r="338" spans="3:16" customFormat="1" ht="15.75" customHeight="1">
      <c r="C338" s="17"/>
      <c r="M338" s="4"/>
      <c r="N338" s="27"/>
      <c r="O338" s="17"/>
      <c r="P338" s="4"/>
    </row>
    <row r="339" spans="3:16" customFormat="1" ht="15.75" customHeight="1">
      <c r="C339" s="17"/>
      <c r="M339" s="4"/>
      <c r="N339" s="27"/>
      <c r="O339" s="17"/>
      <c r="P339" s="4"/>
    </row>
    <row r="340" spans="3:16" customFormat="1" ht="15.75" customHeight="1">
      <c r="C340" s="17"/>
      <c r="M340" s="4"/>
      <c r="N340" s="27"/>
      <c r="O340" s="17"/>
      <c r="P340" s="4"/>
    </row>
    <row r="341" spans="3:16" customFormat="1" ht="15.75" customHeight="1">
      <c r="C341" s="17"/>
      <c r="M341" s="4"/>
      <c r="N341" s="27"/>
      <c r="O341" s="17"/>
      <c r="P341" s="4"/>
    </row>
    <row r="342" spans="3:16" customFormat="1" ht="15.75" customHeight="1">
      <c r="C342" s="17"/>
      <c r="M342" s="4"/>
      <c r="N342" s="27"/>
      <c r="O342" s="17"/>
      <c r="P342" s="4"/>
    </row>
    <row r="343" spans="3:16" customFormat="1" ht="15.75" customHeight="1">
      <c r="C343" s="17"/>
      <c r="M343" s="4"/>
      <c r="N343" s="27"/>
      <c r="O343" s="17"/>
      <c r="P343" s="4"/>
    </row>
    <row r="344" spans="3:16" customFormat="1" ht="15.75" customHeight="1">
      <c r="C344" s="17"/>
      <c r="M344" s="4"/>
      <c r="N344" s="27"/>
      <c r="O344" s="17"/>
      <c r="P344" s="4"/>
    </row>
    <row r="345" spans="3:16" customFormat="1" ht="15.75" customHeight="1">
      <c r="C345" s="17"/>
      <c r="M345" s="4"/>
      <c r="N345" s="27"/>
      <c r="O345" s="17"/>
      <c r="P345" s="4"/>
    </row>
    <row r="346" spans="3:16" customFormat="1" ht="15.75" customHeight="1">
      <c r="C346" s="17"/>
      <c r="M346" s="4"/>
      <c r="N346" s="27"/>
      <c r="O346" s="17"/>
      <c r="P346" s="4"/>
    </row>
    <row r="347" spans="3:16" customFormat="1" ht="15.75" customHeight="1">
      <c r="C347" s="17"/>
      <c r="M347" s="4"/>
      <c r="N347" s="27"/>
      <c r="O347" s="17"/>
      <c r="P347" s="4"/>
    </row>
    <row r="348" spans="3:16" customFormat="1" ht="15.75" customHeight="1">
      <c r="C348" s="17"/>
      <c r="M348" s="4"/>
      <c r="N348" s="27"/>
      <c r="O348" s="17"/>
      <c r="P348" s="4"/>
    </row>
    <row r="349" spans="3:16" customFormat="1" ht="15.75" customHeight="1">
      <c r="C349" s="17"/>
      <c r="M349" s="4"/>
      <c r="N349" s="27"/>
      <c r="O349" s="17"/>
      <c r="P349" s="4"/>
    </row>
    <row r="350" spans="3:16" customFormat="1" ht="15.75" customHeight="1">
      <c r="C350" s="17"/>
      <c r="M350" s="4"/>
      <c r="N350" s="27"/>
      <c r="O350" s="17"/>
      <c r="P350" s="4"/>
    </row>
    <row r="351" spans="3:16" customFormat="1" ht="15.75" customHeight="1">
      <c r="C351" s="17"/>
      <c r="M351" s="4"/>
      <c r="N351" s="27"/>
      <c r="O351" s="17"/>
      <c r="P351" s="4"/>
    </row>
    <row r="352" spans="3:16" customFormat="1" ht="15.75" customHeight="1">
      <c r="C352" s="17"/>
      <c r="M352" s="4"/>
      <c r="N352" s="27"/>
      <c r="O352" s="17"/>
      <c r="P352" s="4"/>
    </row>
    <row r="353" spans="3:16" customFormat="1" ht="15.75" customHeight="1">
      <c r="C353" s="17"/>
      <c r="M353" s="4"/>
      <c r="N353" s="27"/>
      <c r="O353" s="17"/>
      <c r="P353" s="4"/>
    </row>
    <row r="354" spans="3:16" customFormat="1" ht="15.75" customHeight="1">
      <c r="C354" s="17"/>
      <c r="M354" s="4"/>
      <c r="N354" s="27"/>
      <c r="O354" s="17"/>
      <c r="P354" s="4"/>
    </row>
    <row r="355" spans="3:16" customFormat="1" ht="15.75" customHeight="1">
      <c r="C355" s="17"/>
      <c r="M355" s="4"/>
      <c r="N355" s="27"/>
      <c r="O355" s="17"/>
      <c r="P355" s="4"/>
    </row>
    <row r="356" spans="3:16" customFormat="1" ht="15.75" customHeight="1">
      <c r="C356" s="17"/>
      <c r="M356" s="4"/>
      <c r="N356" s="27"/>
      <c r="O356" s="17"/>
      <c r="P356" s="4"/>
    </row>
    <row r="357" spans="3:16" customFormat="1" ht="15.75" customHeight="1">
      <c r="C357" s="17"/>
      <c r="M357" s="4"/>
      <c r="N357" s="27"/>
      <c r="O357" s="17"/>
      <c r="P357" s="4"/>
    </row>
    <row r="358" spans="3:16" customFormat="1" ht="15.75" customHeight="1">
      <c r="C358" s="17"/>
      <c r="M358" s="4"/>
      <c r="N358" s="27"/>
      <c r="O358" s="17"/>
      <c r="P358" s="4"/>
    </row>
    <row r="359" spans="3:16" customFormat="1" ht="15.75" customHeight="1">
      <c r="C359" s="17"/>
      <c r="M359" s="4"/>
      <c r="N359" s="27"/>
      <c r="O359" s="17"/>
      <c r="P359" s="4"/>
    </row>
    <row r="360" spans="3:16" customFormat="1" ht="15.75" customHeight="1">
      <c r="C360" s="17"/>
      <c r="M360" s="4"/>
      <c r="N360" s="27"/>
      <c r="O360" s="17"/>
      <c r="P360" s="4"/>
    </row>
    <row r="361" spans="3:16" customFormat="1" ht="15.75" customHeight="1">
      <c r="C361" s="17"/>
      <c r="M361" s="4"/>
      <c r="N361" s="27"/>
      <c r="O361" s="17"/>
      <c r="P361" s="4"/>
    </row>
    <row r="362" spans="3:16" customFormat="1" ht="15.75" customHeight="1">
      <c r="C362" s="17"/>
      <c r="M362" s="4"/>
      <c r="N362" s="27"/>
      <c r="O362" s="17"/>
      <c r="P362" s="4"/>
    </row>
    <row r="363" spans="3:16" customFormat="1" ht="15.75" customHeight="1">
      <c r="C363" s="17"/>
      <c r="M363" s="4"/>
      <c r="N363" s="27"/>
      <c r="O363" s="17"/>
      <c r="P363" s="4"/>
    </row>
    <row r="364" spans="3:16" customFormat="1" ht="15.75" customHeight="1">
      <c r="C364" s="17"/>
      <c r="M364" s="4"/>
      <c r="N364" s="27"/>
      <c r="O364" s="17"/>
      <c r="P364" s="4"/>
    </row>
    <row r="365" spans="3:16" customFormat="1" ht="15.75" customHeight="1">
      <c r="C365" s="17"/>
      <c r="M365" s="4"/>
      <c r="N365" s="27"/>
      <c r="O365" s="17"/>
      <c r="P365" s="4"/>
    </row>
    <row r="366" spans="3:16" customFormat="1" ht="15.75" customHeight="1">
      <c r="C366" s="17"/>
      <c r="M366" s="4"/>
      <c r="N366" s="27"/>
      <c r="O366" s="17"/>
      <c r="P366" s="4"/>
    </row>
    <row r="367" spans="3:16" customFormat="1" ht="15.75" customHeight="1">
      <c r="C367" s="17"/>
      <c r="M367" s="4"/>
      <c r="N367" s="27"/>
      <c r="O367" s="17"/>
      <c r="P367" s="4"/>
    </row>
    <row r="368" spans="3:16" customFormat="1" ht="15.75" customHeight="1">
      <c r="C368" s="17"/>
      <c r="M368" s="4"/>
      <c r="N368" s="27"/>
      <c r="O368" s="17"/>
      <c r="P368" s="4"/>
    </row>
    <row r="369" spans="3:16" customFormat="1" ht="15.75" customHeight="1">
      <c r="C369" s="17"/>
      <c r="M369" s="4"/>
      <c r="N369" s="27"/>
      <c r="O369" s="17"/>
      <c r="P369" s="4"/>
    </row>
    <row r="370" spans="3:16" customFormat="1" ht="15.75" customHeight="1">
      <c r="C370" s="17"/>
      <c r="M370" s="4"/>
      <c r="N370" s="27"/>
      <c r="O370" s="17"/>
      <c r="P370" s="4"/>
    </row>
    <row r="371" spans="3:16" customFormat="1" ht="15.75" customHeight="1">
      <c r="C371" s="17"/>
      <c r="M371" s="4"/>
      <c r="N371" s="27"/>
      <c r="O371" s="17"/>
      <c r="P371" s="4"/>
    </row>
    <row r="372" spans="3:16" customFormat="1" ht="15.75" customHeight="1">
      <c r="C372" s="17"/>
      <c r="M372" s="4"/>
      <c r="N372" s="27"/>
      <c r="O372" s="17"/>
      <c r="P372" s="4"/>
    </row>
    <row r="373" spans="3:16" customFormat="1" ht="15.75" customHeight="1">
      <c r="C373" s="17"/>
      <c r="M373" s="4"/>
      <c r="N373" s="27"/>
      <c r="O373" s="17"/>
      <c r="P373" s="4"/>
    </row>
    <row r="374" spans="3:16" customFormat="1" ht="15.75" customHeight="1">
      <c r="C374" s="17"/>
      <c r="M374" s="4"/>
      <c r="N374" s="27"/>
      <c r="O374" s="17"/>
      <c r="P374" s="4"/>
    </row>
    <row r="375" spans="3:16" customFormat="1" ht="15.75" customHeight="1">
      <c r="C375" s="17"/>
      <c r="M375" s="4"/>
      <c r="N375" s="27"/>
      <c r="O375" s="17"/>
      <c r="P375" s="4"/>
    </row>
    <row r="376" spans="3:16" customFormat="1" ht="15.75" customHeight="1">
      <c r="C376" s="17"/>
      <c r="M376" s="4"/>
      <c r="N376" s="27"/>
      <c r="O376" s="17"/>
      <c r="P376" s="4"/>
    </row>
    <row r="377" spans="3:16" customFormat="1" ht="15.75" customHeight="1">
      <c r="C377" s="17"/>
      <c r="M377" s="4"/>
      <c r="N377" s="27"/>
      <c r="O377" s="17"/>
      <c r="P377" s="4"/>
    </row>
    <row r="378" spans="3:16" customFormat="1" ht="15.75" customHeight="1">
      <c r="C378" s="17"/>
      <c r="M378" s="4"/>
      <c r="N378" s="27"/>
      <c r="O378" s="17"/>
      <c r="P378" s="4"/>
    </row>
    <row r="379" spans="3:16" customFormat="1" ht="15.75" customHeight="1">
      <c r="C379" s="17"/>
      <c r="M379" s="4"/>
      <c r="N379" s="27"/>
      <c r="O379" s="17"/>
      <c r="P379" s="4"/>
    </row>
    <row r="380" spans="3:16" customFormat="1" ht="15.75" customHeight="1">
      <c r="C380" s="17"/>
      <c r="M380" s="4"/>
      <c r="N380" s="27"/>
      <c r="O380" s="17"/>
      <c r="P380" s="4"/>
    </row>
    <row r="381" spans="3:16" customFormat="1" ht="15.75" customHeight="1">
      <c r="C381" s="17"/>
      <c r="M381" s="4"/>
      <c r="N381" s="27"/>
      <c r="O381" s="17"/>
      <c r="P381" s="4"/>
    </row>
    <row r="382" spans="3:16" customFormat="1" ht="15.75" customHeight="1">
      <c r="C382" s="17"/>
      <c r="M382" s="4"/>
      <c r="N382" s="27"/>
      <c r="O382" s="17"/>
      <c r="P382" s="4"/>
    </row>
    <row r="383" spans="3:16" customFormat="1" ht="15.75" customHeight="1">
      <c r="C383" s="17"/>
      <c r="M383" s="4"/>
      <c r="N383" s="27"/>
      <c r="O383" s="17"/>
      <c r="P383" s="4"/>
    </row>
    <row r="384" spans="3:16" customFormat="1" ht="15.75" customHeight="1">
      <c r="C384" s="17"/>
      <c r="M384" s="4"/>
      <c r="N384" s="27"/>
      <c r="O384" s="17"/>
      <c r="P384" s="4"/>
    </row>
    <row r="385" spans="3:16" customFormat="1" ht="15.75" customHeight="1">
      <c r="C385" s="17"/>
      <c r="M385" s="4"/>
      <c r="N385" s="27"/>
      <c r="O385" s="17"/>
      <c r="P385" s="4"/>
    </row>
    <row r="386" spans="3:16" customFormat="1" ht="15.75" customHeight="1">
      <c r="C386" s="17"/>
      <c r="M386" s="4"/>
      <c r="N386" s="27"/>
      <c r="O386" s="17"/>
      <c r="P386" s="4"/>
    </row>
    <row r="387" spans="3:16" customFormat="1" ht="15.75" customHeight="1">
      <c r="C387" s="17"/>
      <c r="M387" s="4"/>
      <c r="N387" s="27"/>
      <c r="O387" s="17"/>
      <c r="P387" s="4"/>
    </row>
    <row r="388" spans="3:16" customFormat="1" ht="15.75" customHeight="1">
      <c r="C388" s="17"/>
      <c r="M388" s="4"/>
      <c r="N388" s="27"/>
      <c r="O388" s="17"/>
      <c r="P388" s="4"/>
    </row>
    <row r="389" spans="3:16" customFormat="1" ht="15.75" customHeight="1">
      <c r="C389" s="17"/>
      <c r="M389" s="4"/>
      <c r="N389" s="27"/>
      <c r="O389" s="17"/>
      <c r="P389" s="4"/>
    </row>
    <row r="390" spans="3:16" customFormat="1" ht="15.75" customHeight="1">
      <c r="C390" s="17"/>
      <c r="M390" s="4"/>
      <c r="N390" s="27"/>
      <c r="O390" s="17"/>
      <c r="P390" s="4"/>
    </row>
    <row r="391" spans="3:16" customFormat="1" ht="15.75" customHeight="1">
      <c r="C391" s="17"/>
      <c r="M391" s="4"/>
      <c r="N391" s="27"/>
      <c r="O391" s="17"/>
      <c r="P391" s="4"/>
    </row>
    <row r="392" spans="3:16" customFormat="1" ht="15.75" customHeight="1">
      <c r="C392" s="17"/>
      <c r="M392" s="4"/>
      <c r="N392" s="27"/>
      <c r="O392" s="17"/>
      <c r="P392" s="4"/>
    </row>
    <row r="393" spans="3:16" customFormat="1" ht="15.75" customHeight="1">
      <c r="C393" s="17"/>
      <c r="M393" s="4"/>
      <c r="N393" s="27"/>
      <c r="O393" s="17"/>
      <c r="P393" s="4"/>
    </row>
    <row r="394" spans="3:16" customFormat="1" ht="15.75" customHeight="1">
      <c r="C394" s="17"/>
      <c r="M394" s="4"/>
      <c r="N394" s="27"/>
      <c r="O394" s="17"/>
      <c r="P394" s="4"/>
    </row>
    <row r="395" spans="3:16" customFormat="1" ht="15.75" customHeight="1">
      <c r="C395" s="17"/>
      <c r="M395" s="4"/>
      <c r="N395" s="27"/>
      <c r="O395" s="17"/>
      <c r="P395" s="4"/>
    </row>
    <row r="396" spans="3:16" customFormat="1" ht="15.75" customHeight="1">
      <c r="C396" s="17"/>
      <c r="M396" s="4"/>
      <c r="N396" s="27"/>
      <c r="O396" s="17"/>
      <c r="P396" s="4"/>
    </row>
    <row r="397" spans="3:16" customFormat="1" ht="15.75" customHeight="1">
      <c r="C397" s="17"/>
      <c r="M397" s="4"/>
      <c r="N397" s="27"/>
      <c r="O397" s="17"/>
      <c r="P397" s="4"/>
    </row>
    <row r="398" spans="3:16" customFormat="1" ht="15.75" customHeight="1">
      <c r="C398" s="17"/>
      <c r="M398" s="4"/>
      <c r="N398" s="27"/>
      <c r="O398" s="17"/>
      <c r="P398" s="4"/>
    </row>
    <row r="399" spans="3:16" customFormat="1" ht="15.75" customHeight="1">
      <c r="C399" s="17"/>
      <c r="M399" s="4"/>
      <c r="N399" s="27"/>
      <c r="O399" s="17"/>
      <c r="P399" s="4"/>
    </row>
    <row r="400" spans="3:16" customFormat="1" ht="15.75" customHeight="1">
      <c r="C400" s="17"/>
      <c r="M400" s="4"/>
      <c r="N400" s="27"/>
      <c r="O400" s="17"/>
      <c r="P400" s="4"/>
    </row>
    <row r="401" spans="3:16" customFormat="1" ht="15.75" customHeight="1">
      <c r="C401" s="17"/>
      <c r="M401" s="4"/>
      <c r="N401" s="27"/>
      <c r="O401" s="17"/>
      <c r="P401" s="4"/>
    </row>
    <row r="402" spans="3:16" customFormat="1" ht="15.75" customHeight="1">
      <c r="C402" s="17"/>
      <c r="M402" s="4"/>
      <c r="N402" s="27"/>
      <c r="O402" s="17"/>
      <c r="P402" s="4"/>
    </row>
    <row r="403" spans="3:16" customFormat="1" ht="15.75" customHeight="1">
      <c r="C403" s="17"/>
      <c r="M403" s="4"/>
      <c r="N403" s="27"/>
      <c r="O403" s="17"/>
      <c r="P403" s="4"/>
    </row>
    <row r="404" spans="3:16" customFormat="1" ht="15.75" customHeight="1">
      <c r="C404" s="17"/>
      <c r="M404" s="4"/>
      <c r="N404" s="27"/>
      <c r="O404" s="17"/>
      <c r="P404" s="4"/>
    </row>
    <row r="405" spans="3:16" customFormat="1" ht="15.75" customHeight="1">
      <c r="C405" s="17"/>
      <c r="M405" s="4"/>
      <c r="N405" s="27"/>
      <c r="O405" s="17"/>
      <c r="P405" s="4"/>
    </row>
    <row r="406" spans="3:16" customFormat="1" ht="15.75" customHeight="1">
      <c r="C406" s="17"/>
      <c r="M406" s="4"/>
      <c r="N406" s="27"/>
      <c r="O406" s="17"/>
      <c r="P406" s="4"/>
    </row>
    <row r="407" spans="3:16" customFormat="1" ht="15.75" customHeight="1">
      <c r="C407" s="17"/>
      <c r="M407" s="4"/>
      <c r="N407" s="27"/>
      <c r="O407" s="17"/>
      <c r="P407" s="4"/>
    </row>
    <row r="408" spans="3:16" customFormat="1" ht="15.75" customHeight="1">
      <c r="C408" s="17"/>
      <c r="M408" s="4"/>
      <c r="N408" s="27"/>
      <c r="O408" s="17"/>
      <c r="P408" s="4"/>
    </row>
    <row r="409" spans="3:16" customFormat="1" ht="15.75" customHeight="1">
      <c r="C409" s="17"/>
      <c r="M409" s="4"/>
      <c r="N409" s="27"/>
      <c r="O409" s="17"/>
      <c r="P409" s="4"/>
    </row>
    <row r="410" spans="3:16" customFormat="1" ht="15.75" customHeight="1">
      <c r="C410" s="17"/>
      <c r="M410" s="4"/>
      <c r="N410" s="27"/>
      <c r="O410" s="17"/>
      <c r="P410" s="4"/>
    </row>
    <row r="411" spans="3:16" customFormat="1" ht="15.75" customHeight="1">
      <c r="C411" s="17"/>
      <c r="M411" s="4"/>
      <c r="N411" s="27"/>
      <c r="O411" s="17"/>
      <c r="P411" s="4"/>
    </row>
    <row r="412" spans="3:16" customFormat="1" ht="15.75" customHeight="1">
      <c r="C412" s="17"/>
      <c r="M412" s="4"/>
      <c r="N412" s="27"/>
      <c r="O412" s="17"/>
      <c r="P412" s="4"/>
    </row>
    <row r="413" spans="3:16" customFormat="1" ht="15.75" customHeight="1">
      <c r="C413" s="17"/>
      <c r="M413" s="4"/>
      <c r="N413" s="27"/>
      <c r="O413" s="17"/>
      <c r="P413" s="4"/>
    </row>
    <row r="414" spans="3:16" customFormat="1" ht="15.75" customHeight="1">
      <c r="C414" s="17"/>
      <c r="M414" s="4"/>
      <c r="N414" s="27"/>
      <c r="O414" s="17"/>
      <c r="P414" s="4"/>
    </row>
    <row r="415" spans="3:16" customFormat="1" ht="15.75" customHeight="1">
      <c r="C415" s="17"/>
      <c r="M415" s="4"/>
      <c r="N415" s="27"/>
      <c r="O415" s="17"/>
      <c r="P415" s="4"/>
    </row>
    <row r="416" spans="3:16" customFormat="1" ht="15.75" customHeight="1">
      <c r="C416" s="17"/>
      <c r="M416" s="4"/>
      <c r="N416" s="27"/>
      <c r="O416" s="17"/>
      <c r="P416" s="4"/>
    </row>
    <row r="417" spans="3:16" customFormat="1" ht="15.75" customHeight="1">
      <c r="C417" s="17"/>
      <c r="M417" s="4"/>
      <c r="N417" s="27"/>
      <c r="O417" s="17"/>
      <c r="P417" s="4"/>
    </row>
    <row r="418" spans="3:16" customFormat="1" ht="15.75" customHeight="1">
      <c r="C418" s="17"/>
      <c r="M418" s="4"/>
      <c r="N418" s="27"/>
      <c r="O418" s="17"/>
      <c r="P418" s="4"/>
    </row>
    <row r="419" spans="3:16" customFormat="1" ht="15.75" customHeight="1">
      <c r="C419" s="17"/>
      <c r="M419" s="4"/>
      <c r="N419" s="27"/>
      <c r="O419" s="17"/>
      <c r="P419" s="4"/>
    </row>
    <row r="420" spans="3:16" customFormat="1" ht="15.75" customHeight="1">
      <c r="C420" s="17"/>
      <c r="M420" s="4"/>
      <c r="N420" s="27"/>
      <c r="O420" s="17"/>
      <c r="P420" s="4"/>
    </row>
    <row r="421" spans="3:16" customFormat="1" ht="15.75" customHeight="1">
      <c r="C421" s="17"/>
      <c r="M421" s="4"/>
      <c r="N421" s="27"/>
      <c r="O421" s="17"/>
      <c r="P421" s="4"/>
    </row>
    <row r="422" spans="3:16" customFormat="1" ht="15.75" customHeight="1">
      <c r="C422" s="17"/>
      <c r="M422" s="4"/>
      <c r="N422" s="27"/>
      <c r="O422" s="17"/>
      <c r="P422" s="4"/>
    </row>
    <row r="423" spans="3:16" customFormat="1" ht="15.75" customHeight="1">
      <c r="C423" s="17"/>
      <c r="M423" s="4"/>
      <c r="N423" s="27"/>
      <c r="O423" s="17"/>
      <c r="P423" s="4"/>
    </row>
    <row r="424" spans="3:16" customFormat="1" ht="15.75" customHeight="1">
      <c r="C424" s="17"/>
      <c r="M424" s="4"/>
      <c r="N424" s="27"/>
      <c r="O424" s="17"/>
      <c r="P424" s="4"/>
    </row>
    <row r="425" spans="3:16" customFormat="1" ht="15.75" customHeight="1">
      <c r="C425" s="17"/>
      <c r="M425" s="4"/>
      <c r="N425" s="27"/>
      <c r="O425" s="17"/>
      <c r="P425" s="4"/>
    </row>
    <row r="426" spans="3:16" customFormat="1" ht="15.75" customHeight="1">
      <c r="C426" s="17"/>
      <c r="M426" s="4"/>
      <c r="N426" s="27"/>
      <c r="O426" s="17"/>
      <c r="P426" s="4"/>
    </row>
    <row r="427" spans="3:16" customFormat="1" ht="15.75" customHeight="1">
      <c r="C427" s="17"/>
      <c r="M427" s="4"/>
      <c r="N427" s="27"/>
      <c r="O427" s="17"/>
      <c r="P427" s="4"/>
    </row>
    <row r="428" spans="3:16" customFormat="1" ht="15.75" customHeight="1">
      <c r="C428" s="17"/>
      <c r="M428" s="4"/>
      <c r="N428" s="27"/>
      <c r="O428" s="17"/>
      <c r="P428" s="4"/>
    </row>
    <row r="429" spans="3:16" customFormat="1" ht="15.75" customHeight="1">
      <c r="C429" s="17"/>
      <c r="M429" s="4"/>
      <c r="N429" s="27"/>
      <c r="O429" s="17"/>
      <c r="P429" s="4"/>
    </row>
    <row r="430" spans="3:16" customFormat="1" ht="15.75" customHeight="1">
      <c r="C430" s="17"/>
      <c r="M430" s="4"/>
      <c r="N430" s="27"/>
      <c r="O430" s="17"/>
      <c r="P430" s="4"/>
    </row>
    <row r="431" spans="3:16" customFormat="1" ht="15.75" customHeight="1">
      <c r="C431" s="17"/>
      <c r="M431" s="4"/>
      <c r="N431" s="27"/>
      <c r="O431" s="17"/>
      <c r="P431" s="4"/>
    </row>
    <row r="432" spans="3:16" customFormat="1" ht="15.75" customHeight="1">
      <c r="C432" s="17"/>
      <c r="M432" s="4"/>
      <c r="N432" s="27"/>
      <c r="O432" s="17"/>
      <c r="P432" s="4"/>
    </row>
    <row r="433" spans="3:16" customFormat="1" ht="15.75" customHeight="1">
      <c r="C433" s="17"/>
      <c r="M433" s="4"/>
      <c r="N433" s="27"/>
      <c r="O433" s="17"/>
      <c r="P433" s="4"/>
    </row>
    <row r="434" spans="3:16" customFormat="1" ht="15.75" customHeight="1">
      <c r="C434" s="17"/>
      <c r="M434" s="4"/>
      <c r="N434" s="27"/>
      <c r="O434" s="17"/>
      <c r="P434" s="4"/>
    </row>
    <row r="435" spans="3:16" customFormat="1" ht="15.75" customHeight="1">
      <c r="C435" s="17"/>
      <c r="M435" s="4"/>
      <c r="N435" s="27"/>
      <c r="O435" s="17"/>
      <c r="P435" s="4"/>
    </row>
    <row r="436" spans="3:16" customFormat="1" ht="15.75" customHeight="1">
      <c r="C436" s="17"/>
      <c r="M436" s="4"/>
      <c r="N436" s="27"/>
      <c r="O436" s="17"/>
      <c r="P436" s="4"/>
    </row>
    <row r="437" spans="3:16" customFormat="1" ht="15.75" customHeight="1">
      <c r="C437" s="17"/>
      <c r="M437" s="4"/>
      <c r="N437" s="27"/>
      <c r="O437" s="17"/>
      <c r="P437" s="4"/>
    </row>
    <row r="438" spans="3:16" customFormat="1" ht="15.75" customHeight="1">
      <c r="C438" s="17"/>
      <c r="M438" s="4"/>
      <c r="N438" s="27"/>
      <c r="O438" s="17"/>
      <c r="P438" s="4"/>
    </row>
    <row r="439" spans="3:16" customFormat="1" ht="15.75" customHeight="1">
      <c r="C439" s="17"/>
      <c r="M439" s="4"/>
      <c r="N439" s="27"/>
      <c r="O439" s="17"/>
      <c r="P439" s="4"/>
    </row>
    <row r="440" spans="3:16" customFormat="1" ht="15.75" customHeight="1">
      <c r="C440" s="17"/>
      <c r="M440" s="4"/>
      <c r="N440" s="27"/>
      <c r="O440" s="17"/>
      <c r="P440" s="4"/>
    </row>
    <row r="441" spans="3:16" customFormat="1" ht="15.75" customHeight="1">
      <c r="C441" s="17"/>
      <c r="M441" s="4"/>
      <c r="N441" s="27"/>
      <c r="O441" s="17"/>
      <c r="P441" s="4"/>
    </row>
    <row r="442" spans="3:16" customFormat="1" ht="15.75" customHeight="1">
      <c r="C442" s="17"/>
      <c r="M442" s="4"/>
      <c r="N442" s="27"/>
      <c r="O442" s="17"/>
      <c r="P442" s="4"/>
    </row>
    <row r="443" spans="3:16" customFormat="1" ht="15.75" customHeight="1">
      <c r="C443" s="17"/>
      <c r="M443" s="4"/>
      <c r="N443" s="27"/>
      <c r="O443" s="17"/>
      <c r="P443" s="4"/>
    </row>
    <row r="444" spans="3:16" customFormat="1" ht="15.75" customHeight="1">
      <c r="C444" s="17"/>
      <c r="M444" s="4"/>
      <c r="N444" s="27"/>
      <c r="O444" s="17"/>
      <c r="P444" s="4"/>
    </row>
    <row r="445" spans="3:16" customFormat="1" ht="15.75" customHeight="1">
      <c r="C445" s="17"/>
      <c r="M445" s="4"/>
      <c r="N445" s="27"/>
      <c r="O445" s="17"/>
      <c r="P445" s="4"/>
    </row>
    <row r="446" spans="3:16" customFormat="1" ht="15.75" customHeight="1">
      <c r="C446" s="17"/>
      <c r="M446" s="4"/>
      <c r="N446" s="27"/>
      <c r="O446" s="17"/>
      <c r="P446" s="4"/>
    </row>
    <row r="447" spans="3:16" customFormat="1" ht="15.75" customHeight="1">
      <c r="C447" s="17"/>
      <c r="M447" s="4"/>
      <c r="N447" s="27"/>
      <c r="O447" s="17"/>
      <c r="P447" s="4"/>
    </row>
    <row r="448" spans="3:16" customFormat="1" ht="15.75" customHeight="1">
      <c r="C448" s="17"/>
      <c r="M448" s="4"/>
      <c r="N448" s="27"/>
      <c r="O448" s="17"/>
      <c r="P448" s="4"/>
    </row>
    <row r="449" spans="3:16" customFormat="1" ht="15.75" customHeight="1">
      <c r="C449" s="17"/>
      <c r="M449" s="4"/>
      <c r="N449" s="27"/>
      <c r="O449" s="17"/>
      <c r="P449" s="4"/>
    </row>
    <row r="450" spans="3:16" customFormat="1" ht="15.75" customHeight="1">
      <c r="C450" s="17"/>
      <c r="M450" s="4"/>
      <c r="N450" s="27"/>
      <c r="O450" s="17"/>
      <c r="P450" s="4"/>
    </row>
    <row r="451" spans="3:16" customFormat="1" ht="15.75" customHeight="1">
      <c r="C451" s="17"/>
      <c r="M451" s="4"/>
      <c r="N451" s="27"/>
      <c r="O451" s="17"/>
      <c r="P451" s="4"/>
    </row>
    <row r="452" spans="3:16" customFormat="1" ht="15.75" customHeight="1">
      <c r="C452" s="17"/>
      <c r="M452" s="4"/>
      <c r="N452" s="27"/>
      <c r="O452" s="17"/>
      <c r="P452" s="4"/>
    </row>
    <row r="453" spans="3:16" customFormat="1" ht="15.75" customHeight="1">
      <c r="C453" s="17"/>
      <c r="M453" s="4"/>
      <c r="N453" s="27"/>
      <c r="O453" s="17"/>
      <c r="P453" s="4"/>
    </row>
    <row r="454" spans="3:16" customFormat="1" ht="15.75" customHeight="1">
      <c r="C454" s="17"/>
      <c r="M454" s="4"/>
      <c r="N454" s="27"/>
      <c r="O454" s="17"/>
      <c r="P454" s="4"/>
    </row>
    <row r="455" spans="3:16" customFormat="1" ht="15.75" customHeight="1">
      <c r="C455" s="17"/>
      <c r="M455" s="4"/>
      <c r="N455" s="27"/>
      <c r="O455" s="17"/>
      <c r="P455" s="4"/>
    </row>
    <row r="456" spans="3:16" customFormat="1" ht="15.75" customHeight="1">
      <c r="C456" s="17"/>
      <c r="M456" s="4"/>
      <c r="N456" s="27"/>
      <c r="O456" s="17"/>
      <c r="P456" s="4"/>
    </row>
    <row r="457" spans="3:16" customFormat="1" ht="15.75" customHeight="1">
      <c r="C457" s="17"/>
      <c r="M457" s="4"/>
      <c r="N457" s="27"/>
      <c r="O457" s="17"/>
      <c r="P457" s="4"/>
    </row>
    <row r="458" spans="3:16" customFormat="1" ht="15.75" customHeight="1">
      <c r="C458" s="17"/>
      <c r="M458" s="4"/>
      <c r="N458" s="27"/>
      <c r="O458" s="17"/>
      <c r="P458" s="4"/>
    </row>
    <row r="459" spans="3:16" customFormat="1" ht="15.75" customHeight="1">
      <c r="C459" s="17"/>
      <c r="M459" s="4"/>
      <c r="N459" s="27"/>
      <c r="O459" s="17"/>
      <c r="P459" s="4"/>
    </row>
    <row r="460" spans="3:16" customFormat="1" ht="15.75" customHeight="1">
      <c r="C460" s="17"/>
      <c r="M460" s="4"/>
      <c r="N460" s="27"/>
      <c r="O460" s="17"/>
      <c r="P460" s="4"/>
    </row>
    <row r="461" spans="3:16" customFormat="1" ht="15.75" customHeight="1">
      <c r="C461" s="17"/>
      <c r="M461" s="4"/>
      <c r="N461" s="27"/>
      <c r="O461" s="17"/>
      <c r="P461" s="4"/>
    </row>
    <row r="462" spans="3:16" customFormat="1" ht="15.75" customHeight="1">
      <c r="C462" s="17"/>
      <c r="M462" s="4"/>
      <c r="N462" s="27"/>
      <c r="O462" s="17"/>
      <c r="P462" s="4"/>
    </row>
    <row r="463" spans="3:16" customFormat="1" ht="15.75" customHeight="1">
      <c r="C463" s="17"/>
      <c r="M463" s="4"/>
      <c r="N463" s="27"/>
      <c r="O463" s="17"/>
      <c r="P463" s="4"/>
    </row>
    <row r="464" spans="3:16" customFormat="1" ht="15.75" customHeight="1">
      <c r="C464" s="17"/>
      <c r="M464" s="4"/>
      <c r="N464" s="27"/>
      <c r="O464" s="17"/>
      <c r="P464" s="4"/>
    </row>
    <row r="465" spans="3:16" customFormat="1" ht="15.75" customHeight="1">
      <c r="C465" s="17"/>
      <c r="M465" s="4"/>
      <c r="N465" s="27"/>
      <c r="O465" s="17"/>
      <c r="P465" s="4"/>
    </row>
    <row r="466" spans="3:16" customFormat="1" ht="15.75" customHeight="1">
      <c r="C466" s="17"/>
      <c r="M466" s="4"/>
      <c r="N466" s="27"/>
      <c r="O466" s="17"/>
      <c r="P466" s="4"/>
    </row>
    <row r="467" spans="3:16" customFormat="1" ht="15.75" customHeight="1">
      <c r="C467" s="17"/>
      <c r="M467" s="4"/>
      <c r="N467" s="27"/>
      <c r="O467" s="17"/>
      <c r="P467" s="4"/>
    </row>
    <row r="468" spans="3:16" customFormat="1" ht="15.75" customHeight="1">
      <c r="C468" s="17"/>
      <c r="M468" s="4"/>
      <c r="N468" s="27"/>
      <c r="O468" s="17"/>
      <c r="P468" s="4"/>
    </row>
    <row r="469" spans="3:16" customFormat="1" ht="15.75" customHeight="1">
      <c r="C469" s="17"/>
      <c r="M469" s="4"/>
      <c r="N469" s="27"/>
      <c r="O469" s="17"/>
      <c r="P469" s="4"/>
    </row>
    <row r="470" spans="3:16" customFormat="1" ht="15.75" customHeight="1">
      <c r="C470" s="17"/>
      <c r="M470" s="4"/>
      <c r="N470" s="27"/>
      <c r="O470" s="17"/>
      <c r="P470" s="4"/>
    </row>
    <row r="471" spans="3:16" customFormat="1" ht="15.75" customHeight="1">
      <c r="C471" s="17"/>
      <c r="M471" s="4"/>
      <c r="N471" s="27"/>
      <c r="O471" s="17"/>
      <c r="P471" s="4"/>
    </row>
    <row r="472" spans="3:16" customFormat="1" ht="15.75" customHeight="1">
      <c r="C472" s="17"/>
      <c r="M472" s="4"/>
      <c r="N472" s="27"/>
      <c r="O472" s="17"/>
      <c r="P472" s="4"/>
    </row>
    <row r="473" spans="3:16" customFormat="1" ht="15.75" customHeight="1">
      <c r="C473" s="17"/>
      <c r="M473" s="4"/>
      <c r="N473" s="27"/>
      <c r="O473" s="17"/>
      <c r="P473" s="4"/>
    </row>
    <row r="474" spans="3:16" customFormat="1" ht="15.75" customHeight="1">
      <c r="C474" s="17"/>
      <c r="M474" s="4"/>
      <c r="N474" s="27"/>
      <c r="O474" s="17"/>
      <c r="P474" s="4"/>
    </row>
    <row r="475" spans="3:16" customFormat="1" ht="15.75" customHeight="1">
      <c r="C475" s="17"/>
      <c r="M475" s="4"/>
      <c r="N475" s="27"/>
      <c r="O475" s="17"/>
      <c r="P475" s="4"/>
    </row>
    <row r="476" spans="3:16" customFormat="1" ht="15.75" customHeight="1">
      <c r="C476" s="17"/>
      <c r="M476" s="4"/>
      <c r="N476" s="27"/>
      <c r="O476" s="17"/>
      <c r="P476" s="4"/>
    </row>
    <row r="477" spans="3:16" customFormat="1" ht="15.75" customHeight="1">
      <c r="C477" s="17"/>
      <c r="M477" s="4"/>
      <c r="N477" s="27"/>
      <c r="O477" s="17"/>
      <c r="P477" s="4"/>
    </row>
    <row r="478" spans="3:16" customFormat="1" ht="15.75" customHeight="1">
      <c r="C478" s="17"/>
      <c r="M478" s="4"/>
      <c r="N478" s="27"/>
      <c r="O478" s="17"/>
      <c r="P478" s="4"/>
    </row>
    <row r="479" spans="3:16" customFormat="1" ht="15.75" customHeight="1">
      <c r="C479" s="17"/>
      <c r="M479" s="4"/>
      <c r="N479" s="27"/>
      <c r="O479" s="17"/>
      <c r="P479" s="4"/>
    </row>
    <row r="480" spans="3:16" customFormat="1" ht="15.75" customHeight="1">
      <c r="C480" s="17"/>
      <c r="M480" s="4"/>
      <c r="N480" s="27"/>
      <c r="O480" s="17"/>
      <c r="P480" s="4"/>
    </row>
    <row r="481" spans="3:16" customFormat="1" ht="15.75" customHeight="1">
      <c r="C481" s="17"/>
      <c r="M481" s="4"/>
      <c r="N481" s="27"/>
      <c r="O481" s="17"/>
      <c r="P481" s="4"/>
    </row>
    <row r="482" spans="3:16" customFormat="1" ht="15.75" customHeight="1">
      <c r="C482" s="17"/>
      <c r="M482" s="4"/>
      <c r="N482" s="27"/>
      <c r="O482" s="17"/>
      <c r="P482" s="4"/>
    </row>
    <row r="483" spans="3:16" customFormat="1" ht="15.75" customHeight="1">
      <c r="C483" s="17"/>
      <c r="M483" s="4"/>
      <c r="N483" s="27"/>
      <c r="O483" s="17"/>
      <c r="P483" s="4"/>
    </row>
    <row r="484" spans="3:16" customFormat="1" ht="15.75" customHeight="1">
      <c r="C484" s="17"/>
      <c r="M484" s="4"/>
      <c r="N484" s="27"/>
      <c r="O484" s="17"/>
      <c r="P484" s="4"/>
    </row>
    <row r="485" spans="3:16" customFormat="1" ht="15.75" customHeight="1">
      <c r="C485" s="17"/>
      <c r="M485" s="4"/>
      <c r="N485" s="27"/>
      <c r="O485" s="17"/>
      <c r="P485" s="4"/>
    </row>
    <row r="486" spans="3:16" customFormat="1" ht="15.75" customHeight="1">
      <c r="C486" s="17"/>
      <c r="M486" s="4"/>
      <c r="N486" s="27"/>
      <c r="O486" s="17"/>
      <c r="P486" s="4"/>
    </row>
    <row r="487" spans="3:16" customFormat="1" ht="15.75" customHeight="1">
      <c r="C487" s="17"/>
      <c r="M487" s="4"/>
      <c r="N487" s="27"/>
      <c r="O487" s="17"/>
      <c r="P487" s="4"/>
    </row>
    <row r="488" spans="3:16" customFormat="1" ht="15.75" customHeight="1">
      <c r="C488" s="17"/>
      <c r="M488" s="4"/>
      <c r="N488" s="27"/>
      <c r="O488" s="17"/>
      <c r="P488" s="4"/>
    </row>
    <row r="489" spans="3:16" customFormat="1" ht="15.75" customHeight="1">
      <c r="C489" s="17"/>
      <c r="M489" s="4"/>
      <c r="N489" s="27"/>
      <c r="O489" s="17"/>
      <c r="P489" s="4"/>
    </row>
    <row r="490" spans="3:16" customFormat="1" ht="15.75" customHeight="1">
      <c r="C490" s="17"/>
      <c r="M490" s="4"/>
      <c r="N490" s="27"/>
      <c r="O490" s="17"/>
      <c r="P490" s="4"/>
    </row>
    <row r="491" spans="3:16" customFormat="1" ht="15.75" customHeight="1">
      <c r="C491" s="17"/>
      <c r="M491" s="4"/>
      <c r="N491" s="27"/>
      <c r="O491" s="17"/>
      <c r="P491" s="4"/>
    </row>
    <row r="492" spans="3:16" customFormat="1" ht="15.75" customHeight="1">
      <c r="C492" s="17"/>
      <c r="M492" s="4"/>
      <c r="N492" s="27"/>
      <c r="O492" s="17"/>
      <c r="P492" s="4"/>
    </row>
    <row r="493" spans="3:16" customFormat="1" ht="15.75" customHeight="1">
      <c r="C493" s="17"/>
      <c r="M493" s="4"/>
      <c r="N493" s="27"/>
      <c r="O493" s="17"/>
      <c r="P493" s="4"/>
    </row>
    <row r="494" spans="3:16" customFormat="1" ht="15.75" customHeight="1">
      <c r="C494" s="17"/>
      <c r="M494" s="4"/>
      <c r="N494" s="27"/>
      <c r="O494" s="17"/>
      <c r="P494" s="4"/>
    </row>
    <row r="495" spans="3:16" customFormat="1" ht="15.75" customHeight="1">
      <c r="C495" s="17"/>
      <c r="M495" s="4"/>
      <c r="N495" s="27"/>
      <c r="O495" s="17"/>
      <c r="P495" s="4"/>
    </row>
    <row r="496" spans="3:16" customFormat="1" ht="15.75" customHeight="1">
      <c r="C496" s="17"/>
      <c r="M496" s="4"/>
      <c r="N496" s="27"/>
      <c r="O496" s="17"/>
      <c r="P496" s="4"/>
    </row>
    <row r="497" spans="3:16" customFormat="1" ht="15.75" customHeight="1">
      <c r="C497" s="17"/>
      <c r="M497" s="4"/>
      <c r="N497" s="27"/>
      <c r="O497" s="17"/>
      <c r="P497" s="4"/>
    </row>
    <row r="498" spans="3:16" customFormat="1" ht="15.75" customHeight="1">
      <c r="C498" s="17"/>
      <c r="M498" s="4"/>
      <c r="N498" s="27"/>
      <c r="O498" s="17"/>
      <c r="P498" s="4"/>
    </row>
    <row r="499" spans="3:16" customFormat="1" ht="15.75" customHeight="1">
      <c r="C499" s="17"/>
      <c r="M499" s="4"/>
      <c r="N499" s="27"/>
      <c r="O499" s="17"/>
      <c r="P499" s="4"/>
    </row>
    <row r="500" spans="3:16" customFormat="1" ht="15.75" customHeight="1">
      <c r="C500" s="17"/>
      <c r="M500" s="4"/>
      <c r="N500" s="27"/>
      <c r="O500" s="17"/>
      <c r="P500" s="4"/>
    </row>
    <row r="501" spans="3:16" customFormat="1" ht="15.75" customHeight="1">
      <c r="C501" s="17"/>
      <c r="M501" s="4"/>
      <c r="N501" s="27"/>
      <c r="O501" s="17"/>
      <c r="P501" s="4"/>
    </row>
    <row r="502" spans="3:16" customFormat="1" ht="15.75" customHeight="1">
      <c r="C502" s="17"/>
      <c r="M502" s="4"/>
      <c r="N502" s="27"/>
      <c r="O502" s="17"/>
      <c r="P502" s="4"/>
    </row>
    <row r="503" spans="3:16" customFormat="1" ht="15.75" customHeight="1">
      <c r="C503" s="17"/>
      <c r="M503" s="4"/>
      <c r="N503" s="27"/>
      <c r="O503" s="17"/>
      <c r="P503" s="4"/>
    </row>
    <row r="504" spans="3:16" customFormat="1" ht="15.75" customHeight="1">
      <c r="C504" s="17"/>
      <c r="M504" s="4"/>
      <c r="N504" s="27"/>
      <c r="O504" s="17"/>
      <c r="P504" s="4"/>
    </row>
    <row r="505" spans="3:16" customFormat="1" ht="15.75" customHeight="1">
      <c r="C505" s="17"/>
      <c r="M505" s="4"/>
      <c r="N505" s="27"/>
      <c r="O505" s="17"/>
      <c r="P505" s="4"/>
    </row>
    <row r="506" spans="3:16" customFormat="1" ht="15.75" customHeight="1">
      <c r="C506" s="17"/>
      <c r="M506" s="4"/>
      <c r="N506" s="27"/>
      <c r="O506" s="17"/>
      <c r="P506" s="4"/>
    </row>
    <row r="507" spans="3:16" customFormat="1" ht="15.75" customHeight="1">
      <c r="C507" s="17"/>
      <c r="M507" s="4"/>
      <c r="N507" s="27"/>
      <c r="O507" s="17"/>
      <c r="P507" s="4"/>
    </row>
    <row r="508" spans="3:16" customFormat="1" ht="15.75" customHeight="1">
      <c r="C508" s="17"/>
      <c r="M508" s="4"/>
      <c r="N508" s="27"/>
      <c r="O508" s="17"/>
      <c r="P508" s="4"/>
    </row>
    <row r="509" spans="3:16" customFormat="1" ht="15.75" customHeight="1">
      <c r="C509" s="17"/>
      <c r="M509" s="4"/>
      <c r="N509" s="27"/>
      <c r="O509" s="17"/>
      <c r="P509" s="4"/>
    </row>
    <row r="510" spans="3:16" customFormat="1" ht="15.75" customHeight="1">
      <c r="C510" s="17"/>
      <c r="M510" s="4"/>
      <c r="N510" s="27"/>
      <c r="O510" s="17"/>
      <c r="P510" s="4"/>
    </row>
    <row r="511" spans="3:16" customFormat="1" ht="15.75" customHeight="1">
      <c r="C511" s="17"/>
      <c r="M511" s="4"/>
      <c r="N511" s="27"/>
      <c r="O511" s="17"/>
      <c r="P511" s="4"/>
    </row>
    <row r="512" spans="3:16" customFormat="1" ht="15.75" customHeight="1">
      <c r="C512" s="17"/>
      <c r="M512" s="4"/>
      <c r="N512" s="27"/>
      <c r="O512" s="17"/>
      <c r="P512" s="4"/>
    </row>
    <row r="513" spans="3:16" customFormat="1" ht="15.75" customHeight="1">
      <c r="C513" s="17"/>
      <c r="M513" s="4"/>
      <c r="N513" s="27"/>
      <c r="O513" s="17"/>
      <c r="P513" s="4"/>
    </row>
    <row r="514" spans="3:16" customFormat="1" ht="15.75" customHeight="1">
      <c r="C514" s="17"/>
      <c r="M514" s="4"/>
      <c r="N514" s="27"/>
      <c r="O514" s="17"/>
      <c r="P514" s="4"/>
    </row>
    <row r="515" spans="3:16" customFormat="1" ht="15.75" customHeight="1">
      <c r="C515" s="17"/>
      <c r="M515" s="4"/>
      <c r="N515" s="27"/>
      <c r="O515" s="17"/>
      <c r="P515" s="4"/>
    </row>
    <row r="516" spans="3:16" customFormat="1" ht="15.75" customHeight="1">
      <c r="C516" s="17"/>
      <c r="M516" s="4"/>
      <c r="N516" s="27"/>
      <c r="O516" s="17"/>
      <c r="P516" s="4"/>
    </row>
    <row r="517" spans="3:16" customFormat="1" ht="15.75" customHeight="1">
      <c r="C517" s="17"/>
      <c r="M517" s="4"/>
      <c r="N517" s="27"/>
      <c r="O517" s="17"/>
      <c r="P517" s="4"/>
    </row>
    <row r="518" spans="3:16" customFormat="1" ht="15.75" customHeight="1">
      <c r="C518" s="17"/>
      <c r="M518" s="4"/>
      <c r="N518" s="27"/>
      <c r="O518" s="17"/>
      <c r="P518" s="4"/>
    </row>
    <row r="519" spans="3:16" customFormat="1" ht="15.75" customHeight="1">
      <c r="C519" s="17"/>
      <c r="M519" s="4"/>
      <c r="N519" s="27"/>
      <c r="O519" s="17"/>
      <c r="P519" s="4"/>
    </row>
    <row r="520" spans="3:16" customFormat="1" ht="15.75" customHeight="1">
      <c r="C520" s="17"/>
      <c r="M520" s="4"/>
      <c r="N520" s="27"/>
      <c r="O520" s="17"/>
      <c r="P520" s="4"/>
    </row>
    <row r="521" spans="3:16" customFormat="1" ht="15.75" customHeight="1">
      <c r="C521" s="17"/>
      <c r="M521" s="4"/>
      <c r="N521" s="27"/>
      <c r="O521" s="17"/>
      <c r="P521" s="4"/>
    </row>
    <row r="522" spans="3:16" customFormat="1" ht="15.75" customHeight="1">
      <c r="C522" s="17"/>
      <c r="M522" s="4"/>
      <c r="N522" s="27"/>
      <c r="O522" s="17"/>
      <c r="P522" s="4"/>
    </row>
    <row r="523" spans="3:16" customFormat="1" ht="15.75" customHeight="1">
      <c r="C523" s="17"/>
      <c r="M523" s="4"/>
      <c r="N523" s="27"/>
      <c r="O523" s="17"/>
      <c r="P523" s="4"/>
    </row>
    <row r="524" spans="3:16" customFormat="1" ht="15.75" customHeight="1">
      <c r="C524" s="17"/>
      <c r="M524" s="4"/>
      <c r="N524" s="27"/>
      <c r="O524" s="17"/>
      <c r="P524" s="4"/>
    </row>
    <row r="525" spans="3:16" customFormat="1" ht="15.75" customHeight="1">
      <c r="C525" s="17"/>
      <c r="M525" s="4"/>
      <c r="N525" s="27"/>
      <c r="O525" s="17"/>
      <c r="P525" s="4"/>
    </row>
    <row r="526" spans="3:16" customFormat="1" ht="15.75" customHeight="1">
      <c r="C526" s="17"/>
      <c r="M526" s="4"/>
      <c r="N526" s="27"/>
      <c r="O526" s="17"/>
      <c r="P526" s="4"/>
    </row>
    <row r="527" spans="3:16" customFormat="1" ht="15.75" customHeight="1">
      <c r="C527" s="17"/>
      <c r="M527" s="4"/>
      <c r="N527" s="27"/>
      <c r="O527" s="17"/>
      <c r="P527" s="4"/>
    </row>
    <row r="528" spans="3:16" customFormat="1" ht="15.75" customHeight="1">
      <c r="C528" s="17"/>
      <c r="M528" s="4"/>
      <c r="N528" s="27"/>
      <c r="O528" s="17"/>
      <c r="P528" s="4"/>
    </row>
    <row r="529" spans="3:16" customFormat="1" ht="15.75" customHeight="1">
      <c r="C529" s="17"/>
      <c r="M529" s="4"/>
      <c r="N529" s="27"/>
      <c r="O529" s="17"/>
      <c r="P529" s="4"/>
    </row>
    <row r="530" spans="3:16" customFormat="1" ht="15.75" customHeight="1">
      <c r="C530" s="17"/>
      <c r="M530" s="4"/>
      <c r="N530" s="27"/>
      <c r="O530" s="17"/>
      <c r="P530" s="4"/>
    </row>
    <row r="531" spans="3:16" customFormat="1" ht="15.75" customHeight="1">
      <c r="C531" s="17"/>
      <c r="M531" s="4"/>
      <c r="N531" s="27"/>
      <c r="O531" s="17"/>
      <c r="P531" s="4"/>
    </row>
    <row r="532" spans="3:16" customFormat="1" ht="15.75" customHeight="1">
      <c r="C532" s="17"/>
      <c r="M532" s="4"/>
      <c r="N532" s="27"/>
      <c r="O532" s="17"/>
      <c r="P532" s="4"/>
    </row>
    <row r="533" spans="3:16" customFormat="1" ht="15.75" customHeight="1">
      <c r="C533" s="17"/>
      <c r="M533" s="4"/>
      <c r="N533" s="27"/>
      <c r="O533" s="17"/>
      <c r="P533" s="4"/>
    </row>
    <row r="534" spans="3:16" customFormat="1" ht="15.75" customHeight="1">
      <c r="C534" s="17"/>
      <c r="M534" s="4"/>
      <c r="N534" s="27"/>
      <c r="O534" s="17"/>
      <c r="P534" s="4"/>
    </row>
    <row r="535" spans="3:16" customFormat="1" ht="15.75" customHeight="1">
      <c r="C535" s="17"/>
      <c r="M535" s="4"/>
      <c r="N535" s="27"/>
      <c r="O535" s="17"/>
      <c r="P535" s="4"/>
    </row>
    <row r="536" spans="3:16" customFormat="1" ht="15.75" customHeight="1">
      <c r="C536" s="17"/>
      <c r="M536" s="4"/>
      <c r="N536" s="27"/>
      <c r="O536" s="17"/>
      <c r="P536" s="4"/>
    </row>
    <row r="537" spans="3:16" customFormat="1" ht="15.75" customHeight="1">
      <c r="C537" s="17"/>
      <c r="M537" s="4"/>
      <c r="N537" s="27"/>
      <c r="O537" s="17"/>
      <c r="P537" s="4"/>
    </row>
    <row r="538" spans="3:16" customFormat="1" ht="15.75" customHeight="1">
      <c r="C538" s="17"/>
      <c r="M538" s="4"/>
      <c r="N538" s="27"/>
      <c r="O538" s="17"/>
      <c r="P538" s="4"/>
    </row>
    <row r="539" spans="3:16" customFormat="1" ht="15.75" customHeight="1">
      <c r="C539" s="17"/>
      <c r="M539" s="4"/>
      <c r="N539" s="27"/>
      <c r="O539" s="17"/>
      <c r="P539" s="4"/>
    </row>
    <row r="540" spans="3:16" customFormat="1" ht="15.75" customHeight="1">
      <c r="C540" s="17"/>
      <c r="M540" s="4"/>
      <c r="N540" s="27"/>
      <c r="O540" s="17"/>
      <c r="P540" s="4"/>
    </row>
    <row r="541" spans="3:16" customFormat="1" ht="15.75" customHeight="1">
      <c r="C541" s="17"/>
      <c r="M541" s="4"/>
      <c r="N541" s="27"/>
      <c r="O541" s="17"/>
      <c r="P541" s="4"/>
    </row>
    <row r="542" spans="3:16" customFormat="1" ht="15.75" customHeight="1">
      <c r="C542" s="17"/>
      <c r="M542" s="4"/>
      <c r="N542" s="27"/>
      <c r="O542" s="17"/>
      <c r="P542" s="4"/>
    </row>
    <row r="543" spans="3:16" customFormat="1" ht="15.75" customHeight="1">
      <c r="C543" s="17"/>
      <c r="M543" s="4"/>
      <c r="N543" s="27"/>
      <c r="O543" s="17"/>
      <c r="P543" s="4"/>
    </row>
    <row r="544" spans="3:16" customFormat="1" ht="15.75" customHeight="1">
      <c r="C544" s="17"/>
      <c r="M544" s="4"/>
      <c r="N544" s="27"/>
      <c r="O544" s="17"/>
      <c r="P544" s="4"/>
    </row>
    <row r="545" spans="3:16" customFormat="1" ht="15.75" customHeight="1">
      <c r="C545" s="17"/>
      <c r="M545" s="4"/>
      <c r="N545" s="27"/>
      <c r="O545" s="17"/>
      <c r="P545" s="4"/>
    </row>
    <row r="546" spans="3:16" customFormat="1" ht="15.75" customHeight="1">
      <c r="C546" s="17"/>
      <c r="M546" s="4"/>
      <c r="N546" s="27"/>
      <c r="O546" s="17"/>
      <c r="P546" s="4"/>
    </row>
    <row r="547" spans="3:16" customFormat="1" ht="15.75" customHeight="1">
      <c r="C547" s="17"/>
      <c r="M547" s="4"/>
      <c r="N547" s="27"/>
      <c r="O547" s="17"/>
      <c r="P547" s="4"/>
    </row>
    <row r="548" spans="3:16" customFormat="1" ht="15.75" customHeight="1">
      <c r="C548" s="17"/>
      <c r="M548" s="4"/>
      <c r="N548" s="27"/>
      <c r="O548" s="17"/>
      <c r="P548" s="4"/>
    </row>
    <row r="549" spans="3:16" customFormat="1" ht="15.75" customHeight="1">
      <c r="C549" s="17"/>
      <c r="M549" s="4"/>
      <c r="N549" s="27"/>
      <c r="O549" s="17"/>
      <c r="P549" s="4"/>
    </row>
    <row r="550" spans="3:16" customFormat="1" ht="15.75" customHeight="1">
      <c r="C550" s="17"/>
      <c r="M550" s="4"/>
      <c r="N550" s="27"/>
      <c r="O550" s="17"/>
      <c r="P550" s="4"/>
    </row>
    <row r="551" spans="3:16" customFormat="1" ht="15.75" customHeight="1">
      <c r="C551" s="17"/>
      <c r="M551" s="4"/>
      <c r="N551" s="27"/>
      <c r="O551" s="17"/>
      <c r="P551" s="4"/>
    </row>
    <row r="552" spans="3:16" customFormat="1" ht="15.75" customHeight="1">
      <c r="C552" s="17"/>
      <c r="M552" s="4"/>
      <c r="N552" s="27"/>
      <c r="O552" s="17"/>
      <c r="P552" s="4"/>
    </row>
    <row r="553" spans="3:16" customFormat="1" ht="15.75" customHeight="1">
      <c r="C553" s="17"/>
      <c r="M553" s="4"/>
      <c r="N553" s="27"/>
      <c r="O553" s="17"/>
      <c r="P553" s="4"/>
    </row>
    <row r="554" spans="3:16" customFormat="1" ht="15.75" customHeight="1">
      <c r="C554" s="17"/>
      <c r="M554" s="4"/>
      <c r="N554" s="27"/>
      <c r="O554" s="17"/>
      <c r="P554" s="4"/>
    </row>
    <row r="555" spans="3:16" customFormat="1" ht="15.75" customHeight="1">
      <c r="C555" s="17"/>
      <c r="M555" s="4"/>
      <c r="N555" s="27"/>
      <c r="O555" s="17"/>
      <c r="P555" s="4"/>
    </row>
    <row r="556" spans="3:16" customFormat="1" ht="15.75" customHeight="1">
      <c r="C556" s="17"/>
      <c r="M556" s="4"/>
      <c r="N556" s="27"/>
      <c r="O556" s="17"/>
      <c r="P556" s="4"/>
    </row>
    <row r="557" spans="3:16" customFormat="1" ht="15.75" customHeight="1">
      <c r="C557" s="17"/>
      <c r="M557" s="4"/>
      <c r="N557" s="27"/>
      <c r="O557" s="17"/>
      <c r="P557" s="4"/>
    </row>
    <row r="558" spans="3:16" customFormat="1" ht="15.75" customHeight="1">
      <c r="C558" s="17"/>
      <c r="M558" s="4"/>
      <c r="N558" s="27"/>
      <c r="O558" s="17"/>
      <c r="P558" s="4"/>
    </row>
    <row r="559" spans="3:16" customFormat="1" ht="15.75" customHeight="1">
      <c r="C559" s="17"/>
      <c r="M559" s="4"/>
      <c r="N559" s="27"/>
      <c r="O559" s="17"/>
      <c r="P559" s="4"/>
    </row>
    <row r="560" spans="3:16" customFormat="1" ht="15.75" customHeight="1">
      <c r="C560" s="17"/>
      <c r="M560" s="4"/>
      <c r="N560" s="27"/>
      <c r="O560" s="17"/>
      <c r="P560" s="4"/>
    </row>
    <row r="561" spans="3:16" customFormat="1" ht="15.75" customHeight="1">
      <c r="C561" s="17"/>
      <c r="M561" s="4"/>
      <c r="N561" s="27"/>
      <c r="O561" s="17"/>
      <c r="P561" s="4"/>
    </row>
    <row r="562" spans="3:16" customFormat="1" ht="15.75" customHeight="1">
      <c r="C562" s="17"/>
      <c r="M562" s="4"/>
      <c r="N562" s="27"/>
      <c r="O562" s="17"/>
      <c r="P562" s="4"/>
    </row>
    <row r="563" spans="3:16" customFormat="1" ht="15.75" customHeight="1">
      <c r="C563" s="17"/>
      <c r="M563" s="4"/>
      <c r="N563" s="27"/>
      <c r="O563" s="17"/>
      <c r="P563" s="4"/>
    </row>
    <row r="564" spans="3:16" customFormat="1" ht="15.75" customHeight="1">
      <c r="C564" s="17"/>
      <c r="M564" s="4"/>
      <c r="N564" s="27"/>
      <c r="O564" s="17"/>
      <c r="P564" s="4"/>
    </row>
    <row r="565" spans="3:16" customFormat="1" ht="15.75" customHeight="1">
      <c r="C565" s="17"/>
      <c r="M565" s="4"/>
      <c r="N565" s="27"/>
      <c r="O565" s="17"/>
      <c r="P565" s="4"/>
    </row>
    <row r="566" spans="3:16" customFormat="1" ht="15.75" customHeight="1">
      <c r="C566" s="17"/>
      <c r="M566" s="4"/>
      <c r="N566" s="27"/>
      <c r="O566" s="17"/>
      <c r="P566" s="4"/>
    </row>
    <row r="567" spans="3:16" customFormat="1" ht="15.75" customHeight="1">
      <c r="C567" s="17"/>
      <c r="M567" s="4"/>
      <c r="N567" s="27"/>
      <c r="O567" s="17"/>
      <c r="P567" s="4"/>
    </row>
    <row r="568" spans="3:16" customFormat="1" ht="15.75" customHeight="1">
      <c r="C568" s="17"/>
      <c r="M568" s="4"/>
      <c r="N568" s="27"/>
      <c r="O568" s="17"/>
      <c r="P568" s="4"/>
    </row>
    <row r="569" spans="3:16" customFormat="1" ht="15.75" customHeight="1">
      <c r="C569" s="17"/>
      <c r="M569" s="4"/>
      <c r="N569" s="27"/>
      <c r="O569" s="17"/>
      <c r="P569" s="4"/>
    </row>
    <row r="570" spans="3:16" customFormat="1" ht="15.75" customHeight="1">
      <c r="C570" s="17"/>
      <c r="M570" s="4"/>
      <c r="N570" s="27"/>
      <c r="O570" s="17"/>
      <c r="P570" s="4"/>
    </row>
    <row r="571" spans="3:16" customFormat="1" ht="15.75" customHeight="1">
      <c r="C571" s="17"/>
      <c r="M571" s="4"/>
      <c r="N571" s="27"/>
      <c r="O571" s="17"/>
      <c r="P571" s="4"/>
    </row>
    <row r="572" spans="3:16" customFormat="1" ht="15.75" customHeight="1">
      <c r="C572" s="17"/>
      <c r="M572" s="4"/>
      <c r="N572" s="27"/>
      <c r="O572" s="17"/>
      <c r="P572" s="4"/>
    </row>
    <row r="573" spans="3:16" customFormat="1" ht="15.75" customHeight="1">
      <c r="C573" s="17"/>
      <c r="M573" s="4"/>
      <c r="N573" s="27"/>
      <c r="O573" s="17"/>
      <c r="P573" s="4"/>
    </row>
    <row r="574" spans="3:16" customFormat="1" ht="15.75" customHeight="1">
      <c r="C574" s="17"/>
      <c r="M574" s="4"/>
      <c r="N574" s="27"/>
      <c r="O574" s="17"/>
      <c r="P574" s="4"/>
    </row>
    <row r="575" spans="3:16" customFormat="1" ht="15.75" customHeight="1">
      <c r="C575" s="17"/>
      <c r="M575" s="4"/>
      <c r="N575" s="27"/>
      <c r="O575" s="17"/>
      <c r="P575" s="4"/>
    </row>
    <row r="576" spans="3:16" customFormat="1" ht="15.75" customHeight="1">
      <c r="C576" s="17"/>
      <c r="M576" s="4"/>
      <c r="N576" s="27"/>
      <c r="O576" s="17"/>
      <c r="P576" s="4"/>
    </row>
    <row r="577" spans="3:16" customFormat="1" ht="15.75" customHeight="1">
      <c r="C577" s="17"/>
      <c r="M577" s="4"/>
      <c r="N577" s="27"/>
      <c r="O577" s="17"/>
      <c r="P577" s="4"/>
    </row>
    <row r="578" spans="3:16" customFormat="1" ht="15.75" customHeight="1">
      <c r="C578" s="17"/>
      <c r="M578" s="4"/>
      <c r="N578" s="27"/>
      <c r="O578" s="17"/>
      <c r="P578" s="4"/>
    </row>
    <row r="579" spans="3:16" customFormat="1" ht="15.75" customHeight="1">
      <c r="C579" s="17"/>
      <c r="M579" s="4"/>
      <c r="N579" s="27"/>
      <c r="O579" s="17"/>
      <c r="P579" s="4"/>
    </row>
    <row r="580" spans="3:16" customFormat="1" ht="15.75" customHeight="1">
      <c r="C580" s="17"/>
      <c r="M580" s="4"/>
      <c r="N580" s="27"/>
      <c r="O580" s="17"/>
      <c r="P580" s="4"/>
    </row>
    <row r="581" spans="3:16" customFormat="1" ht="15.75" customHeight="1">
      <c r="C581" s="17"/>
      <c r="M581" s="4"/>
      <c r="N581" s="27"/>
      <c r="O581" s="17"/>
      <c r="P581" s="4"/>
    </row>
    <row r="582" spans="3:16" customFormat="1" ht="15.75" customHeight="1">
      <c r="C582" s="17"/>
      <c r="M582" s="4"/>
      <c r="N582" s="27"/>
      <c r="O582" s="17"/>
      <c r="P582" s="4"/>
    </row>
    <row r="583" spans="3:16" customFormat="1" ht="15.75" customHeight="1">
      <c r="C583" s="17"/>
      <c r="M583" s="4"/>
      <c r="N583" s="27"/>
      <c r="O583" s="17"/>
      <c r="P583" s="4"/>
    </row>
    <row r="584" spans="3:16" customFormat="1" ht="15.75" customHeight="1">
      <c r="C584" s="17"/>
      <c r="M584" s="4"/>
      <c r="N584" s="27"/>
      <c r="O584" s="17"/>
      <c r="P584" s="4"/>
    </row>
    <row r="585" spans="3:16" customFormat="1" ht="15.75" customHeight="1">
      <c r="C585" s="17"/>
      <c r="M585" s="4"/>
      <c r="N585" s="27"/>
      <c r="O585" s="17"/>
      <c r="P585" s="4"/>
    </row>
    <row r="586" spans="3:16" customFormat="1" ht="15.75" customHeight="1">
      <c r="C586" s="17"/>
      <c r="M586" s="4"/>
      <c r="N586" s="27"/>
      <c r="O586" s="17"/>
      <c r="P586" s="4"/>
    </row>
    <row r="587" spans="3:16" customFormat="1" ht="15.75" customHeight="1">
      <c r="C587" s="17"/>
      <c r="M587" s="4"/>
      <c r="N587" s="27"/>
      <c r="O587" s="17"/>
      <c r="P587" s="4"/>
    </row>
    <row r="588" spans="3:16" customFormat="1" ht="15.75" customHeight="1">
      <c r="C588" s="17"/>
      <c r="M588" s="4"/>
      <c r="N588" s="27"/>
      <c r="O588" s="17"/>
      <c r="P588" s="4"/>
    </row>
    <row r="589" spans="3:16" customFormat="1" ht="15.75" customHeight="1">
      <c r="C589" s="17"/>
      <c r="M589" s="4"/>
      <c r="N589" s="27"/>
      <c r="O589" s="17"/>
      <c r="P589" s="4"/>
    </row>
    <row r="590" spans="3:16" customFormat="1" ht="15.75" customHeight="1">
      <c r="C590" s="17"/>
      <c r="M590" s="4"/>
      <c r="N590" s="27"/>
      <c r="O590" s="17"/>
      <c r="P590" s="4"/>
    </row>
    <row r="591" spans="3:16" customFormat="1" ht="15.75" customHeight="1">
      <c r="C591" s="17"/>
      <c r="M591" s="4"/>
      <c r="N591" s="27"/>
      <c r="O591" s="17"/>
      <c r="P591" s="4"/>
    </row>
    <row r="592" spans="3:16" customFormat="1" ht="15.75" customHeight="1">
      <c r="C592" s="17"/>
      <c r="M592" s="4"/>
      <c r="N592" s="27"/>
      <c r="O592" s="17"/>
      <c r="P592" s="4"/>
    </row>
    <row r="593" spans="3:16" customFormat="1" ht="15.75" customHeight="1">
      <c r="C593" s="17"/>
      <c r="M593" s="4"/>
      <c r="N593" s="27"/>
      <c r="O593" s="17"/>
      <c r="P593" s="4"/>
    </row>
    <row r="594" spans="3:16" customFormat="1" ht="15.75" customHeight="1">
      <c r="C594" s="17"/>
      <c r="M594" s="4"/>
      <c r="N594" s="27"/>
      <c r="O594" s="17"/>
      <c r="P594" s="4"/>
    </row>
    <row r="595" spans="3:16" customFormat="1" ht="15.75" customHeight="1">
      <c r="C595" s="17"/>
      <c r="M595" s="4"/>
      <c r="N595" s="27"/>
      <c r="O595" s="17"/>
      <c r="P595" s="4"/>
    </row>
    <row r="596" spans="3:16" customFormat="1" ht="15.75" customHeight="1">
      <c r="C596" s="17"/>
      <c r="M596" s="4"/>
      <c r="N596" s="27"/>
      <c r="O596" s="17"/>
      <c r="P596" s="4"/>
    </row>
    <row r="597" spans="3:16" customFormat="1" ht="15.75" customHeight="1">
      <c r="C597" s="17"/>
      <c r="M597" s="4"/>
      <c r="N597" s="27"/>
      <c r="O597" s="17"/>
      <c r="P597" s="4"/>
    </row>
    <row r="598" spans="3:16" customFormat="1" ht="15.75" customHeight="1">
      <c r="C598" s="17"/>
      <c r="M598" s="4"/>
      <c r="N598" s="27"/>
      <c r="O598" s="17"/>
      <c r="P598" s="4"/>
    </row>
    <row r="599" spans="3:16" customFormat="1" ht="15.75" customHeight="1">
      <c r="C599" s="17"/>
      <c r="M599" s="4"/>
      <c r="N599" s="27"/>
      <c r="O599" s="17"/>
      <c r="P599" s="4"/>
    </row>
    <row r="600" spans="3:16" customFormat="1" ht="15.75" customHeight="1">
      <c r="C600" s="17"/>
      <c r="M600" s="4"/>
      <c r="N600" s="27"/>
      <c r="O600" s="17"/>
      <c r="P600" s="4"/>
    </row>
    <row r="601" spans="3:16" customFormat="1" ht="15.75" customHeight="1">
      <c r="C601" s="17"/>
      <c r="M601" s="4"/>
      <c r="N601" s="27"/>
      <c r="O601" s="17"/>
      <c r="P601" s="4"/>
    </row>
    <row r="602" spans="3:16" customFormat="1" ht="15.75" customHeight="1">
      <c r="C602" s="17"/>
      <c r="M602" s="4"/>
      <c r="N602" s="27"/>
      <c r="O602" s="17"/>
      <c r="P602" s="4"/>
    </row>
    <row r="603" spans="3:16" customFormat="1" ht="15.75" customHeight="1">
      <c r="C603" s="17"/>
      <c r="M603" s="4"/>
      <c r="N603" s="27"/>
      <c r="O603" s="17"/>
      <c r="P603" s="4"/>
    </row>
    <row r="604" spans="3:16" customFormat="1" ht="15.75" customHeight="1">
      <c r="C604" s="17"/>
      <c r="M604" s="4"/>
      <c r="N604" s="27"/>
      <c r="O604" s="17"/>
      <c r="P604" s="4"/>
    </row>
    <row r="605" spans="3:16" customFormat="1" ht="15.75" customHeight="1">
      <c r="C605" s="17"/>
      <c r="M605" s="4"/>
      <c r="N605" s="27"/>
      <c r="O605" s="17"/>
      <c r="P605" s="4"/>
    </row>
    <row r="606" spans="3:16" customFormat="1" ht="15.75" customHeight="1">
      <c r="C606" s="17"/>
      <c r="M606" s="4"/>
      <c r="N606" s="27"/>
      <c r="O606" s="17"/>
      <c r="P606" s="4"/>
    </row>
    <row r="607" spans="3:16" customFormat="1" ht="15.75" customHeight="1">
      <c r="C607" s="17"/>
      <c r="M607" s="4"/>
      <c r="N607" s="27"/>
      <c r="O607" s="17"/>
      <c r="P607" s="4"/>
    </row>
    <row r="608" spans="3:16" customFormat="1" ht="15.75" customHeight="1">
      <c r="C608" s="17"/>
      <c r="M608" s="4"/>
      <c r="N608" s="27"/>
      <c r="O608" s="17"/>
      <c r="P608" s="4"/>
    </row>
    <row r="609" spans="3:16" customFormat="1" ht="15.75" customHeight="1">
      <c r="C609" s="17"/>
      <c r="M609" s="4"/>
      <c r="N609" s="27"/>
      <c r="O609" s="17"/>
      <c r="P609" s="4"/>
    </row>
    <row r="610" spans="3:16" customFormat="1" ht="15.75" customHeight="1">
      <c r="C610" s="17"/>
      <c r="M610" s="4"/>
      <c r="N610" s="27"/>
      <c r="O610" s="17"/>
      <c r="P610" s="4"/>
    </row>
    <row r="611" spans="3:16" customFormat="1" ht="15.75" customHeight="1">
      <c r="C611" s="17"/>
      <c r="M611" s="4"/>
      <c r="N611" s="27"/>
      <c r="O611" s="17"/>
      <c r="P611" s="4"/>
    </row>
    <row r="612" spans="3:16" customFormat="1" ht="15.75" customHeight="1">
      <c r="C612" s="17"/>
      <c r="M612" s="4"/>
      <c r="N612" s="27"/>
      <c r="O612" s="17"/>
      <c r="P612" s="4"/>
    </row>
    <row r="613" spans="3:16" customFormat="1" ht="15.75" customHeight="1">
      <c r="C613" s="17"/>
      <c r="M613" s="4"/>
      <c r="N613" s="27"/>
      <c r="O613" s="17"/>
      <c r="P613" s="4"/>
    </row>
    <row r="614" spans="3:16" customFormat="1" ht="15.75" customHeight="1">
      <c r="C614" s="17"/>
      <c r="M614" s="4"/>
      <c r="N614" s="27"/>
      <c r="O614" s="17"/>
      <c r="P614" s="4"/>
    </row>
    <row r="615" spans="3:16" customFormat="1" ht="15.75" customHeight="1">
      <c r="C615" s="17"/>
      <c r="M615" s="4"/>
      <c r="N615" s="27"/>
      <c r="O615" s="17"/>
      <c r="P615" s="4"/>
    </row>
    <row r="616" spans="3:16" customFormat="1" ht="15.75" customHeight="1">
      <c r="C616" s="17"/>
      <c r="M616" s="4"/>
      <c r="N616" s="27"/>
      <c r="O616" s="17"/>
      <c r="P616" s="4"/>
    </row>
    <row r="617" spans="3:16" customFormat="1" ht="15.75" customHeight="1">
      <c r="C617" s="17"/>
      <c r="M617" s="4"/>
      <c r="N617" s="27"/>
      <c r="O617" s="17"/>
      <c r="P617" s="4"/>
    </row>
    <row r="618" spans="3:16" customFormat="1" ht="15.75" customHeight="1">
      <c r="C618" s="17"/>
      <c r="M618" s="4"/>
      <c r="N618" s="27"/>
      <c r="O618" s="17"/>
      <c r="P618" s="4"/>
    </row>
    <row r="619" spans="3:16" customFormat="1" ht="15.75" customHeight="1">
      <c r="C619" s="17"/>
      <c r="M619" s="4"/>
      <c r="N619" s="27"/>
      <c r="O619" s="17"/>
      <c r="P619" s="4"/>
    </row>
    <row r="620" spans="3:16" customFormat="1" ht="15.75" customHeight="1">
      <c r="C620" s="17"/>
      <c r="M620" s="4"/>
      <c r="N620" s="27"/>
      <c r="O620" s="17"/>
      <c r="P620" s="4"/>
    </row>
    <row r="621" spans="3:16" customFormat="1" ht="15.75" customHeight="1">
      <c r="C621" s="17"/>
      <c r="M621" s="4"/>
      <c r="N621" s="27"/>
      <c r="O621" s="17"/>
      <c r="P621" s="4"/>
    </row>
    <row r="622" spans="3:16" customFormat="1" ht="15.75" customHeight="1">
      <c r="C622" s="17"/>
      <c r="M622" s="4"/>
      <c r="N622" s="27"/>
      <c r="O622" s="17"/>
      <c r="P622" s="4"/>
    </row>
    <row r="623" spans="3:16" customFormat="1" ht="15.75" customHeight="1">
      <c r="C623" s="17"/>
      <c r="M623" s="4"/>
      <c r="N623" s="27"/>
      <c r="O623" s="17"/>
      <c r="P623" s="4"/>
    </row>
    <row r="624" spans="3:16" customFormat="1" ht="15.75" customHeight="1">
      <c r="C624" s="17"/>
      <c r="M624" s="4"/>
      <c r="N624" s="27"/>
      <c r="O624" s="17"/>
      <c r="P624" s="4"/>
    </row>
    <row r="625" spans="3:16" customFormat="1" ht="15.75" customHeight="1">
      <c r="C625" s="17"/>
      <c r="M625" s="4"/>
      <c r="N625" s="27"/>
      <c r="O625" s="17"/>
      <c r="P625" s="4"/>
    </row>
    <row r="626" spans="3:16" customFormat="1" ht="15.75" customHeight="1">
      <c r="C626" s="17"/>
      <c r="M626" s="4"/>
      <c r="N626" s="27"/>
      <c r="O626" s="17"/>
      <c r="P626" s="4"/>
    </row>
    <row r="627" spans="3:16" customFormat="1" ht="15.75" customHeight="1">
      <c r="C627" s="17"/>
      <c r="M627" s="4"/>
      <c r="N627" s="27"/>
      <c r="O627" s="17"/>
      <c r="P627" s="4"/>
    </row>
    <row r="628" spans="3:16" customFormat="1" ht="15.75" customHeight="1">
      <c r="C628" s="17"/>
      <c r="M628" s="4"/>
      <c r="N628" s="27"/>
      <c r="O628" s="17"/>
      <c r="P628" s="4"/>
    </row>
    <row r="629" spans="3:16" customFormat="1" ht="15.75" customHeight="1">
      <c r="C629" s="17"/>
      <c r="M629" s="4"/>
      <c r="N629" s="27"/>
      <c r="O629" s="17"/>
      <c r="P629" s="4"/>
    </row>
    <row r="630" spans="3:16" customFormat="1" ht="15.75" customHeight="1">
      <c r="C630" s="17"/>
      <c r="M630" s="4"/>
      <c r="N630" s="27"/>
      <c r="O630" s="17"/>
      <c r="P630" s="4"/>
    </row>
    <row r="631" spans="3:16" customFormat="1" ht="15.75" customHeight="1">
      <c r="C631" s="17"/>
      <c r="M631" s="4"/>
      <c r="N631" s="27"/>
      <c r="O631" s="17"/>
      <c r="P631" s="4"/>
    </row>
    <row r="632" spans="3:16" customFormat="1" ht="15.75" customHeight="1">
      <c r="C632" s="17"/>
      <c r="M632" s="4"/>
      <c r="N632" s="27"/>
      <c r="O632" s="17"/>
      <c r="P632" s="4"/>
    </row>
    <row r="633" spans="3:16" customFormat="1" ht="15.75" customHeight="1">
      <c r="C633" s="17"/>
      <c r="M633" s="4"/>
      <c r="N633" s="27"/>
      <c r="O633" s="17"/>
      <c r="P633" s="4"/>
    </row>
    <row r="634" spans="3:16" customFormat="1" ht="15.75" customHeight="1">
      <c r="C634" s="17"/>
      <c r="M634" s="4"/>
      <c r="N634" s="27"/>
      <c r="O634" s="17"/>
      <c r="P634" s="4"/>
    </row>
    <row r="635" spans="3:16" customFormat="1" ht="15.75" customHeight="1">
      <c r="C635" s="17"/>
      <c r="M635" s="4"/>
      <c r="N635" s="27"/>
      <c r="O635" s="17"/>
      <c r="P635" s="4"/>
    </row>
    <row r="636" spans="3:16" customFormat="1" ht="15.75" customHeight="1">
      <c r="C636" s="17"/>
      <c r="M636" s="4"/>
      <c r="N636" s="27"/>
      <c r="O636" s="17"/>
      <c r="P636" s="4"/>
    </row>
    <row r="637" spans="3:16" customFormat="1" ht="15.75" customHeight="1">
      <c r="C637" s="17"/>
      <c r="M637" s="4"/>
      <c r="N637" s="27"/>
      <c r="O637" s="17"/>
      <c r="P637" s="4"/>
    </row>
    <row r="638" spans="3:16" customFormat="1" ht="15.75" customHeight="1">
      <c r="C638" s="17"/>
      <c r="M638" s="4"/>
      <c r="N638" s="27"/>
      <c r="O638" s="17"/>
      <c r="P638" s="4"/>
    </row>
    <row r="639" spans="3:16" customFormat="1" ht="15.75" customHeight="1">
      <c r="C639" s="17"/>
      <c r="M639" s="4"/>
      <c r="N639" s="27"/>
      <c r="O639" s="17"/>
      <c r="P639" s="4"/>
    </row>
    <row r="640" spans="3:16" customFormat="1" ht="15.75" customHeight="1">
      <c r="C640" s="17"/>
      <c r="M640" s="4"/>
      <c r="N640" s="27"/>
      <c r="O640" s="17"/>
      <c r="P640" s="4"/>
    </row>
    <row r="641" spans="3:16" customFormat="1" ht="15.75" customHeight="1">
      <c r="C641" s="17"/>
      <c r="M641" s="4"/>
      <c r="N641" s="27"/>
      <c r="O641" s="17"/>
      <c r="P641" s="4"/>
    </row>
    <row r="642" spans="3:16" customFormat="1" ht="15.75" customHeight="1">
      <c r="C642" s="17"/>
      <c r="M642" s="4"/>
      <c r="N642" s="27"/>
      <c r="O642" s="17"/>
      <c r="P642" s="4"/>
    </row>
    <row r="643" spans="3:16" customFormat="1" ht="15.75" customHeight="1">
      <c r="C643" s="17"/>
      <c r="M643" s="4"/>
      <c r="N643" s="27"/>
      <c r="O643" s="17"/>
      <c r="P643" s="4"/>
    </row>
    <row r="644" spans="3:16" customFormat="1" ht="15.75" customHeight="1">
      <c r="C644" s="17"/>
      <c r="M644" s="4"/>
      <c r="N644" s="27"/>
      <c r="O644" s="17"/>
      <c r="P644" s="4"/>
    </row>
    <row r="645" spans="3:16" customFormat="1" ht="15.75" customHeight="1">
      <c r="C645" s="17"/>
      <c r="M645" s="4"/>
      <c r="N645" s="27"/>
      <c r="O645" s="17"/>
      <c r="P645" s="4"/>
    </row>
    <row r="646" spans="3:16" customFormat="1" ht="15.75" customHeight="1">
      <c r="C646" s="17"/>
      <c r="M646" s="4"/>
      <c r="N646" s="27"/>
      <c r="O646" s="17"/>
      <c r="P646" s="4"/>
    </row>
    <row r="647" spans="3:16" customFormat="1" ht="15.75" customHeight="1">
      <c r="C647" s="17"/>
      <c r="M647" s="4"/>
      <c r="N647" s="27"/>
      <c r="O647" s="17"/>
      <c r="P647" s="4"/>
    </row>
    <row r="648" spans="3:16" customFormat="1" ht="15.75" customHeight="1">
      <c r="C648" s="17"/>
      <c r="M648" s="4"/>
      <c r="N648" s="27"/>
      <c r="O648" s="17"/>
      <c r="P648" s="4"/>
    </row>
    <row r="649" spans="3:16" customFormat="1" ht="15.75" customHeight="1">
      <c r="C649" s="17"/>
      <c r="M649" s="4"/>
      <c r="N649" s="27"/>
      <c r="O649" s="17"/>
      <c r="P649" s="4"/>
    </row>
    <row r="650" spans="3:16" customFormat="1" ht="15.75" customHeight="1">
      <c r="C650" s="17"/>
      <c r="M650" s="4"/>
      <c r="N650" s="27"/>
      <c r="O650" s="17"/>
      <c r="P650" s="4"/>
    </row>
    <row r="651" spans="3:16" customFormat="1" ht="15.75" customHeight="1">
      <c r="C651" s="17"/>
      <c r="M651" s="4"/>
      <c r="N651" s="27"/>
      <c r="O651" s="17"/>
      <c r="P651" s="4"/>
    </row>
    <row r="652" spans="3:16" customFormat="1" ht="15.75" customHeight="1">
      <c r="C652" s="17"/>
      <c r="M652" s="4"/>
      <c r="N652" s="27"/>
      <c r="O652" s="17"/>
      <c r="P652" s="4"/>
    </row>
    <row r="653" spans="3:16" customFormat="1" ht="15.75" customHeight="1">
      <c r="C653" s="17"/>
      <c r="M653" s="4"/>
      <c r="N653" s="27"/>
      <c r="O653" s="17"/>
      <c r="P653" s="4"/>
    </row>
    <row r="654" spans="3:16" customFormat="1" ht="15.75" customHeight="1">
      <c r="C654" s="17"/>
      <c r="M654" s="4"/>
      <c r="N654" s="27"/>
      <c r="O654" s="17"/>
      <c r="P654" s="4"/>
    </row>
    <row r="655" spans="3:16" customFormat="1" ht="15.75" customHeight="1">
      <c r="C655" s="17"/>
      <c r="M655" s="4"/>
      <c r="N655" s="27"/>
      <c r="O655" s="17"/>
      <c r="P655" s="4"/>
    </row>
    <row r="656" spans="3:16" customFormat="1" ht="15.75" customHeight="1">
      <c r="C656" s="17"/>
      <c r="M656" s="4"/>
      <c r="N656" s="27"/>
      <c r="O656" s="17"/>
      <c r="P656" s="4"/>
    </row>
    <row r="657" spans="3:16" customFormat="1" ht="15.75" customHeight="1">
      <c r="C657" s="17"/>
      <c r="M657" s="4"/>
      <c r="N657" s="27"/>
      <c r="O657" s="17"/>
      <c r="P657" s="4"/>
    </row>
    <row r="658" spans="3:16" customFormat="1" ht="15.75" customHeight="1">
      <c r="C658" s="17"/>
      <c r="M658" s="4"/>
      <c r="N658" s="27"/>
      <c r="O658" s="17"/>
      <c r="P658" s="4"/>
    </row>
    <row r="659" spans="3:16" customFormat="1" ht="15.75" customHeight="1">
      <c r="C659" s="17"/>
      <c r="M659" s="4"/>
      <c r="N659" s="27"/>
      <c r="O659" s="17"/>
      <c r="P659" s="4"/>
    </row>
    <row r="660" spans="3:16" customFormat="1" ht="15.75" customHeight="1">
      <c r="C660" s="17"/>
      <c r="M660" s="4"/>
      <c r="N660" s="27"/>
      <c r="O660" s="17"/>
      <c r="P660" s="4"/>
    </row>
    <row r="661" spans="3:16" customFormat="1" ht="15.75" customHeight="1">
      <c r="C661" s="17"/>
      <c r="M661" s="4"/>
      <c r="N661" s="27"/>
      <c r="O661" s="17"/>
      <c r="P661" s="4"/>
    </row>
    <row r="662" spans="3:16" customFormat="1" ht="15.75" customHeight="1">
      <c r="C662" s="17"/>
      <c r="M662" s="4"/>
      <c r="N662" s="27"/>
      <c r="O662" s="17"/>
      <c r="P662" s="4"/>
    </row>
    <row r="663" spans="3:16" customFormat="1" ht="15.75" customHeight="1">
      <c r="C663" s="17"/>
      <c r="M663" s="4"/>
      <c r="N663" s="27"/>
      <c r="O663" s="17"/>
      <c r="P663" s="4"/>
    </row>
    <row r="664" spans="3:16" customFormat="1" ht="15.75" customHeight="1">
      <c r="C664" s="17"/>
      <c r="M664" s="4"/>
      <c r="N664" s="27"/>
      <c r="O664" s="17"/>
      <c r="P664" s="4"/>
    </row>
    <row r="665" spans="3:16" customFormat="1" ht="15.75" customHeight="1">
      <c r="C665" s="17"/>
      <c r="M665" s="4"/>
      <c r="N665" s="27"/>
      <c r="O665" s="17"/>
      <c r="P665" s="4"/>
    </row>
    <row r="666" spans="3:16" customFormat="1" ht="15.75" customHeight="1">
      <c r="C666" s="17"/>
      <c r="M666" s="4"/>
      <c r="N666" s="27"/>
      <c r="O666" s="17"/>
      <c r="P666" s="4"/>
    </row>
    <row r="667" spans="3:16" customFormat="1" ht="15.75" customHeight="1">
      <c r="C667" s="17"/>
      <c r="M667" s="4"/>
      <c r="N667" s="27"/>
      <c r="O667" s="17"/>
      <c r="P667" s="4"/>
    </row>
    <row r="668" spans="3:16" customFormat="1" ht="15.75" customHeight="1">
      <c r="C668" s="17"/>
      <c r="M668" s="4"/>
      <c r="N668" s="27"/>
      <c r="O668" s="17"/>
      <c r="P668" s="4"/>
    </row>
    <row r="669" spans="3:16" customFormat="1" ht="15.75" customHeight="1">
      <c r="C669" s="17"/>
      <c r="M669" s="4"/>
      <c r="N669" s="27"/>
      <c r="O669" s="17"/>
      <c r="P669" s="4"/>
    </row>
    <row r="670" spans="3:16" customFormat="1" ht="15.75" customHeight="1">
      <c r="C670" s="17"/>
      <c r="M670" s="4"/>
      <c r="N670" s="27"/>
      <c r="O670" s="17"/>
      <c r="P670" s="4"/>
    </row>
    <row r="671" spans="3:16" customFormat="1" ht="15.75" customHeight="1">
      <c r="C671" s="17"/>
      <c r="M671" s="4"/>
      <c r="N671" s="27"/>
      <c r="O671" s="17"/>
      <c r="P671" s="4"/>
    </row>
    <row r="672" spans="3:16" customFormat="1" ht="15.75" customHeight="1">
      <c r="C672" s="17"/>
      <c r="M672" s="4"/>
      <c r="N672" s="27"/>
      <c r="O672" s="17"/>
      <c r="P672" s="4"/>
    </row>
    <row r="673" spans="3:16" customFormat="1" ht="15.75" customHeight="1">
      <c r="C673" s="17"/>
      <c r="M673" s="4"/>
      <c r="N673" s="27"/>
      <c r="O673" s="17"/>
      <c r="P673" s="4"/>
    </row>
    <row r="674" spans="3:16" customFormat="1" ht="15.75" customHeight="1">
      <c r="C674" s="17"/>
      <c r="M674" s="4"/>
      <c r="N674" s="27"/>
      <c r="O674" s="17"/>
      <c r="P674" s="4"/>
    </row>
    <row r="675" spans="3:16" customFormat="1" ht="15.75" customHeight="1">
      <c r="C675" s="17"/>
      <c r="M675" s="4"/>
      <c r="N675" s="27"/>
      <c r="O675" s="17"/>
      <c r="P675" s="4"/>
    </row>
    <row r="676" spans="3:16" customFormat="1" ht="15.75" customHeight="1">
      <c r="C676" s="17"/>
      <c r="M676" s="4"/>
      <c r="N676" s="27"/>
      <c r="O676" s="17"/>
      <c r="P676" s="4"/>
    </row>
    <row r="677" spans="3:16" customFormat="1" ht="15.75" customHeight="1">
      <c r="C677" s="17"/>
      <c r="M677" s="4"/>
      <c r="N677" s="27"/>
      <c r="O677" s="17"/>
      <c r="P677" s="4"/>
    </row>
    <row r="678" spans="3:16" customFormat="1" ht="15.75" customHeight="1">
      <c r="C678" s="17"/>
      <c r="M678" s="4"/>
      <c r="N678" s="27"/>
      <c r="O678" s="17"/>
      <c r="P678" s="4"/>
    </row>
    <row r="679" spans="3:16" customFormat="1" ht="15.75" customHeight="1">
      <c r="C679" s="17"/>
      <c r="M679" s="4"/>
      <c r="N679" s="27"/>
      <c r="O679" s="17"/>
      <c r="P679" s="4"/>
    </row>
    <row r="680" spans="3:16" customFormat="1" ht="15.75" customHeight="1">
      <c r="C680" s="17"/>
      <c r="M680" s="4"/>
      <c r="N680" s="27"/>
      <c r="O680" s="17"/>
      <c r="P680" s="4"/>
    </row>
    <row r="681" spans="3:16" customFormat="1" ht="15.75" customHeight="1">
      <c r="C681" s="17"/>
      <c r="M681" s="4"/>
      <c r="N681" s="27"/>
      <c r="O681" s="17"/>
      <c r="P681" s="4"/>
    </row>
    <row r="682" spans="3:16" customFormat="1" ht="15.75" customHeight="1">
      <c r="C682" s="17"/>
      <c r="M682" s="4"/>
      <c r="N682" s="27"/>
      <c r="O682" s="17"/>
      <c r="P682" s="4"/>
    </row>
    <row r="683" spans="3:16" customFormat="1" ht="15.75" customHeight="1">
      <c r="C683" s="17"/>
      <c r="M683" s="4"/>
      <c r="N683" s="27"/>
      <c r="O683" s="17"/>
      <c r="P683" s="4"/>
    </row>
    <row r="684" spans="3:16" customFormat="1" ht="15.75" customHeight="1">
      <c r="C684" s="17"/>
      <c r="M684" s="4"/>
      <c r="N684" s="27"/>
      <c r="O684" s="17"/>
      <c r="P684" s="4"/>
    </row>
    <row r="685" spans="3:16" customFormat="1" ht="15.75" customHeight="1">
      <c r="C685" s="17"/>
      <c r="M685" s="4"/>
      <c r="N685" s="27"/>
      <c r="O685" s="17"/>
      <c r="P685" s="4"/>
    </row>
    <row r="686" spans="3:16" customFormat="1" ht="15.75" customHeight="1">
      <c r="C686" s="17"/>
      <c r="M686" s="4"/>
      <c r="N686" s="27"/>
      <c r="O686" s="17"/>
      <c r="P686" s="4"/>
    </row>
    <row r="687" spans="3:16" customFormat="1" ht="15.75" customHeight="1">
      <c r="C687" s="17"/>
      <c r="M687" s="4"/>
      <c r="N687" s="27"/>
      <c r="O687" s="17"/>
      <c r="P687" s="4"/>
    </row>
    <row r="688" spans="3:16" customFormat="1" ht="15.75" customHeight="1">
      <c r="C688" s="17"/>
      <c r="M688" s="4"/>
      <c r="N688" s="27"/>
      <c r="O688" s="17"/>
      <c r="P688" s="4"/>
    </row>
    <row r="689" spans="3:16" customFormat="1" ht="15.75" customHeight="1">
      <c r="C689" s="17"/>
      <c r="M689" s="4"/>
      <c r="N689" s="27"/>
      <c r="O689" s="17"/>
      <c r="P689" s="4"/>
    </row>
    <row r="690" spans="3:16" customFormat="1" ht="15.75" customHeight="1">
      <c r="C690" s="17"/>
      <c r="M690" s="4"/>
      <c r="N690" s="27"/>
      <c r="O690" s="17"/>
      <c r="P690" s="4"/>
    </row>
    <row r="691" spans="3:16" customFormat="1" ht="15.75" customHeight="1">
      <c r="C691" s="17"/>
      <c r="M691" s="4"/>
      <c r="N691" s="27"/>
      <c r="O691" s="17"/>
      <c r="P691" s="4"/>
    </row>
    <row r="692" spans="3:16" customFormat="1" ht="15.75" customHeight="1">
      <c r="C692" s="17"/>
      <c r="M692" s="4"/>
      <c r="N692" s="27"/>
      <c r="O692" s="17"/>
      <c r="P692" s="4"/>
    </row>
    <row r="693" spans="3:16" customFormat="1" ht="15.75" customHeight="1">
      <c r="C693" s="17"/>
      <c r="M693" s="4"/>
      <c r="N693" s="27"/>
      <c r="O693" s="17"/>
      <c r="P693" s="4"/>
    </row>
    <row r="694" spans="3:16" customFormat="1" ht="15.75" customHeight="1">
      <c r="C694" s="17"/>
      <c r="M694" s="4"/>
      <c r="N694" s="27"/>
      <c r="O694" s="17"/>
      <c r="P694" s="4"/>
    </row>
    <row r="695" spans="3:16" customFormat="1" ht="15.75" customHeight="1">
      <c r="C695" s="17"/>
      <c r="M695" s="4"/>
      <c r="N695" s="27"/>
      <c r="O695" s="17"/>
      <c r="P695" s="4"/>
    </row>
    <row r="696" spans="3:16" customFormat="1" ht="15.75" customHeight="1">
      <c r="C696" s="17"/>
      <c r="M696" s="4"/>
      <c r="N696" s="27"/>
      <c r="O696" s="17"/>
      <c r="P696" s="4"/>
    </row>
    <row r="697" spans="3:16" customFormat="1" ht="15.75" customHeight="1">
      <c r="C697" s="17"/>
      <c r="M697" s="4"/>
      <c r="N697" s="27"/>
      <c r="O697" s="17"/>
      <c r="P697" s="4"/>
    </row>
    <row r="698" spans="3:16" customFormat="1" ht="15.75" customHeight="1">
      <c r="C698" s="17"/>
      <c r="M698" s="4"/>
      <c r="N698" s="27"/>
      <c r="O698" s="17"/>
      <c r="P698" s="4"/>
    </row>
    <row r="699" spans="3:16" customFormat="1" ht="15.75" customHeight="1">
      <c r="C699" s="17"/>
      <c r="M699" s="4"/>
      <c r="N699" s="27"/>
      <c r="O699" s="17"/>
      <c r="P699" s="4"/>
    </row>
    <row r="700" spans="3:16" customFormat="1" ht="15.75" customHeight="1">
      <c r="C700" s="17"/>
      <c r="M700" s="4"/>
      <c r="N700" s="27"/>
      <c r="O700" s="17"/>
      <c r="P700" s="4"/>
    </row>
    <row r="701" spans="3:16" customFormat="1" ht="15.75" customHeight="1">
      <c r="C701" s="17"/>
      <c r="M701" s="4"/>
      <c r="N701" s="27"/>
      <c r="O701" s="17"/>
      <c r="P701" s="4"/>
    </row>
    <row r="702" spans="3:16" customFormat="1" ht="15.75" customHeight="1">
      <c r="C702" s="17"/>
      <c r="M702" s="4"/>
      <c r="N702" s="27"/>
      <c r="O702" s="17"/>
      <c r="P702" s="4"/>
    </row>
    <row r="703" spans="3:16" customFormat="1" ht="15.75" customHeight="1">
      <c r="C703" s="17"/>
      <c r="M703" s="4"/>
      <c r="N703" s="27"/>
      <c r="O703" s="17"/>
      <c r="P703" s="4"/>
    </row>
    <row r="704" spans="3:16" customFormat="1" ht="15.75" customHeight="1">
      <c r="C704" s="17"/>
      <c r="M704" s="4"/>
      <c r="N704" s="27"/>
      <c r="O704" s="17"/>
      <c r="P704" s="4"/>
    </row>
    <row r="705" spans="3:16" customFormat="1" ht="15.75" customHeight="1">
      <c r="C705" s="17"/>
      <c r="M705" s="4"/>
      <c r="N705" s="27"/>
      <c r="O705" s="17"/>
      <c r="P705" s="4"/>
    </row>
    <row r="706" spans="3:16" customFormat="1" ht="15.75" customHeight="1">
      <c r="C706" s="17"/>
      <c r="M706" s="4"/>
      <c r="N706" s="27"/>
      <c r="O706" s="17"/>
      <c r="P706" s="4"/>
    </row>
    <row r="707" spans="3:16" customFormat="1" ht="15.75" customHeight="1">
      <c r="C707" s="17"/>
      <c r="M707" s="4"/>
      <c r="N707" s="27"/>
      <c r="O707" s="17"/>
      <c r="P707" s="4"/>
    </row>
    <row r="708" spans="3:16" customFormat="1" ht="15.75" customHeight="1">
      <c r="C708" s="17"/>
      <c r="M708" s="4"/>
      <c r="N708" s="27"/>
      <c r="O708" s="17"/>
      <c r="P708" s="4"/>
    </row>
    <row r="709" spans="3:16" customFormat="1" ht="15.75" customHeight="1">
      <c r="C709" s="17"/>
      <c r="M709" s="4"/>
      <c r="N709" s="27"/>
      <c r="O709" s="17"/>
      <c r="P709" s="4"/>
    </row>
    <row r="710" spans="3:16" customFormat="1" ht="15.75" customHeight="1">
      <c r="C710" s="17"/>
      <c r="M710" s="4"/>
      <c r="N710" s="27"/>
      <c r="O710" s="17"/>
      <c r="P710" s="4"/>
    </row>
    <row r="711" spans="3:16" customFormat="1" ht="15.75" customHeight="1">
      <c r="C711" s="17"/>
      <c r="M711" s="4"/>
      <c r="N711" s="27"/>
      <c r="O711" s="17"/>
      <c r="P711" s="4"/>
    </row>
    <row r="712" spans="3:16" customFormat="1" ht="15.75" customHeight="1">
      <c r="C712" s="17"/>
      <c r="M712" s="4"/>
      <c r="N712" s="27"/>
      <c r="O712" s="17"/>
      <c r="P712" s="4"/>
    </row>
    <row r="713" spans="3:16" customFormat="1" ht="15.75" customHeight="1">
      <c r="C713" s="17"/>
      <c r="M713" s="4"/>
      <c r="N713" s="27"/>
      <c r="O713" s="17"/>
      <c r="P713" s="4"/>
    </row>
    <row r="714" spans="3:16" customFormat="1" ht="15.75" customHeight="1">
      <c r="C714" s="17"/>
      <c r="M714" s="4"/>
      <c r="N714" s="27"/>
      <c r="O714" s="17"/>
      <c r="P714" s="4"/>
    </row>
    <row r="715" spans="3:16" customFormat="1" ht="15.75" customHeight="1">
      <c r="C715" s="17"/>
      <c r="M715" s="4"/>
      <c r="N715" s="27"/>
      <c r="O715" s="17"/>
      <c r="P715" s="4"/>
    </row>
    <row r="716" spans="3:16" customFormat="1" ht="15.75" customHeight="1">
      <c r="C716" s="17"/>
      <c r="M716" s="4"/>
      <c r="N716" s="27"/>
      <c r="O716" s="17"/>
      <c r="P716" s="4"/>
    </row>
    <row r="717" spans="3:16" customFormat="1" ht="15.75" customHeight="1">
      <c r="C717" s="17"/>
      <c r="M717" s="4"/>
      <c r="N717" s="27"/>
      <c r="O717" s="17"/>
      <c r="P717" s="4"/>
    </row>
    <row r="718" spans="3:16" customFormat="1" ht="15.75" customHeight="1">
      <c r="C718" s="17"/>
      <c r="M718" s="4"/>
      <c r="N718" s="27"/>
      <c r="O718" s="17"/>
      <c r="P718" s="4"/>
    </row>
    <row r="719" spans="3:16" customFormat="1" ht="15.75" customHeight="1">
      <c r="C719" s="17"/>
      <c r="M719" s="4"/>
      <c r="N719" s="27"/>
      <c r="O719" s="17"/>
      <c r="P719" s="4"/>
    </row>
    <row r="720" spans="3:16" customFormat="1" ht="15.75" customHeight="1">
      <c r="C720" s="17"/>
      <c r="M720" s="4"/>
      <c r="N720" s="27"/>
      <c r="O720" s="17"/>
      <c r="P720" s="4"/>
    </row>
    <row r="721" spans="3:16" customFormat="1" ht="15.75" customHeight="1">
      <c r="C721" s="17"/>
      <c r="M721" s="4"/>
      <c r="N721" s="27"/>
      <c r="O721" s="17"/>
      <c r="P721" s="4"/>
    </row>
    <row r="722" spans="3:16" customFormat="1" ht="15.75" customHeight="1">
      <c r="C722" s="17"/>
      <c r="M722" s="4"/>
      <c r="N722" s="27"/>
      <c r="O722" s="17"/>
      <c r="P722" s="4"/>
    </row>
    <row r="723" spans="3:16" customFormat="1" ht="15.75" customHeight="1">
      <c r="C723" s="17"/>
      <c r="M723" s="4"/>
      <c r="N723" s="27"/>
      <c r="O723" s="17"/>
      <c r="P723" s="4"/>
    </row>
    <row r="724" spans="3:16" customFormat="1" ht="15.75" customHeight="1">
      <c r="C724" s="17"/>
      <c r="M724" s="4"/>
      <c r="N724" s="27"/>
      <c r="O724" s="17"/>
      <c r="P724" s="4"/>
    </row>
    <row r="725" spans="3:16" customFormat="1" ht="15.75" customHeight="1">
      <c r="C725" s="17"/>
      <c r="M725" s="4"/>
      <c r="N725" s="27"/>
      <c r="O725" s="17"/>
      <c r="P725" s="4"/>
    </row>
    <row r="726" spans="3:16" customFormat="1" ht="15.75" customHeight="1">
      <c r="C726" s="17"/>
      <c r="M726" s="4"/>
      <c r="N726" s="27"/>
      <c r="O726" s="17"/>
      <c r="P726" s="4"/>
    </row>
    <row r="727" spans="3:16" customFormat="1" ht="15.75" customHeight="1">
      <c r="C727" s="17"/>
      <c r="M727" s="4"/>
      <c r="N727" s="27"/>
      <c r="O727" s="17"/>
      <c r="P727" s="4"/>
    </row>
    <row r="728" spans="3:16" customFormat="1" ht="15.75" customHeight="1">
      <c r="C728" s="17"/>
      <c r="M728" s="4"/>
      <c r="N728" s="27"/>
      <c r="O728" s="17"/>
      <c r="P728" s="4"/>
    </row>
    <row r="729" spans="3:16" customFormat="1" ht="15.75" customHeight="1">
      <c r="C729" s="17"/>
      <c r="M729" s="4"/>
      <c r="N729" s="27"/>
      <c r="O729" s="17"/>
      <c r="P729" s="4"/>
    </row>
    <row r="730" spans="3:16" customFormat="1" ht="15.75" customHeight="1">
      <c r="C730" s="17"/>
      <c r="M730" s="4"/>
      <c r="N730" s="27"/>
      <c r="O730" s="17"/>
      <c r="P730" s="4"/>
    </row>
    <row r="731" spans="3:16" customFormat="1" ht="15.75" customHeight="1">
      <c r="C731" s="17"/>
      <c r="M731" s="4"/>
      <c r="N731" s="27"/>
      <c r="O731" s="17"/>
      <c r="P731" s="4"/>
    </row>
    <row r="732" spans="3:16" customFormat="1" ht="15.75" customHeight="1">
      <c r="C732" s="17"/>
      <c r="M732" s="4"/>
      <c r="N732" s="27"/>
      <c r="O732" s="17"/>
      <c r="P732" s="4"/>
    </row>
    <row r="733" spans="3:16" customFormat="1" ht="15.75" customHeight="1">
      <c r="C733" s="17"/>
      <c r="M733" s="4"/>
      <c r="N733" s="27"/>
      <c r="O733" s="17"/>
      <c r="P733" s="4"/>
    </row>
    <row r="734" spans="3:16" customFormat="1" ht="15.75" customHeight="1">
      <c r="C734" s="17"/>
      <c r="M734" s="4"/>
      <c r="N734" s="27"/>
      <c r="O734" s="17"/>
      <c r="P734" s="4"/>
    </row>
    <row r="735" spans="3:16" customFormat="1" ht="15.75" customHeight="1">
      <c r="C735" s="17"/>
      <c r="M735" s="4"/>
      <c r="N735" s="27"/>
      <c r="O735" s="17"/>
      <c r="P735" s="4"/>
    </row>
    <row r="736" spans="3:16" customFormat="1" ht="15.75" customHeight="1">
      <c r="C736" s="17"/>
      <c r="M736" s="4"/>
      <c r="N736" s="27"/>
      <c r="O736" s="17"/>
      <c r="P736" s="4"/>
    </row>
    <row r="737" spans="3:16" customFormat="1" ht="15.75" customHeight="1">
      <c r="C737" s="17"/>
      <c r="M737" s="4"/>
      <c r="N737" s="27"/>
      <c r="O737" s="17"/>
      <c r="P737" s="4"/>
    </row>
    <row r="738" spans="3:16" customFormat="1" ht="15.75" customHeight="1">
      <c r="C738" s="17"/>
      <c r="M738" s="4"/>
      <c r="N738" s="27"/>
      <c r="O738" s="17"/>
      <c r="P738" s="4"/>
    </row>
    <row r="739" spans="3:16" customFormat="1" ht="15.75" customHeight="1">
      <c r="C739" s="17"/>
      <c r="M739" s="4"/>
      <c r="N739" s="27"/>
      <c r="O739" s="17"/>
      <c r="P739" s="4"/>
    </row>
    <row r="740" spans="3:16" customFormat="1" ht="15.75" customHeight="1">
      <c r="C740" s="17"/>
      <c r="M740" s="4"/>
      <c r="N740" s="27"/>
      <c r="O740" s="17"/>
      <c r="P740" s="4"/>
    </row>
    <row r="741" spans="3:16" customFormat="1" ht="15.75" customHeight="1">
      <c r="C741" s="17"/>
      <c r="M741" s="4"/>
      <c r="N741" s="27"/>
      <c r="O741" s="17"/>
      <c r="P741" s="4"/>
    </row>
    <row r="742" spans="3:16" customFormat="1" ht="15.75" customHeight="1">
      <c r="C742" s="17"/>
      <c r="M742" s="4"/>
      <c r="N742" s="27"/>
      <c r="O742" s="17"/>
      <c r="P742" s="4"/>
    </row>
    <row r="743" spans="3:16" customFormat="1" ht="15.75" customHeight="1">
      <c r="C743" s="17"/>
      <c r="M743" s="4"/>
      <c r="N743" s="27"/>
      <c r="O743" s="17"/>
      <c r="P743" s="4"/>
    </row>
    <row r="744" spans="3:16" customFormat="1" ht="15.75" customHeight="1">
      <c r="C744" s="17"/>
      <c r="M744" s="4"/>
      <c r="N744" s="27"/>
      <c r="O744" s="17"/>
      <c r="P744" s="4"/>
    </row>
    <row r="745" spans="3:16" customFormat="1" ht="15.75" customHeight="1">
      <c r="C745" s="17"/>
      <c r="M745" s="4"/>
      <c r="N745" s="27"/>
      <c r="O745" s="17"/>
      <c r="P745" s="4"/>
    </row>
    <row r="746" spans="3:16" customFormat="1" ht="15.75" customHeight="1">
      <c r="C746" s="17"/>
      <c r="M746" s="4"/>
      <c r="N746" s="27"/>
      <c r="O746" s="17"/>
      <c r="P746" s="4"/>
    </row>
    <row r="747" spans="3:16" customFormat="1" ht="15.75" customHeight="1">
      <c r="C747" s="17"/>
      <c r="M747" s="4"/>
      <c r="N747" s="27"/>
      <c r="O747" s="17"/>
      <c r="P747" s="4"/>
    </row>
    <row r="748" spans="3:16" customFormat="1" ht="15.75" customHeight="1">
      <c r="C748" s="17"/>
      <c r="M748" s="4"/>
      <c r="N748" s="27"/>
      <c r="O748" s="17"/>
      <c r="P748" s="4"/>
    </row>
    <row r="749" spans="3:16" customFormat="1" ht="15.75" customHeight="1">
      <c r="C749" s="17"/>
      <c r="M749" s="4"/>
      <c r="N749" s="27"/>
      <c r="O749" s="17"/>
      <c r="P749" s="4"/>
    </row>
    <row r="750" spans="3:16" customFormat="1" ht="15.75" customHeight="1">
      <c r="C750" s="17"/>
      <c r="M750" s="4"/>
      <c r="N750" s="27"/>
      <c r="O750" s="17"/>
      <c r="P750" s="4"/>
    </row>
    <row r="751" spans="3:16" customFormat="1" ht="15.75" customHeight="1">
      <c r="C751" s="17"/>
      <c r="M751" s="4"/>
      <c r="N751" s="27"/>
      <c r="O751" s="17"/>
      <c r="P751" s="4"/>
    </row>
    <row r="752" spans="3:16" customFormat="1" ht="15.75" customHeight="1">
      <c r="C752" s="17"/>
      <c r="M752" s="4"/>
      <c r="N752" s="27"/>
      <c r="O752" s="17"/>
      <c r="P752" s="4"/>
    </row>
    <row r="753" spans="3:16" customFormat="1" ht="15.75" customHeight="1">
      <c r="C753" s="17"/>
      <c r="M753" s="4"/>
      <c r="N753" s="27"/>
      <c r="O753" s="17"/>
      <c r="P753" s="4"/>
    </row>
    <row r="754" spans="3:16" customFormat="1" ht="15.75" customHeight="1">
      <c r="C754" s="17"/>
      <c r="M754" s="4"/>
      <c r="N754" s="27"/>
      <c r="O754" s="17"/>
      <c r="P754" s="4"/>
    </row>
    <row r="755" spans="3:16" customFormat="1" ht="15.75" customHeight="1">
      <c r="C755" s="17"/>
      <c r="M755" s="4"/>
      <c r="N755" s="27"/>
      <c r="O755" s="17"/>
      <c r="P755" s="4"/>
    </row>
    <row r="756" spans="3:16" customFormat="1" ht="15.75" customHeight="1">
      <c r="C756" s="17"/>
      <c r="M756" s="4"/>
      <c r="N756" s="27"/>
      <c r="O756" s="17"/>
      <c r="P756" s="4"/>
    </row>
    <row r="757" spans="3:16" customFormat="1" ht="15.75" customHeight="1">
      <c r="C757" s="17"/>
      <c r="M757" s="4"/>
      <c r="N757" s="27"/>
      <c r="O757" s="17"/>
      <c r="P757" s="4"/>
    </row>
    <row r="758" spans="3:16" customFormat="1" ht="15.75" customHeight="1">
      <c r="C758" s="17"/>
      <c r="M758" s="4"/>
      <c r="N758" s="27"/>
      <c r="O758" s="17"/>
      <c r="P758" s="4"/>
    </row>
    <row r="759" spans="3:16" customFormat="1" ht="15.75" customHeight="1">
      <c r="C759" s="17"/>
      <c r="M759" s="4"/>
      <c r="N759" s="27"/>
      <c r="O759" s="17"/>
      <c r="P759" s="4"/>
    </row>
    <row r="760" spans="3:16" customFormat="1" ht="15.75" customHeight="1">
      <c r="C760" s="17"/>
      <c r="M760" s="4"/>
      <c r="N760" s="27"/>
      <c r="O760" s="17"/>
      <c r="P760" s="4"/>
    </row>
    <row r="761" spans="3:16" customFormat="1" ht="15.75" customHeight="1">
      <c r="C761" s="17"/>
      <c r="M761" s="4"/>
      <c r="N761" s="27"/>
      <c r="O761" s="17"/>
      <c r="P761" s="4"/>
    </row>
    <row r="762" spans="3:16" customFormat="1" ht="15.75" customHeight="1">
      <c r="C762" s="17"/>
      <c r="M762" s="4"/>
      <c r="N762" s="27"/>
      <c r="O762" s="17"/>
      <c r="P762" s="4"/>
    </row>
    <row r="763" spans="3:16" customFormat="1" ht="15.75" customHeight="1">
      <c r="C763" s="17"/>
      <c r="M763" s="4"/>
      <c r="N763" s="27"/>
      <c r="O763" s="17"/>
      <c r="P763" s="4"/>
    </row>
    <row r="764" spans="3:16" customFormat="1" ht="15.75" customHeight="1">
      <c r="C764" s="17"/>
      <c r="M764" s="4"/>
      <c r="N764" s="27"/>
      <c r="O764" s="17"/>
      <c r="P764" s="4"/>
    </row>
    <row r="765" spans="3:16" customFormat="1" ht="15.75" customHeight="1">
      <c r="C765" s="17"/>
      <c r="M765" s="4"/>
      <c r="N765" s="27"/>
      <c r="O765" s="17"/>
      <c r="P765" s="4"/>
    </row>
    <row r="766" spans="3:16" customFormat="1" ht="15.75" customHeight="1">
      <c r="C766" s="17"/>
      <c r="M766" s="4"/>
      <c r="N766" s="27"/>
      <c r="O766" s="17"/>
      <c r="P766" s="4"/>
    </row>
    <row r="767" spans="3:16" customFormat="1" ht="15.75" customHeight="1">
      <c r="C767" s="17"/>
      <c r="M767" s="4"/>
      <c r="N767" s="27"/>
      <c r="O767" s="17"/>
      <c r="P767" s="4"/>
    </row>
    <row r="768" spans="3:16" customFormat="1" ht="15.75" customHeight="1">
      <c r="C768" s="17"/>
      <c r="M768" s="4"/>
      <c r="N768" s="27"/>
      <c r="O768" s="17"/>
      <c r="P768" s="4"/>
    </row>
    <row r="769" spans="3:16" customFormat="1" ht="15.75" customHeight="1">
      <c r="C769" s="17"/>
      <c r="M769" s="4"/>
      <c r="N769" s="27"/>
      <c r="O769" s="17"/>
      <c r="P769" s="4"/>
    </row>
    <row r="770" spans="3:16" customFormat="1" ht="15.75" customHeight="1">
      <c r="C770" s="17"/>
      <c r="M770" s="4"/>
      <c r="N770" s="27"/>
      <c r="O770" s="17"/>
      <c r="P770" s="4"/>
    </row>
    <row r="771" spans="3:16" customFormat="1" ht="15.75" customHeight="1">
      <c r="C771" s="17"/>
      <c r="M771" s="4"/>
      <c r="N771" s="27"/>
      <c r="O771" s="17"/>
      <c r="P771" s="4"/>
    </row>
    <row r="772" spans="3:16" customFormat="1" ht="15.75" customHeight="1">
      <c r="C772" s="17"/>
      <c r="M772" s="4"/>
      <c r="N772" s="27"/>
      <c r="O772" s="17"/>
      <c r="P772" s="4"/>
    </row>
    <row r="773" spans="3:16" customFormat="1" ht="15.75" customHeight="1">
      <c r="C773" s="17"/>
      <c r="M773" s="4"/>
      <c r="N773" s="27"/>
      <c r="O773" s="17"/>
      <c r="P773" s="4"/>
    </row>
    <row r="774" spans="3:16" customFormat="1" ht="15.75" customHeight="1">
      <c r="C774" s="17"/>
      <c r="M774" s="4"/>
      <c r="N774" s="27"/>
      <c r="O774" s="17"/>
      <c r="P774" s="4"/>
    </row>
    <row r="775" spans="3:16" customFormat="1" ht="15.75" customHeight="1">
      <c r="C775" s="17"/>
      <c r="M775" s="4"/>
      <c r="N775" s="27"/>
      <c r="O775" s="17"/>
      <c r="P775" s="4"/>
    </row>
    <row r="776" spans="3:16" customFormat="1" ht="15.75" customHeight="1">
      <c r="C776" s="17"/>
      <c r="M776" s="4"/>
      <c r="N776" s="27"/>
      <c r="O776" s="17"/>
      <c r="P776" s="4"/>
    </row>
    <row r="777" spans="3:16" customFormat="1" ht="15.75" customHeight="1">
      <c r="C777" s="17"/>
      <c r="M777" s="4"/>
      <c r="N777" s="27"/>
      <c r="O777" s="17"/>
      <c r="P777" s="4"/>
    </row>
    <row r="778" spans="3:16" customFormat="1" ht="15.75" customHeight="1">
      <c r="C778" s="17"/>
      <c r="M778" s="4"/>
      <c r="N778" s="27"/>
      <c r="O778" s="17"/>
      <c r="P778" s="4"/>
    </row>
    <row r="779" spans="3:16" customFormat="1" ht="15.75" customHeight="1">
      <c r="C779" s="17"/>
      <c r="M779" s="4"/>
      <c r="N779" s="27"/>
      <c r="O779" s="17"/>
      <c r="P779" s="4"/>
    </row>
    <row r="780" spans="3:16" customFormat="1" ht="15.75" customHeight="1">
      <c r="C780" s="17"/>
      <c r="M780" s="4"/>
      <c r="N780" s="27"/>
      <c r="O780" s="17"/>
      <c r="P780" s="4"/>
    </row>
    <row r="781" spans="3:16" customFormat="1" ht="15.75" customHeight="1">
      <c r="C781" s="17"/>
      <c r="M781" s="4"/>
      <c r="N781" s="27"/>
      <c r="O781" s="17"/>
      <c r="P781" s="4"/>
    </row>
    <row r="782" spans="3:16" customFormat="1" ht="15.75" customHeight="1">
      <c r="C782" s="17"/>
      <c r="M782" s="4"/>
      <c r="N782" s="27"/>
      <c r="O782" s="17"/>
      <c r="P782" s="4"/>
    </row>
    <row r="783" spans="3:16" customFormat="1" ht="15.75" customHeight="1">
      <c r="C783" s="17"/>
      <c r="M783" s="4"/>
      <c r="N783" s="27"/>
      <c r="O783" s="17"/>
      <c r="P783" s="4"/>
    </row>
    <row r="784" spans="3:16" customFormat="1" ht="15.75" customHeight="1">
      <c r="C784" s="17"/>
      <c r="M784" s="4"/>
      <c r="N784" s="27"/>
      <c r="O784" s="17"/>
      <c r="P784" s="4"/>
    </row>
    <row r="785" spans="3:16" customFormat="1" ht="15.75" customHeight="1">
      <c r="C785" s="17"/>
      <c r="M785" s="4"/>
      <c r="N785" s="27"/>
      <c r="O785" s="17"/>
      <c r="P785" s="4"/>
    </row>
    <row r="786" spans="3:16" customFormat="1" ht="15.75" customHeight="1">
      <c r="C786" s="17"/>
      <c r="M786" s="4"/>
      <c r="N786" s="27"/>
      <c r="O786" s="17"/>
      <c r="P786" s="4"/>
    </row>
    <row r="787" spans="3:16" customFormat="1" ht="15.75" customHeight="1">
      <c r="C787" s="17"/>
      <c r="M787" s="4"/>
      <c r="N787" s="27"/>
      <c r="O787" s="17"/>
      <c r="P787" s="4"/>
    </row>
    <row r="788" spans="3:16" customFormat="1" ht="15.75" customHeight="1">
      <c r="C788" s="17"/>
      <c r="M788" s="4"/>
      <c r="N788" s="27"/>
      <c r="O788" s="17"/>
      <c r="P788" s="4"/>
    </row>
    <row r="789" spans="3:16" customFormat="1" ht="15.75" customHeight="1">
      <c r="C789" s="17"/>
      <c r="M789" s="4"/>
      <c r="N789" s="27"/>
      <c r="O789" s="17"/>
      <c r="P789" s="4"/>
    </row>
    <row r="790" spans="3:16" customFormat="1" ht="15.75" customHeight="1">
      <c r="C790" s="17"/>
      <c r="M790" s="4"/>
      <c r="N790" s="27"/>
      <c r="O790" s="17"/>
      <c r="P790" s="4"/>
    </row>
    <row r="791" spans="3:16" customFormat="1" ht="15.75" customHeight="1">
      <c r="C791" s="17"/>
      <c r="M791" s="4"/>
      <c r="N791" s="27"/>
      <c r="O791" s="17"/>
      <c r="P791" s="4"/>
    </row>
    <row r="792" spans="3:16" customFormat="1" ht="15.75" customHeight="1">
      <c r="C792" s="17"/>
      <c r="M792" s="4"/>
      <c r="N792" s="27"/>
      <c r="O792" s="17"/>
      <c r="P792" s="4"/>
    </row>
    <row r="793" spans="3:16" customFormat="1" ht="15.75" customHeight="1">
      <c r="C793" s="17"/>
      <c r="M793" s="4"/>
      <c r="N793" s="27"/>
      <c r="O793" s="17"/>
      <c r="P793" s="4"/>
    </row>
    <row r="794" spans="3:16" customFormat="1" ht="15.75" customHeight="1">
      <c r="C794" s="17"/>
      <c r="M794" s="4"/>
      <c r="N794" s="27"/>
      <c r="O794" s="17"/>
      <c r="P794" s="4"/>
    </row>
    <row r="795" spans="3:16" customFormat="1" ht="15.75" customHeight="1">
      <c r="C795" s="17"/>
      <c r="M795" s="4"/>
      <c r="N795" s="27"/>
      <c r="O795" s="17"/>
      <c r="P795" s="4"/>
    </row>
    <row r="796" spans="3:16" customFormat="1" ht="15.75" customHeight="1">
      <c r="C796" s="17"/>
      <c r="M796" s="4"/>
      <c r="N796" s="27"/>
      <c r="O796" s="17"/>
      <c r="P796" s="4"/>
    </row>
    <row r="797" spans="3:16" customFormat="1" ht="15.75" customHeight="1">
      <c r="C797" s="17"/>
      <c r="M797" s="4"/>
      <c r="N797" s="27"/>
      <c r="O797" s="17"/>
      <c r="P797" s="4"/>
    </row>
    <row r="798" spans="3:16" customFormat="1" ht="15.75" customHeight="1">
      <c r="C798" s="17"/>
      <c r="M798" s="4"/>
      <c r="N798" s="27"/>
      <c r="O798" s="17"/>
      <c r="P798" s="4"/>
    </row>
    <row r="799" spans="3:16" customFormat="1" ht="15.75" customHeight="1">
      <c r="C799" s="17"/>
      <c r="M799" s="4"/>
      <c r="N799" s="27"/>
      <c r="O799" s="17"/>
      <c r="P799" s="4"/>
    </row>
    <row r="800" spans="3:16" customFormat="1" ht="15.75" customHeight="1">
      <c r="C800" s="17"/>
      <c r="M800" s="4"/>
      <c r="N800" s="27"/>
      <c r="O800" s="17"/>
      <c r="P800" s="4"/>
    </row>
    <row r="801" spans="3:16" customFormat="1" ht="15.75" customHeight="1">
      <c r="C801" s="17"/>
      <c r="M801" s="4"/>
      <c r="N801" s="27"/>
      <c r="O801" s="17"/>
      <c r="P801" s="4"/>
    </row>
    <row r="802" spans="3:16" customFormat="1" ht="15.75" customHeight="1">
      <c r="C802" s="17"/>
      <c r="M802" s="4"/>
      <c r="N802" s="27"/>
      <c r="O802" s="17"/>
      <c r="P802" s="4"/>
    </row>
    <row r="803" spans="3:16" customFormat="1" ht="15.75" customHeight="1">
      <c r="C803" s="17"/>
      <c r="M803" s="4"/>
      <c r="N803" s="27"/>
      <c r="O803" s="17"/>
      <c r="P803" s="4"/>
    </row>
    <row r="804" spans="3:16" customFormat="1" ht="15.75" customHeight="1">
      <c r="C804" s="17"/>
      <c r="M804" s="4"/>
      <c r="N804" s="27"/>
      <c r="O804" s="17"/>
      <c r="P804" s="4"/>
    </row>
    <row r="805" spans="3:16" customFormat="1" ht="15.75" customHeight="1">
      <c r="C805" s="17"/>
      <c r="M805" s="4"/>
      <c r="N805" s="27"/>
      <c r="O805" s="17"/>
      <c r="P805" s="4"/>
    </row>
    <row r="806" spans="3:16" customFormat="1" ht="15.75" customHeight="1">
      <c r="C806" s="17"/>
      <c r="M806" s="4"/>
      <c r="N806" s="27"/>
      <c r="O806" s="17"/>
      <c r="P806" s="4"/>
    </row>
    <row r="807" spans="3:16" customFormat="1" ht="15.75" customHeight="1">
      <c r="C807" s="17"/>
      <c r="M807" s="4"/>
      <c r="N807" s="27"/>
      <c r="O807" s="17"/>
      <c r="P807" s="4"/>
    </row>
    <row r="808" spans="3:16" customFormat="1" ht="15.75" customHeight="1">
      <c r="C808" s="17"/>
      <c r="M808" s="4"/>
      <c r="N808" s="27"/>
      <c r="O808" s="17"/>
      <c r="P808" s="4"/>
    </row>
    <row r="809" spans="3:16" customFormat="1" ht="15.75" customHeight="1">
      <c r="C809" s="17"/>
      <c r="M809" s="4"/>
      <c r="N809" s="27"/>
      <c r="O809" s="17"/>
      <c r="P809" s="4"/>
    </row>
    <row r="810" spans="3:16" customFormat="1" ht="15.75" customHeight="1">
      <c r="C810" s="17"/>
      <c r="M810" s="4"/>
      <c r="N810" s="27"/>
      <c r="O810" s="17"/>
      <c r="P810" s="4"/>
    </row>
    <row r="811" spans="3:16" customFormat="1" ht="15.75" customHeight="1">
      <c r="C811" s="17"/>
      <c r="M811" s="4"/>
      <c r="N811" s="27"/>
      <c r="O811" s="17"/>
      <c r="P811" s="4"/>
    </row>
    <row r="812" spans="3:16" customFormat="1" ht="15.75" customHeight="1">
      <c r="C812" s="17"/>
      <c r="M812" s="4"/>
      <c r="N812" s="27"/>
      <c r="O812" s="17"/>
      <c r="P812" s="4"/>
    </row>
    <row r="813" spans="3:16" customFormat="1" ht="15.75" customHeight="1">
      <c r="C813" s="17"/>
      <c r="M813" s="4"/>
      <c r="N813" s="27"/>
      <c r="O813" s="17"/>
      <c r="P813" s="4"/>
    </row>
    <row r="814" spans="3:16" customFormat="1" ht="15.75" customHeight="1">
      <c r="C814" s="17"/>
      <c r="M814" s="4"/>
      <c r="N814" s="27"/>
      <c r="O814" s="17"/>
      <c r="P814" s="4"/>
    </row>
    <row r="815" spans="3:16" customFormat="1" ht="15.75" customHeight="1">
      <c r="C815" s="17"/>
      <c r="M815" s="4"/>
      <c r="N815" s="27"/>
      <c r="O815" s="17"/>
      <c r="P815" s="4"/>
    </row>
    <row r="816" spans="3:16" customFormat="1" ht="15.75" customHeight="1">
      <c r="C816" s="17"/>
      <c r="M816" s="4"/>
      <c r="N816" s="27"/>
      <c r="O816" s="17"/>
      <c r="P816" s="4"/>
    </row>
    <row r="817" spans="3:16" customFormat="1" ht="15.75" customHeight="1">
      <c r="C817" s="17"/>
      <c r="M817" s="4"/>
      <c r="N817" s="27"/>
      <c r="O817" s="17"/>
      <c r="P817" s="4"/>
    </row>
    <row r="818" spans="3:16" customFormat="1" ht="15.75" customHeight="1">
      <c r="C818" s="17"/>
      <c r="M818" s="4"/>
      <c r="N818" s="27"/>
      <c r="O818" s="17"/>
      <c r="P818" s="4"/>
    </row>
    <row r="819" spans="3:16" customFormat="1" ht="15.75" customHeight="1">
      <c r="C819" s="17"/>
      <c r="M819" s="4"/>
      <c r="N819" s="27"/>
      <c r="O819" s="17"/>
      <c r="P819" s="4"/>
    </row>
    <row r="820" spans="3:16" customFormat="1" ht="15.75" customHeight="1">
      <c r="C820" s="17"/>
      <c r="M820" s="4"/>
      <c r="N820" s="27"/>
      <c r="O820" s="17"/>
      <c r="P820" s="4"/>
    </row>
    <row r="821" spans="3:16" customFormat="1" ht="15.75" customHeight="1">
      <c r="C821" s="17"/>
      <c r="M821" s="4"/>
      <c r="N821" s="27"/>
      <c r="O821" s="17"/>
      <c r="P821" s="4"/>
    </row>
    <row r="822" spans="3:16" customFormat="1" ht="15.75" customHeight="1">
      <c r="C822" s="17"/>
      <c r="M822" s="4"/>
      <c r="N822" s="27"/>
      <c r="O822" s="17"/>
      <c r="P822" s="4"/>
    </row>
    <row r="823" spans="3:16" customFormat="1" ht="15.75" customHeight="1">
      <c r="C823" s="17"/>
      <c r="M823" s="4"/>
      <c r="N823" s="27"/>
      <c r="O823" s="17"/>
      <c r="P823" s="4"/>
    </row>
    <row r="824" spans="3:16" customFormat="1" ht="15.75" customHeight="1">
      <c r="C824" s="17"/>
      <c r="M824" s="4"/>
      <c r="N824" s="27"/>
      <c r="O824" s="17"/>
      <c r="P824" s="4"/>
    </row>
    <row r="825" spans="3:16" customFormat="1" ht="15.75" customHeight="1">
      <c r="C825" s="17"/>
      <c r="M825" s="4"/>
      <c r="N825" s="27"/>
      <c r="O825" s="17"/>
      <c r="P825" s="4"/>
    </row>
    <row r="826" spans="3:16" customFormat="1" ht="15.75" customHeight="1">
      <c r="C826" s="17"/>
      <c r="M826" s="4"/>
      <c r="N826" s="27"/>
      <c r="O826" s="17"/>
      <c r="P826" s="4"/>
    </row>
    <row r="827" spans="3:16" customFormat="1" ht="15.75" customHeight="1">
      <c r="C827" s="17"/>
      <c r="M827" s="4"/>
      <c r="N827" s="27"/>
      <c r="O827" s="17"/>
      <c r="P827" s="4"/>
    </row>
    <row r="828" spans="3:16" customFormat="1" ht="15.75" customHeight="1">
      <c r="C828" s="17"/>
      <c r="M828" s="4"/>
      <c r="N828" s="27"/>
      <c r="O828" s="17"/>
      <c r="P828" s="4"/>
    </row>
    <row r="829" spans="3:16" customFormat="1" ht="15.75" customHeight="1">
      <c r="C829" s="17"/>
      <c r="M829" s="4"/>
      <c r="N829" s="27"/>
      <c r="O829" s="17"/>
      <c r="P829" s="4"/>
    </row>
    <row r="830" spans="3:16" customFormat="1" ht="15.75" customHeight="1">
      <c r="C830" s="17"/>
      <c r="M830" s="4"/>
      <c r="N830" s="27"/>
      <c r="O830" s="17"/>
      <c r="P830" s="4"/>
    </row>
    <row r="831" spans="3:16" customFormat="1" ht="15.75" customHeight="1">
      <c r="C831" s="17"/>
      <c r="M831" s="4"/>
      <c r="N831" s="27"/>
      <c r="O831" s="17"/>
      <c r="P831" s="4"/>
    </row>
    <row r="832" spans="3:16" customFormat="1" ht="15.75" customHeight="1">
      <c r="C832" s="17"/>
      <c r="M832" s="4"/>
      <c r="N832" s="27"/>
      <c r="O832" s="17"/>
      <c r="P832" s="4"/>
    </row>
    <row r="833" spans="3:16" customFormat="1" ht="15.75" customHeight="1">
      <c r="C833" s="17"/>
      <c r="M833" s="4"/>
      <c r="N833" s="27"/>
      <c r="O833" s="17"/>
      <c r="P833" s="4"/>
    </row>
    <row r="834" spans="3:16" customFormat="1" ht="15.75" customHeight="1">
      <c r="C834" s="17"/>
      <c r="M834" s="4"/>
      <c r="N834" s="27"/>
      <c r="O834" s="17"/>
      <c r="P834" s="4"/>
    </row>
    <row r="835" spans="3:16" customFormat="1" ht="15.75" customHeight="1">
      <c r="C835" s="17"/>
      <c r="M835" s="4"/>
      <c r="N835" s="27"/>
      <c r="O835" s="17"/>
      <c r="P835" s="4"/>
    </row>
    <row r="836" spans="3:16" customFormat="1" ht="15.75" customHeight="1">
      <c r="C836" s="17"/>
      <c r="M836" s="4"/>
      <c r="N836" s="27"/>
      <c r="O836" s="17"/>
      <c r="P836" s="4"/>
    </row>
    <row r="837" spans="3:16" customFormat="1" ht="15.75" customHeight="1">
      <c r="C837" s="17"/>
      <c r="M837" s="4"/>
      <c r="N837" s="27"/>
      <c r="O837" s="17"/>
      <c r="P837" s="4"/>
    </row>
    <row r="838" spans="3:16" customFormat="1" ht="15.75" customHeight="1">
      <c r="C838" s="17"/>
      <c r="M838" s="4"/>
      <c r="N838" s="27"/>
      <c r="O838" s="17"/>
      <c r="P838" s="4"/>
    </row>
    <row r="839" spans="3:16" customFormat="1" ht="15.75" customHeight="1">
      <c r="C839" s="17"/>
      <c r="M839" s="4"/>
      <c r="N839" s="27"/>
      <c r="O839" s="17"/>
      <c r="P839" s="4"/>
    </row>
    <row r="840" spans="3:16" customFormat="1" ht="15.75" customHeight="1">
      <c r="C840" s="17"/>
      <c r="M840" s="4"/>
      <c r="N840" s="27"/>
      <c r="O840" s="17"/>
      <c r="P840" s="4"/>
    </row>
    <row r="841" spans="3:16" customFormat="1" ht="15.75" customHeight="1">
      <c r="C841" s="17"/>
      <c r="M841" s="4"/>
      <c r="N841" s="27"/>
      <c r="O841" s="17"/>
      <c r="P841" s="4"/>
    </row>
    <row r="842" spans="3:16" customFormat="1" ht="15.75" customHeight="1">
      <c r="C842" s="17"/>
      <c r="M842" s="4"/>
      <c r="N842" s="27"/>
      <c r="O842" s="17"/>
      <c r="P842" s="4"/>
    </row>
    <row r="843" spans="3:16" customFormat="1" ht="15.75" customHeight="1">
      <c r="C843" s="17"/>
      <c r="M843" s="4"/>
      <c r="N843" s="27"/>
      <c r="O843" s="17"/>
      <c r="P843" s="4"/>
    </row>
    <row r="844" spans="3:16" customFormat="1" ht="15.75" customHeight="1">
      <c r="C844" s="17"/>
      <c r="M844" s="4"/>
      <c r="N844" s="27"/>
      <c r="O844" s="17"/>
      <c r="P844" s="4"/>
    </row>
    <row r="845" spans="3:16" customFormat="1" ht="15.75" customHeight="1">
      <c r="C845" s="17"/>
      <c r="M845" s="4"/>
      <c r="N845" s="27"/>
      <c r="O845" s="17"/>
      <c r="P845" s="4"/>
    </row>
    <row r="846" spans="3:16" customFormat="1" ht="15.75" customHeight="1">
      <c r="C846" s="17"/>
      <c r="M846" s="4"/>
      <c r="N846" s="27"/>
      <c r="O846" s="17"/>
      <c r="P846" s="4"/>
    </row>
    <row r="847" spans="3:16" customFormat="1" ht="15.75" customHeight="1">
      <c r="C847" s="17"/>
      <c r="M847" s="4"/>
      <c r="N847" s="27"/>
      <c r="O847" s="17"/>
      <c r="P847" s="4"/>
    </row>
    <row r="848" spans="3:16" customFormat="1" ht="15.75" customHeight="1">
      <c r="C848" s="17"/>
      <c r="M848" s="4"/>
      <c r="N848" s="27"/>
      <c r="O848" s="17"/>
      <c r="P848" s="4"/>
    </row>
    <row r="849" spans="3:16" customFormat="1" ht="15.75" customHeight="1">
      <c r="C849" s="17"/>
      <c r="M849" s="4"/>
      <c r="N849" s="27"/>
      <c r="O849" s="17"/>
      <c r="P849" s="4"/>
    </row>
    <row r="850" spans="3:16" customFormat="1" ht="15.75" customHeight="1">
      <c r="C850" s="17"/>
      <c r="M850" s="4"/>
      <c r="N850" s="27"/>
      <c r="O850" s="17"/>
      <c r="P850" s="4"/>
    </row>
    <row r="851" spans="3:16" customFormat="1" ht="15.75" customHeight="1">
      <c r="C851" s="17"/>
      <c r="M851" s="4"/>
      <c r="N851" s="27"/>
      <c r="O851" s="17"/>
      <c r="P851" s="4"/>
    </row>
    <row r="852" spans="3:16" customFormat="1" ht="15.75" customHeight="1">
      <c r="C852" s="17"/>
      <c r="M852" s="4"/>
      <c r="N852" s="27"/>
      <c r="O852" s="17"/>
      <c r="P852" s="4"/>
    </row>
    <row r="853" spans="3:16" customFormat="1" ht="15.75" customHeight="1">
      <c r="C853" s="17"/>
      <c r="M853" s="4"/>
      <c r="N853" s="27"/>
      <c r="O853" s="17"/>
      <c r="P853" s="4"/>
    </row>
    <row r="854" spans="3:16" customFormat="1" ht="15.75" customHeight="1">
      <c r="C854" s="17"/>
      <c r="M854" s="4"/>
      <c r="N854" s="27"/>
      <c r="O854" s="17"/>
      <c r="P854" s="4"/>
    </row>
    <row r="855" spans="3:16" customFormat="1" ht="15.75" customHeight="1">
      <c r="C855" s="17"/>
      <c r="M855" s="4"/>
      <c r="N855" s="27"/>
      <c r="O855" s="17"/>
      <c r="P855" s="4"/>
    </row>
    <row r="856" spans="3:16" customFormat="1" ht="15.75" customHeight="1">
      <c r="C856" s="17"/>
      <c r="M856" s="4"/>
      <c r="N856" s="27"/>
      <c r="O856" s="17"/>
      <c r="P856" s="4"/>
    </row>
    <row r="857" spans="3:16" customFormat="1" ht="15.75" customHeight="1">
      <c r="C857" s="17"/>
      <c r="M857" s="4"/>
      <c r="N857" s="27"/>
      <c r="O857" s="17"/>
      <c r="P857" s="4"/>
    </row>
    <row r="858" spans="3:16" customFormat="1" ht="15.75" customHeight="1">
      <c r="C858" s="17"/>
      <c r="M858" s="4"/>
      <c r="N858" s="27"/>
      <c r="O858" s="17"/>
      <c r="P858" s="4"/>
    </row>
    <row r="859" spans="3:16" customFormat="1" ht="15.75" customHeight="1">
      <c r="C859" s="17"/>
      <c r="M859" s="4"/>
      <c r="N859" s="27"/>
      <c r="O859" s="17"/>
      <c r="P859" s="4"/>
    </row>
    <row r="860" spans="3:16" customFormat="1" ht="15.75" customHeight="1">
      <c r="C860" s="17"/>
      <c r="M860" s="4"/>
      <c r="N860" s="27"/>
      <c r="O860" s="17"/>
      <c r="P860" s="4"/>
    </row>
    <row r="861" spans="3:16" customFormat="1" ht="15.75" customHeight="1">
      <c r="C861" s="17"/>
      <c r="M861" s="4"/>
      <c r="N861" s="27"/>
      <c r="O861" s="17"/>
      <c r="P861" s="4"/>
    </row>
    <row r="862" spans="3:16" customFormat="1" ht="15.75" customHeight="1">
      <c r="C862" s="17"/>
      <c r="M862" s="4"/>
      <c r="N862" s="27"/>
      <c r="O862" s="17"/>
      <c r="P862" s="4"/>
    </row>
    <row r="863" spans="3:16" customFormat="1" ht="15.75" customHeight="1">
      <c r="C863" s="17"/>
      <c r="M863" s="4"/>
      <c r="N863" s="27"/>
      <c r="O863" s="17"/>
      <c r="P863" s="4"/>
    </row>
    <row r="864" spans="3:16" customFormat="1" ht="15.75" customHeight="1">
      <c r="C864" s="17"/>
      <c r="M864" s="4"/>
      <c r="N864" s="27"/>
      <c r="O864" s="17"/>
      <c r="P864" s="4"/>
    </row>
    <row r="865" spans="3:16" customFormat="1" ht="15.75" customHeight="1">
      <c r="C865" s="17"/>
      <c r="M865" s="4"/>
      <c r="N865" s="27"/>
      <c r="O865" s="17"/>
      <c r="P865" s="4"/>
    </row>
    <row r="866" spans="3:16" customFormat="1" ht="15.75" customHeight="1">
      <c r="C866" s="17"/>
      <c r="M866" s="4"/>
      <c r="N866" s="27"/>
      <c r="O866" s="17"/>
      <c r="P866" s="4"/>
    </row>
    <row r="867" spans="3:16" customFormat="1" ht="15.75" customHeight="1">
      <c r="C867" s="17"/>
      <c r="M867" s="4"/>
      <c r="N867" s="27"/>
      <c r="O867" s="17"/>
      <c r="P867" s="4"/>
    </row>
    <row r="868" spans="3:16" customFormat="1" ht="15.75" customHeight="1">
      <c r="C868" s="17"/>
      <c r="M868" s="4"/>
      <c r="N868" s="27"/>
      <c r="O868" s="17"/>
      <c r="P868" s="4"/>
    </row>
    <row r="869" spans="3:16" customFormat="1" ht="15.75" customHeight="1">
      <c r="C869" s="17"/>
      <c r="M869" s="4"/>
      <c r="N869" s="27"/>
      <c r="O869" s="17"/>
      <c r="P869" s="4"/>
    </row>
    <row r="870" spans="3:16" customFormat="1" ht="15.75" customHeight="1">
      <c r="C870" s="17"/>
      <c r="M870" s="4"/>
      <c r="N870" s="27"/>
      <c r="O870" s="17"/>
      <c r="P870" s="4"/>
    </row>
    <row r="871" spans="3:16" customFormat="1" ht="15.75" customHeight="1">
      <c r="C871" s="17"/>
      <c r="M871" s="4"/>
      <c r="N871" s="27"/>
      <c r="O871" s="17"/>
      <c r="P871" s="4"/>
    </row>
    <row r="872" spans="3:16" customFormat="1" ht="15.75" customHeight="1">
      <c r="C872" s="17"/>
      <c r="M872" s="4"/>
      <c r="N872" s="27"/>
      <c r="O872" s="17"/>
      <c r="P872" s="4"/>
    </row>
    <row r="873" spans="3:16" customFormat="1" ht="15.75" customHeight="1">
      <c r="C873" s="17"/>
      <c r="M873" s="4"/>
      <c r="N873" s="27"/>
      <c r="O873" s="17"/>
      <c r="P873" s="4"/>
    </row>
    <row r="874" spans="3:16" customFormat="1" ht="15.75" customHeight="1">
      <c r="C874" s="17"/>
      <c r="M874" s="4"/>
      <c r="N874" s="27"/>
      <c r="O874" s="17"/>
      <c r="P874" s="4"/>
    </row>
    <row r="875" spans="3:16" customFormat="1" ht="15.75" customHeight="1">
      <c r="C875" s="17"/>
      <c r="M875" s="4"/>
      <c r="N875" s="27"/>
      <c r="O875" s="17"/>
      <c r="P875" s="4"/>
    </row>
    <row r="876" spans="3:16" customFormat="1" ht="15.75" customHeight="1">
      <c r="C876" s="17"/>
      <c r="M876" s="4"/>
      <c r="N876" s="27"/>
      <c r="O876" s="17"/>
      <c r="P876" s="4"/>
    </row>
    <row r="877" spans="3:16" customFormat="1" ht="15.75" customHeight="1">
      <c r="C877" s="17"/>
      <c r="M877" s="4"/>
      <c r="N877" s="27"/>
      <c r="O877" s="17"/>
      <c r="P877" s="4"/>
    </row>
    <row r="878" spans="3:16" customFormat="1" ht="15.75" customHeight="1">
      <c r="C878" s="17"/>
      <c r="M878" s="4"/>
      <c r="N878" s="27"/>
      <c r="O878" s="17"/>
      <c r="P878" s="4"/>
    </row>
    <row r="879" spans="3:16" customFormat="1" ht="15.75" customHeight="1">
      <c r="C879" s="17"/>
      <c r="M879" s="4"/>
      <c r="N879" s="27"/>
      <c r="O879" s="17"/>
      <c r="P879" s="4"/>
    </row>
    <row r="880" spans="3:16" customFormat="1" ht="15.75" customHeight="1">
      <c r="C880" s="17"/>
      <c r="M880" s="4"/>
      <c r="N880" s="27"/>
      <c r="O880" s="17"/>
      <c r="P880" s="4"/>
    </row>
    <row r="881" spans="3:16" customFormat="1" ht="15.75" customHeight="1">
      <c r="C881" s="17"/>
      <c r="M881" s="4"/>
      <c r="N881" s="27"/>
      <c r="O881" s="17"/>
      <c r="P881" s="4"/>
    </row>
    <row r="882" spans="3:16" customFormat="1" ht="15.75" customHeight="1">
      <c r="C882" s="17"/>
      <c r="M882" s="4"/>
      <c r="N882" s="27"/>
      <c r="O882" s="17"/>
      <c r="P882" s="4"/>
    </row>
    <row r="883" spans="3:16" customFormat="1" ht="15.75" customHeight="1">
      <c r="C883" s="17"/>
      <c r="M883" s="4"/>
      <c r="N883" s="27"/>
      <c r="O883" s="17"/>
      <c r="P883" s="4"/>
    </row>
    <row r="884" spans="3:16" customFormat="1" ht="15.75" customHeight="1">
      <c r="C884" s="17"/>
      <c r="M884" s="4"/>
      <c r="N884" s="27"/>
      <c r="O884" s="17"/>
      <c r="P884" s="4"/>
    </row>
    <row r="885" spans="3:16" customFormat="1" ht="15.75" customHeight="1">
      <c r="C885" s="17"/>
      <c r="M885" s="4"/>
      <c r="N885" s="27"/>
      <c r="O885" s="17"/>
      <c r="P885" s="4"/>
    </row>
    <row r="886" spans="3:16" customFormat="1" ht="15.75" customHeight="1">
      <c r="C886" s="17"/>
      <c r="M886" s="4"/>
      <c r="N886" s="27"/>
      <c r="O886" s="17"/>
      <c r="P886" s="4"/>
    </row>
    <row r="887" spans="3:16" customFormat="1" ht="15.75" customHeight="1">
      <c r="C887" s="17"/>
      <c r="M887" s="4"/>
      <c r="N887" s="27"/>
      <c r="O887" s="17"/>
      <c r="P887" s="4"/>
    </row>
    <row r="888" spans="3:16" customFormat="1" ht="15.75" customHeight="1">
      <c r="C888" s="17"/>
      <c r="M888" s="4"/>
      <c r="N888" s="27"/>
      <c r="O888" s="17"/>
      <c r="P888" s="4"/>
    </row>
    <row r="889" spans="3:16" customFormat="1" ht="15.75" customHeight="1">
      <c r="C889" s="17"/>
      <c r="M889" s="4"/>
      <c r="N889" s="27"/>
      <c r="O889" s="17"/>
      <c r="P889" s="4"/>
    </row>
    <row r="890" spans="3:16" customFormat="1" ht="15.75" customHeight="1">
      <c r="C890" s="17"/>
      <c r="M890" s="4"/>
      <c r="N890" s="27"/>
      <c r="O890" s="17"/>
      <c r="P890" s="4"/>
    </row>
    <row r="891" spans="3:16" customFormat="1" ht="15.75" customHeight="1">
      <c r="C891" s="17"/>
      <c r="M891" s="4"/>
      <c r="N891" s="27"/>
      <c r="O891" s="17"/>
      <c r="P891" s="4"/>
    </row>
    <row r="892" spans="3:16" customFormat="1" ht="15.75" customHeight="1">
      <c r="C892" s="17"/>
      <c r="M892" s="4"/>
      <c r="N892" s="27"/>
      <c r="O892" s="17"/>
      <c r="P892" s="4"/>
    </row>
    <row r="893" spans="3:16" customFormat="1" ht="15.75" customHeight="1">
      <c r="C893" s="17"/>
      <c r="M893" s="4"/>
      <c r="N893" s="27"/>
      <c r="O893" s="17"/>
      <c r="P893" s="4"/>
    </row>
    <row r="894" spans="3:16" customFormat="1" ht="15.75" customHeight="1">
      <c r="C894" s="17"/>
      <c r="M894" s="4"/>
      <c r="N894" s="27"/>
      <c r="O894" s="17"/>
      <c r="P894" s="4"/>
    </row>
    <row r="895" spans="3:16" customFormat="1" ht="15.75" customHeight="1">
      <c r="C895" s="17"/>
      <c r="M895" s="4"/>
      <c r="N895" s="27"/>
      <c r="O895" s="17"/>
      <c r="P895" s="4"/>
    </row>
    <row r="896" spans="3:16" customFormat="1" ht="15.75" customHeight="1">
      <c r="C896" s="17"/>
      <c r="M896" s="4"/>
      <c r="N896" s="27"/>
      <c r="O896" s="17"/>
      <c r="P896" s="4"/>
    </row>
    <row r="897" spans="3:16" customFormat="1" ht="15.75" customHeight="1">
      <c r="C897" s="17"/>
      <c r="M897" s="4"/>
      <c r="N897" s="27"/>
      <c r="O897" s="17"/>
      <c r="P897" s="4"/>
    </row>
    <row r="898" spans="3:16" customFormat="1" ht="15.75" customHeight="1">
      <c r="C898" s="17"/>
      <c r="M898" s="4"/>
      <c r="N898" s="27"/>
      <c r="O898" s="17"/>
      <c r="P898" s="4"/>
    </row>
    <row r="899" spans="3:16" customFormat="1" ht="15.75" customHeight="1">
      <c r="C899" s="17"/>
      <c r="M899" s="4"/>
      <c r="N899" s="27"/>
      <c r="O899" s="17"/>
      <c r="P899" s="4"/>
    </row>
    <row r="900" spans="3:16" customFormat="1" ht="15.75" customHeight="1">
      <c r="C900" s="17"/>
      <c r="M900" s="4"/>
      <c r="N900" s="27"/>
      <c r="O900" s="17"/>
      <c r="P900" s="4"/>
    </row>
    <row r="901" spans="3:16" customFormat="1" ht="15.75" customHeight="1">
      <c r="C901" s="17"/>
      <c r="M901" s="4"/>
      <c r="N901" s="27"/>
      <c r="O901" s="17"/>
      <c r="P901" s="4"/>
    </row>
    <row r="902" spans="3:16" customFormat="1" ht="15.75" customHeight="1">
      <c r="C902" s="17"/>
      <c r="M902" s="4"/>
      <c r="N902" s="27"/>
      <c r="O902" s="17"/>
      <c r="P902" s="4"/>
    </row>
    <row r="903" spans="3:16" customFormat="1" ht="15.75" customHeight="1">
      <c r="C903" s="17"/>
      <c r="M903" s="4"/>
      <c r="N903" s="27"/>
      <c r="O903" s="17"/>
      <c r="P903" s="4"/>
    </row>
    <row r="904" spans="3:16" customFormat="1" ht="15.75" customHeight="1">
      <c r="C904" s="17"/>
      <c r="M904" s="4"/>
      <c r="N904" s="27"/>
      <c r="O904" s="17"/>
      <c r="P904" s="4"/>
    </row>
    <row r="905" spans="3:16" customFormat="1" ht="15.75" customHeight="1">
      <c r="C905" s="17"/>
      <c r="M905" s="4"/>
      <c r="N905" s="27"/>
      <c r="O905" s="17"/>
      <c r="P905" s="4"/>
    </row>
    <row r="906" spans="3:16" customFormat="1" ht="15.75" customHeight="1">
      <c r="C906" s="17"/>
      <c r="M906" s="4"/>
      <c r="N906" s="27"/>
      <c r="O906" s="17"/>
      <c r="P906" s="4"/>
    </row>
    <row r="907" spans="3:16" customFormat="1" ht="15.75" customHeight="1">
      <c r="C907" s="17"/>
      <c r="M907" s="4"/>
      <c r="N907" s="27"/>
      <c r="O907" s="17"/>
      <c r="P907" s="4"/>
    </row>
    <row r="908" spans="3:16" customFormat="1" ht="15.75" customHeight="1">
      <c r="C908" s="17"/>
      <c r="M908" s="4"/>
      <c r="N908" s="27"/>
      <c r="O908" s="17"/>
      <c r="P908" s="4"/>
    </row>
    <row r="909" spans="3:16" customFormat="1" ht="15.75" customHeight="1">
      <c r="C909" s="17"/>
      <c r="M909" s="4"/>
      <c r="N909" s="27"/>
      <c r="O909" s="17"/>
      <c r="P909" s="4"/>
    </row>
    <row r="910" spans="3:16" customFormat="1" ht="15.75" customHeight="1">
      <c r="C910" s="17"/>
      <c r="M910" s="4"/>
      <c r="N910" s="27"/>
      <c r="O910" s="17"/>
      <c r="P910" s="4"/>
    </row>
    <row r="911" spans="3:16" customFormat="1" ht="15.75" customHeight="1">
      <c r="C911" s="17"/>
      <c r="M911" s="4"/>
      <c r="N911" s="27"/>
      <c r="O911" s="17"/>
      <c r="P911" s="4"/>
    </row>
    <row r="912" spans="3:16" customFormat="1" ht="15.75" customHeight="1">
      <c r="C912" s="17"/>
      <c r="M912" s="4"/>
      <c r="N912" s="27"/>
      <c r="O912" s="17"/>
      <c r="P912" s="4"/>
    </row>
    <row r="913" spans="3:16" customFormat="1" ht="15.75" customHeight="1">
      <c r="C913" s="17"/>
      <c r="M913" s="4"/>
      <c r="N913" s="27"/>
      <c r="O913" s="17"/>
      <c r="P913" s="4"/>
    </row>
    <row r="914" spans="3:16" customFormat="1" ht="15.75" customHeight="1">
      <c r="C914" s="17"/>
      <c r="M914" s="4"/>
      <c r="N914" s="27"/>
      <c r="O914" s="17"/>
      <c r="P914" s="4"/>
    </row>
    <row r="915" spans="3:16" customFormat="1" ht="15.75" customHeight="1">
      <c r="C915" s="17"/>
      <c r="M915" s="4"/>
      <c r="N915" s="27"/>
      <c r="O915" s="17"/>
      <c r="P915" s="4"/>
    </row>
    <row r="916" spans="3:16" customFormat="1" ht="15.75" customHeight="1">
      <c r="C916" s="17"/>
      <c r="M916" s="4"/>
      <c r="N916" s="27"/>
      <c r="O916" s="17"/>
      <c r="P916" s="4"/>
    </row>
    <row r="917" spans="3:16" customFormat="1" ht="15.75" customHeight="1">
      <c r="C917" s="17"/>
      <c r="M917" s="4"/>
      <c r="N917" s="27"/>
      <c r="O917" s="17"/>
      <c r="P917" s="4"/>
    </row>
    <row r="918" spans="3:16" customFormat="1" ht="15.75" customHeight="1">
      <c r="C918" s="17"/>
      <c r="M918" s="4"/>
      <c r="N918" s="27"/>
      <c r="O918" s="17"/>
      <c r="P918" s="4"/>
    </row>
    <row r="919" spans="3:16" customFormat="1" ht="15.75" customHeight="1">
      <c r="C919" s="17"/>
      <c r="M919" s="4"/>
      <c r="N919" s="27"/>
      <c r="O919" s="17"/>
      <c r="P919" s="4"/>
    </row>
    <row r="920" spans="3:16" customFormat="1" ht="15.75" customHeight="1">
      <c r="C920" s="17"/>
      <c r="M920" s="4"/>
      <c r="N920" s="27"/>
      <c r="O920" s="17"/>
      <c r="P920" s="4"/>
    </row>
    <row r="921" spans="3:16" customFormat="1" ht="15.75" customHeight="1">
      <c r="C921" s="17"/>
      <c r="M921" s="4"/>
      <c r="N921" s="27"/>
      <c r="O921" s="17"/>
      <c r="P921" s="4"/>
    </row>
    <row r="922" spans="3:16" customFormat="1" ht="15.75" customHeight="1">
      <c r="C922" s="17"/>
      <c r="M922" s="4"/>
      <c r="N922" s="27"/>
      <c r="O922" s="17"/>
      <c r="P922" s="4"/>
    </row>
    <row r="923" spans="3:16" customFormat="1" ht="15.75" customHeight="1">
      <c r="C923" s="17"/>
      <c r="M923" s="4"/>
      <c r="N923" s="27"/>
      <c r="O923" s="17"/>
      <c r="P923" s="4"/>
    </row>
    <row r="924" spans="3:16" customFormat="1" ht="15.75" customHeight="1">
      <c r="C924" s="17"/>
      <c r="M924" s="4"/>
      <c r="N924" s="27"/>
      <c r="O924" s="17"/>
      <c r="P924" s="4"/>
    </row>
    <row r="925" spans="3:16" customFormat="1" ht="15.75" customHeight="1">
      <c r="C925" s="17"/>
      <c r="M925" s="4"/>
      <c r="N925" s="27"/>
      <c r="O925" s="17"/>
      <c r="P925" s="4"/>
    </row>
    <row r="926" spans="3:16" customFormat="1" ht="15.75" customHeight="1">
      <c r="C926" s="17"/>
      <c r="M926" s="4"/>
      <c r="N926" s="27"/>
      <c r="O926" s="17"/>
      <c r="P926" s="4"/>
    </row>
    <row r="927" spans="3:16" customFormat="1" ht="15.75" customHeight="1">
      <c r="C927" s="17"/>
      <c r="M927" s="4"/>
      <c r="N927" s="27"/>
      <c r="O927" s="17"/>
      <c r="P927" s="4"/>
    </row>
    <row r="928" spans="3:16" customFormat="1" ht="15.75" customHeight="1">
      <c r="C928" s="17"/>
      <c r="M928" s="4"/>
      <c r="N928" s="27"/>
      <c r="O928" s="17"/>
      <c r="P928" s="4"/>
    </row>
    <row r="929" spans="3:16" customFormat="1" ht="15.75" customHeight="1">
      <c r="C929" s="17"/>
      <c r="M929" s="4"/>
      <c r="N929" s="27"/>
      <c r="O929" s="17"/>
      <c r="P929" s="4"/>
    </row>
    <row r="930" spans="3:16" customFormat="1" ht="15.75" customHeight="1">
      <c r="C930" s="17"/>
      <c r="M930" s="4"/>
      <c r="N930" s="27"/>
      <c r="O930" s="17"/>
      <c r="P930" s="4"/>
    </row>
    <row r="931" spans="3:16" customFormat="1" ht="15.75" customHeight="1">
      <c r="C931" s="17"/>
      <c r="M931" s="4"/>
      <c r="N931" s="27"/>
      <c r="O931" s="17"/>
      <c r="P931" s="4"/>
    </row>
    <row r="932" spans="3:16" customFormat="1" ht="15.75" customHeight="1">
      <c r="C932" s="17"/>
      <c r="M932" s="4"/>
      <c r="N932" s="27"/>
      <c r="O932" s="17"/>
      <c r="P932" s="4"/>
    </row>
    <row r="933" spans="3:16" customFormat="1" ht="15.75" customHeight="1">
      <c r="C933" s="17"/>
      <c r="M933" s="4"/>
      <c r="N933" s="27"/>
      <c r="O933" s="17"/>
      <c r="P933" s="4"/>
    </row>
    <row r="934" spans="3:16" customFormat="1" ht="15.75" customHeight="1">
      <c r="C934" s="17"/>
      <c r="M934" s="4"/>
      <c r="N934" s="27"/>
      <c r="O934" s="17"/>
      <c r="P934" s="4"/>
    </row>
    <row r="935" spans="3:16" customFormat="1" ht="15.75" customHeight="1">
      <c r="C935" s="17"/>
      <c r="M935" s="4"/>
      <c r="N935" s="27"/>
      <c r="O935" s="17"/>
      <c r="P935" s="4"/>
    </row>
    <row r="936" spans="3:16" customFormat="1" ht="15.75" customHeight="1">
      <c r="C936" s="17"/>
      <c r="M936" s="4"/>
      <c r="N936" s="27"/>
      <c r="O936" s="17"/>
      <c r="P936" s="4"/>
    </row>
    <row r="937" spans="3:16" customFormat="1" ht="15.75" customHeight="1">
      <c r="C937" s="17"/>
      <c r="M937" s="4"/>
      <c r="N937" s="27"/>
      <c r="O937" s="17"/>
      <c r="P937" s="4"/>
    </row>
    <row r="938" spans="3:16" customFormat="1" ht="15.75" customHeight="1">
      <c r="C938" s="17"/>
      <c r="M938" s="4"/>
      <c r="N938" s="27"/>
      <c r="O938" s="17"/>
      <c r="P938" s="4"/>
    </row>
    <row r="939" spans="3:16" customFormat="1" ht="15.75" customHeight="1">
      <c r="C939" s="17"/>
      <c r="M939" s="4"/>
      <c r="N939" s="27"/>
      <c r="O939" s="17"/>
      <c r="P939" s="4"/>
    </row>
    <row r="940" spans="3:16" customFormat="1" ht="15.75" customHeight="1">
      <c r="C940" s="17"/>
      <c r="M940" s="4"/>
      <c r="N940" s="27"/>
      <c r="O940" s="17"/>
      <c r="P940" s="4"/>
    </row>
    <row r="941" spans="3:16" customFormat="1" ht="15.75" customHeight="1">
      <c r="C941" s="17"/>
      <c r="M941" s="4"/>
      <c r="N941" s="27"/>
      <c r="O941" s="17"/>
      <c r="P941" s="4"/>
    </row>
    <row r="942" spans="3:16" customFormat="1" ht="15.75" customHeight="1">
      <c r="C942" s="17"/>
      <c r="M942" s="4"/>
      <c r="N942" s="27"/>
      <c r="O942" s="17"/>
      <c r="P942" s="4"/>
    </row>
    <row r="943" spans="3:16" customFormat="1" ht="15.75" customHeight="1">
      <c r="C943" s="17"/>
      <c r="M943" s="4"/>
      <c r="N943" s="27"/>
      <c r="O943" s="17"/>
      <c r="P943" s="4"/>
    </row>
    <row r="944" spans="3:16" customFormat="1" ht="15.75" customHeight="1">
      <c r="C944" s="17"/>
      <c r="M944" s="4"/>
      <c r="N944" s="27"/>
      <c r="O944" s="17"/>
      <c r="P944" s="4"/>
    </row>
    <row r="945" spans="3:16" customFormat="1" ht="15.75" customHeight="1">
      <c r="C945" s="17"/>
      <c r="M945" s="4"/>
      <c r="N945" s="27"/>
      <c r="O945" s="17"/>
      <c r="P945" s="4"/>
    </row>
    <row r="946" spans="3:16" customFormat="1" ht="15.75" customHeight="1">
      <c r="C946" s="17"/>
      <c r="M946" s="4"/>
      <c r="N946" s="27"/>
      <c r="O946" s="17"/>
      <c r="P946" s="4"/>
    </row>
    <row r="947" spans="3:16" customFormat="1" ht="15.75" customHeight="1">
      <c r="C947" s="17"/>
      <c r="M947" s="4"/>
      <c r="N947" s="27"/>
      <c r="O947" s="17"/>
      <c r="P947" s="4"/>
    </row>
    <row r="948" spans="3:16" customFormat="1" ht="15.75" customHeight="1">
      <c r="C948" s="17"/>
      <c r="M948" s="4"/>
      <c r="N948" s="27"/>
      <c r="O948" s="17"/>
      <c r="P948" s="4"/>
    </row>
    <row r="949" spans="3:16" customFormat="1" ht="15.75" customHeight="1">
      <c r="C949" s="17"/>
      <c r="M949" s="4"/>
      <c r="N949" s="27"/>
      <c r="O949" s="17"/>
      <c r="P949" s="4"/>
    </row>
    <row r="950" spans="3:16" customFormat="1" ht="15.75" customHeight="1">
      <c r="C950" s="17"/>
      <c r="M950" s="4"/>
      <c r="N950" s="27"/>
      <c r="O950" s="17"/>
      <c r="P950" s="4"/>
    </row>
    <row r="951" spans="3:16" customFormat="1" ht="15.75" customHeight="1">
      <c r="C951" s="17"/>
      <c r="M951" s="4"/>
      <c r="N951" s="27"/>
      <c r="O951" s="17"/>
      <c r="P951" s="4"/>
    </row>
    <row r="952" spans="3:16" customFormat="1" ht="15.75" customHeight="1">
      <c r="C952" s="17"/>
      <c r="M952" s="4"/>
      <c r="N952" s="27"/>
      <c r="O952" s="17"/>
      <c r="P952" s="4"/>
    </row>
    <row r="953" spans="3:16" customFormat="1" ht="15.75" customHeight="1">
      <c r="C953" s="17"/>
      <c r="M953" s="4"/>
      <c r="N953" s="27"/>
      <c r="O953" s="17"/>
      <c r="P953" s="4"/>
    </row>
    <row r="954" spans="3:16" customFormat="1" ht="15.75" customHeight="1">
      <c r="C954" s="17"/>
      <c r="M954" s="4"/>
      <c r="N954" s="27"/>
      <c r="O954" s="17"/>
      <c r="P954" s="4"/>
    </row>
    <row r="955" spans="3:16" customFormat="1" ht="15.75" customHeight="1">
      <c r="C955" s="17"/>
      <c r="M955" s="4"/>
      <c r="N955" s="27"/>
      <c r="O955" s="17"/>
      <c r="P955" s="4"/>
    </row>
    <row r="956" spans="3:16" customFormat="1" ht="15.75" customHeight="1">
      <c r="C956" s="17"/>
      <c r="M956" s="4"/>
      <c r="N956" s="27"/>
      <c r="O956" s="17"/>
      <c r="P956" s="4"/>
    </row>
    <row r="957" spans="3:16" customFormat="1" ht="15.75" customHeight="1">
      <c r="C957" s="17"/>
      <c r="M957" s="4"/>
      <c r="N957" s="27"/>
      <c r="O957" s="17"/>
      <c r="P957" s="4"/>
    </row>
    <row r="958" spans="3:16" customFormat="1" ht="15.75" customHeight="1">
      <c r="C958" s="17"/>
      <c r="M958" s="4"/>
      <c r="N958" s="27"/>
      <c r="O958" s="17"/>
      <c r="P958" s="4"/>
    </row>
    <row r="959" spans="3:16" customFormat="1" ht="15.75" customHeight="1">
      <c r="C959" s="17"/>
      <c r="M959" s="4"/>
      <c r="N959" s="27"/>
      <c r="O959" s="17"/>
      <c r="P959" s="4"/>
    </row>
    <row r="960" spans="3:16" customFormat="1" ht="15.75" customHeight="1">
      <c r="C960" s="17"/>
      <c r="M960" s="4"/>
      <c r="N960" s="27"/>
      <c r="O960" s="17"/>
      <c r="P960" s="4"/>
    </row>
    <row r="961" spans="3:16" customFormat="1" ht="15.75" customHeight="1">
      <c r="C961" s="17"/>
      <c r="M961" s="4"/>
      <c r="N961" s="27"/>
      <c r="O961" s="17"/>
      <c r="P961" s="4"/>
    </row>
    <row r="962" spans="3:16" customFormat="1" ht="15.75" customHeight="1">
      <c r="C962" s="17"/>
      <c r="M962" s="4"/>
      <c r="N962" s="27"/>
      <c r="O962" s="17"/>
      <c r="P962" s="4"/>
    </row>
    <row r="963" spans="3:16" customFormat="1" ht="15.75" customHeight="1">
      <c r="C963" s="17"/>
      <c r="M963" s="4"/>
      <c r="N963" s="27"/>
      <c r="O963" s="17"/>
      <c r="P963" s="4"/>
    </row>
    <row r="964" spans="3:16" customFormat="1" ht="15.75" customHeight="1">
      <c r="C964" s="17"/>
      <c r="M964" s="4"/>
      <c r="N964" s="27"/>
      <c r="O964" s="17"/>
      <c r="P964" s="4"/>
    </row>
    <row r="965" spans="3:16" customFormat="1" ht="15.75" customHeight="1">
      <c r="C965" s="17"/>
      <c r="M965" s="4"/>
      <c r="N965" s="27"/>
      <c r="O965" s="17"/>
      <c r="P965" s="4"/>
    </row>
    <row r="966" spans="3:16" customFormat="1" ht="15.75" customHeight="1">
      <c r="C966" s="17"/>
      <c r="M966" s="4"/>
      <c r="N966" s="27"/>
      <c r="O966" s="17"/>
      <c r="P966" s="4"/>
    </row>
    <row r="967" spans="3:16" customFormat="1" ht="15.75" customHeight="1">
      <c r="C967" s="17"/>
      <c r="M967" s="4"/>
      <c r="N967" s="27"/>
      <c r="O967" s="17"/>
      <c r="P967" s="4"/>
    </row>
    <row r="968" spans="3:16" customFormat="1" ht="15.75" customHeight="1">
      <c r="C968" s="17"/>
      <c r="M968" s="4"/>
      <c r="N968" s="27"/>
      <c r="O968" s="17"/>
      <c r="P968" s="4"/>
    </row>
    <row r="969" spans="3:16" customFormat="1" ht="15.75" customHeight="1">
      <c r="C969" s="17"/>
      <c r="M969" s="4"/>
      <c r="N969" s="27"/>
      <c r="O969" s="17"/>
      <c r="P969" s="4"/>
    </row>
    <row r="970" spans="3:16" customFormat="1" ht="15.75" customHeight="1">
      <c r="C970" s="17"/>
      <c r="M970" s="4"/>
      <c r="N970" s="27"/>
      <c r="O970" s="17"/>
      <c r="P970" s="4"/>
    </row>
    <row r="971" spans="3:16" customFormat="1" ht="15.75" customHeight="1">
      <c r="C971" s="17"/>
      <c r="M971" s="4"/>
      <c r="N971" s="27"/>
      <c r="O971" s="17"/>
      <c r="P971" s="4"/>
    </row>
    <row r="972" spans="3:16" customFormat="1" ht="15.75" customHeight="1">
      <c r="C972" s="17"/>
      <c r="M972" s="4"/>
      <c r="N972" s="27"/>
      <c r="O972" s="17"/>
      <c r="P972" s="4"/>
    </row>
    <row r="973" spans="3:16" customFormat="1" ht="15.75" customHeight="1">
      <c r="C973" s="17"/>
      <c r="M973" s="4"/>
      <c r="N973" s="27"/>
      <c r="O973" s="17"/>
      <c r="P973" s="4"/>
    </row>
    <row r="974" spans="3:16" customFormat="1" ht="15.75" customHeight="1">
      <c r="C974" s="17"/>
      <c r="M974" s="4"/>
      <c r="N974" s="27"/>
      <c r="O974" s="17"/>
      <c r="P974" s="4"/>
    </row>
    <row r="975" spans="3:16" customFormat="1" ht="15.75" customHeight="1">
      <c r="C975" s="17"/>
      <c r="M975" s="4"/>
      <c r="N975" s="27"/>
      <c r="O975" s="17"/>
      <c r="P975" s="4"/>
    </row>
    <row r="976" spans="3:16" customFormat="1" ht="15.75" customHeight="1">
      <c r="C976" s="17"/>
      <c r="M976" s="4"/>
      <c r="N976" s="27"/>
      <c r="O976" s="17"/>
      <c r="P976" s="4"/>
    </row>
    <row r="977" spans="3:16" customFormat="1" ht="15.75" customHeight="1">
      <c r="C977" s="17"/>
      <c r="M977" s="4"/>
      <c r="N977" s="27"/>
      <c r="O977" s="17"/>
      <c r="P977" s="4"/>
    </row>
    <row r="978" spans="3:16" customFormat="1" ht="15.75" customHeight="1">
      <c r="C978" s="17"/>
      <c r="M978" s="4"/>
      <c r="N978" s="27"/>
      <c r="O978" s="17"/>
      <c r="P978" s="4"/>
    </row>
    <row r="979" spans="3:16" customFormat="1" ht="15.75" customHeight="1">
      <c r="C979" s="17"/>
      <c r="M979" s="4"/>
      <c r="N979" s="27"/>
      <c r="O979" s="17"/>
      <c r="P979" s="4"/>
    </row>
    <row r="980" spans="3:16" customFormat="1" ht="15.75" customHeight="1">
      <c r="C980" s="17"/>
      <c r="M980" s="4"/>
      <c r="N980" s="27"/>
      <c r="O980" s="17"/>
      <c r="P980" s="4"/>
    </row>
    <row r="981" spans="3:16" customFormat="1" ht="15.75" customHeight="1">
      <c r="C981" s="17"/>
      <c r="M981" s="4"/>
      <c r="N981" s="27"/>
      <c r="O981" s="17"/>
      <c r="P981" s="4"/>
    </row>
    <row r="982" spans="3:16" customFormat="1" ht="15.75" customHeight="1">
      <c r="C982" s="17"/>
      <c r="M982" s="4"/>
      <c r="N982" s="27"/>
      <c r="O982" s="17"/>
      <c r="P982" s="4"/>
    </row>
    <row r="983" spans="3:16" customFormat="1" ht="15.75" customHeight="1">
      <c r="C983" s="17"/>
      <c r="M983" s="4"/>
      <c r="N983" s="27"/>
      <c r="O983" s="17"/>
      <c r="P983" s="4"/>
    </row>
    <row r="984" spans="3:16" customFormat="1" ht="15.75" customHeight="1">
      <c r="C984" s="17"/>
      <c r="M984" s="4"/>
      <c r="N984" s="27"/>
      <c r="O984" s="17"/>
      <c r="P984" s="4"/>
    </row>
    <row r="985" spans="3:16" customFormat="1" ht="15.75" customHeight="1">
      <c r="C985" s="17"/>
      <c r="M985" s="4"/>
      <c r="N985" s="27"/>
      <c r="O985" s="17"/>
      <c r="P985" s="4"/>
    </row>
    <row r="986" spans="3:16" customFormat="1" ht="15.75" customHeight="1">
      <c r="C986" s="17"/>
      <c r="M986" s="4"/>
      <c r="N986" s="27"/>
      <c r="O986" s="17"/>
      <c r="P986" s="4"/>
    </row>
    <row r="987" spans="3:16" customFormat="1" ht="15.75" customHeight="1">
      <c r="C987" s="17"/>
      <c r="M987" s="4"/>
      <c r="N987" s="27"/>
      <c r="O987" s="17"/>
      <c r="P987" s="4"/>
    </row>
    <row r="988" spans="3:16" customFormat="1" ht="15.75" customHeight="1">
      <c r="C988" s="17"/>
      <c r="M988" s="4"/>
      <c r="N988" s="27"/>
      <c r="O988" s="17"/>
      <c r="P988" s="4"/>
    </row>
    <row r="989" spans="3:16" customFormat="1" ht="15.75" customHeight="1">
      <c r="C989" s="17"/>
      <c r="M989" s="4"/>
      <c r="N989" s="27"/>
      <c r="O989" s="17"/>
      <c r="P989" s="4"/>
    </row>
    <row r="990" spans="3:16" customFormat="1" ht="15.75" customHeight="1">
      <c r="C990" s="17"/>
      <c r="M990" s="4"/>
      <c r="N990" s="27"/>
      <c r="O990" s="17"/>
      <c r="P990" s="4"/>
    </row>
    <row r="991" spans="3:16" customFormat="1" ht="15.75" customHeight="1">
      <c r="C991" s="17"/>
      <c r="M991" s="4"/>
      <c r="N991" s="27"/>
      <c r="O991" s="17"/>
      <c r="P991" s="4"/>
    </row>
    <row r="992" spans="3:16" customFormat="1" ht="15.75" customHeight="1">
      <c r="C992" s="17"/>
      <c r="M992" s="4"/>
      <c r="N992" s="27"/>
      <c r="O992" s="17"/>
      <c r="P992" s="4"/>
    </row>
    <row r="993" spans="3:16" customFormat="1" ht="15.75" customHeight="1">
      <c r="C993" s="17"/>
      <c r="M993" s="4"/>
      <c r="N993" s="27"/>
      <c r="O993" s="17"/>
      <c r="P993" s="4"/>
    </row>
    <row r="994" spans="3:16" customFormat="1" ht="15.75" customHeight="1">
      <c r="C994" s="17"/>
      <c r="M994" s="4"/>
      <c r="N994" s="27"/>
      <c r="O994" s="17"/>
      <c r="P994" s="4"/>
    </row>
    <row r="995" spans="3:16" customFormat="1" ht="15.75" customHeight="1">
      <c r="C995" s="17"/>
      <c r="M995" s="4"/>
      <c r="N995" s="27"/>
      <c r="O995" s="17"/>
      <c r="P995" s="4"/>
    </row>
    <row r="996" spans="3:16" customFormat="1" ht="15.75" customHeight="1">
      <c r="C996" s="17"/>
      <c r="M996" s="4"/>
      <c r="N996" s="27"/>
      <c r="O996" s="17"/>
      <c r="P996" s="4"/>
    </row>
    <row r="997" spans="3:16" customFormat="1" ht="15.75" customHeight="1">
      <c r="C997" s="17"/>
      <c r="M997" s="4"/>
      <c r="N997" s="27"/>
      <c r="O997" s="17"/>
      <c r="P997" s="4"/>
    </row>
    <row r="998" spans="3:16" customFormat="1" ht="15.75" customHeight="1">
      <c r="C998" s="17"/>
      <c r="M998" s="4"/>
      <c r="N998" s="27"/>
      <c r="O998" s="17"/>
      <c r="P998" s="4"/>
    </row>
    <row r="999" spans="3:16" customFormat="1" ht="15.75" customHeight="1">
      <c r="C999" s="17"/>
      <c r="M999" s="4"/>
      <c r="N999" s="27"/>
      <c r="O999" s="17"/>
      <c r="P999" s="4"/>
    </row>
    <row r="1000" spans="3:16" customFormat="1" ht="15.75" customHeight="1">
      <c r="C1000" s="17"/>
      <c r="M1000" s="4"/>
      <c r="N1000" s="27"/>
      <c r="O1000" s="17"/>
      <c r="P1000" s="4"/>
    </row>
  </sheetData>
  <phoneticPr fontId="5" type="noConversion"/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D5BA-A4C2-4A53-806F-9EAA6A953B64}">
  <dimension ref="A1:H1000"/>
  <sheetViews>
    <sheetView workbookViewId="0">
      <selection activeCell="C18" sqref="C18"/>
    </sheetView>
  </sheetViews>
  <sheetFormatPr defaultColWidth="14.42578125" defaultRowHeight="15" customHeight="1"/>
  <cols>
    <col min="1" max="1" width="21.85546875" style="4" customWidth="1"/>
    <col min="2" max="3" width="17" style="17" customWidth="1"/>
    <col min="4" max="5" width="17.7109375" customWidth="1"/>
    <col min="6" max="6" width="18.5703125" customWidth="1"/>
    <col min="7" max="7" width="21.7109375" customWidth="1"/>
    <col min="8" max="8" width="37.85546875" customWidth="1"/>
    <col min="9" max="27" width="8.7109375" customWidth="1"/>
  </cols>
  <sheetData>
    <row r="1" spans="1:8">
      <c r="A1" s="23" t="s">
        <v>12</v>
      </c>
      <c r="B1" s="24" t="s">
        <v>325</v>
      </c>
      <c r="C1" s="24" t="s">
        <v>326</v>
      </c>
      <c r="D1" s="25" t="s">
        <v>327</v>
      </c>
      <c r="E1" s="25" t="str">
        <f>PROPER(TRIM(D1))</f>
        <v>Objective</v>
      </c>
      <c r="F1" s="25" t="s">
        <v>328</v>
      </c>
      <c r="G1" s="25" t="s">
        <v>329</v>
      </c>
      <c r="H1" s="25" t="s">
        <v>330</v>
      </c>
    </row>
    <row r="2" spans="1:8">
      <c r="A2" s="11" t="s">
        <v>358</v>
      </c>
      <c r="B2" s="16">
        <v>45458</v>
      </c>
      <c r="C2" s="16">
        <v>45488</v>
      </c>
      <c r="D2" s="2" t="s">
        <v>331</v>
      </c>
      <c r="E2" s="26" t="str">
        <f>PROPER(TRIM(D2))</f>
        <v>Brand Awareness</v>
      </c>
      <c r="F2" s="2">
        <v>175000</v>
      </c>
      <c r="G2" s="2" t="s">
        <v>364</v>
      </c>
      <c r="H2" s="2" t="s">
        <v>365</v>
      </c>
    </row>
    <row r="3" spans="1:8">
      <c r="A3" s="11" t="s">
        <v>35</v>
      </c>
      <c r="B3" s="16">
        <v>45627</v>
      </c>
      <c r="C3" s="16">
        <v>45657</v>
      </c>
      <c r="D3" s="2" t="s">
        <v>332</v>
      </c>
      <c r="E3" s="26" t="str">
        <f t="shared" ref="E3:E5" si="0">PROPER(TRIM(D3))</f>
        <v>Engagement</v>
      </c>
      <c r="F3" s="2">
        <v>225000</v>
      </c>
      <c r="G3" s="2" t="s">
        <v>366</v>
      </c>
      <c r="H3" s="2" t="s">
        <v>367</v>
      </c>
    </row>
    <row r="4" spans="1:8">
      <c r="A4" s="11" t="s">
        <v>339</v>
      </c>
      <c r="B4" s="16">
        <v>45667</v>
      </c>
      <c r="C4" s="16">
        <v>45698</v>
      </c>
      <c r="D4" s="2" t="s">
        <v>333</v>
      </c>
      <c r="E4" s="26" t="str">
        <f t="shared" si="0"/>
        <v>Product Launch</v>
      </c>
      <c r="F4" s="2">
        <v>200000</v>
      </c>
      <c r="G4" s="2" t="s">
        <v>334</v>
      </c>
      <c r="H4" s="2" t="s">
        <v>368</v>
      </c>
    </row>
    <row r="5" spans="1:8">
      <c r="A5" s="11" t="s">
        <v>342</v>
      </c>
      <c r="B5" s="16">
        <v>45717</v>
      </c>
      <c r="C5" s="16">
        <v>45747</v>
      </c>
      <c r="D5" s="2" t="s">
        <v>335</v>
      </c>
      <c r="E5" s="26" t="str">
        <f t="shared" si="0"/>
        <v>Traffic</v>
      </c>
      <c r="F5" s="2">
        <v>160000</v>
      </c>
      <c r="G5" s="2" t="s">
        <v>336</v>
      </c>
      <c r="H5" s="2" t="s">
        <v>369</v>
      </c>
    </row>
    <row r="9" spans="1:8" ht="15" customHeight="1">
      <c r="E9" s="12"/>
    </row>
    <row r="10" spans="1:8" ht="15" customHeight="1">
      <c r="E10" s="12"/>
    </row>
    <row r="11" spans="1:8" ht="15" customHeight="1">
      <c r="E11" s="12"/>
    </row>
    <row r="12" spans="1:8" ht="15" customHeight="1">
      <c r="E12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0755-2C6C-42A1-B962-8C7076F3CEAC}">
  <dimension ref="A1:I1000"/>
  <sheetViews>
    <sheetView workbookViewId="0">
      <selection sqref="A1:A1048576"/>
    </sheetView>
  </sheetViews>
  <sheetFormatPr defaultColWidth="14.42578125" defaultRowHeight="15" customHeight="1"/>
  <cols>
    <col min="1" max="1" width="23.85546875" style="18" customWidth="1"/>
    <col min="2" max="2" width="23.85546875" style="15" customWidth="1"/>
    <col min="3" max="3" width="17.42578125" style="8" customWidth="1"/>
    <col min="4" max="4" width="12.7109375" style="8" customWidth="1"/>
    <col min="5" max="5" width="17.85546875" style="8" customWidth="1"/>
    <col min="6" max="6" width="21.7109375" style="10" customWidth="1"/>
    <col min="7" max="7" width="12.7109375" style="8" customWidth="1"/>
    <col min="8" max="26" width="8.7109375" customWidth="1"/>
  </cols>
  <sheetData>
    <row r="1" spans="1:9">
      <c r="A1" s="20" t="s">
        <v>319</v>
      </c>
      <c r="B1" s="14" t="s">
        <v>1</v>
      </c>
      <c r="C1" s="6" t="s">
        <v>320</v>
      </c>
      <c r="D1" s="6" t="s">
        <v>321</v>
      </c>
      <c r="E1" s="6" t="s">
        <v>322</v>
      </c>
      <c r="F1" s="19" t="s">
        <v>323</v>
      </c>
      <c r="G1" s="6" t="s">
        <v>324</v>
      </c>
    </row>
    <row r="2" spans="1:9">
      <c r="A2" s="21">
        <v>45446</v>
      </c>
      <c r="B2" s="14" t="s">
        <v>14</v>
      </c>
      <c r="C2" s="7">
        <v>1402</v>
      </c>
      <c r="D2" s="7">
        <v>68</v>
      </c>
      <c r="E2" s="7">
        <v>124562</v>
      </c>
      <c r="F2" s="9">
        <v>9.92</v>
      </c>
      <c r="G2" s="7">
        <v>23125</v>
      </c>
    </row>
    <row r="3" spans="1:9">
      <c r="A3" s="21">
        <v>45446</v>
      </c>
      <c r="B3" s="14" t="s">
        <v>18</v>
      </c>
      <c r="C3" s="7">
        <v>995</v>
      </c>
      <c r="D3" s="7">
        <v>86</v>
      </c>
      <c r="E3" s="7">
        <v>227958</v>
      </c>
      <c r="F3" s="9">
        <v>8.0500000000000007</v>
      </c>
      <c r="G3" s="7">
        <v>22788</v>
      </c>
    </row>
    <row r="4" spans="1:9">
      <c r="A4" s="21">
        <v>45446</v>
      </c>
      <c r="B4" s="14" t="s">
        <v>346</v>
      </c>
      <c r="C4" s="7">
        <v>1472</v>
      </c>
      <c r="D4" s="7">
        <v>296</v>
      </c>
      <c r="E4" s="7">
        <v>370242</v>
      </c>
      <c r="F4" s="9">
        <v>7.72</v>
      </c>
      <c r="G4" s="7">
        <v>7810</v>
      </c>
      <c r="I4" t="b">
        <f>ISNUMBER(A2)</f>
        <v>1</v>
      </c>
    </row>
    <row r="5" spans="1:9">
      <c r="A5" s="21">
        <v>45453</v>
      </c>
      <c r="B5" s="14" t="s">
        <v>14</v>
      </c>
      <c r="C5" s="7">
        <v>1018</v>
      </c>
      <c r="D5" s="7">
        <v>90</v>
      </c>
      <c r="E5" s="7">
        <v>92474</v>
      </c>
      <c r="F5" s="9">
        <v>9.4</v>
      </c>
      <c r="G5" s="7">
        <v>11966</v>
      </c>
    </row>
    <row r="6" spans="1:9">
      <c r="A6" s="21">
        <v>45453</v>
      </c>
      <c r="B6" s="14" t="s">
        <v>18</v>
      </c>
      <c r="C6" s="7">
        <v>1461</v>
      </c>
      <c r="D6" s="7">
        <v>64</v>
      </c>
      <c r="E6" s="7">
        <v>328902</v>
      </c>
      <c r="F6" s="9">
        <v>9.02</v>
      </c>
      <c r="G6" s="7">
        <v>26298</v>
      </c>
    </row>
    <row r="7" spans="1:9">
      <c r="A7" s="21">
        <v>45453</v>
      </c>
      <c r="B7" s="14" t="s">
        <v>346</v>
      </c>
      <c r="C7" s="7">
        <v>545</v>
      </c>
      <c r="D7" s="7">
        <v>93</v>
      </c>
      <c r="E7" s="7">
        <v>391621</v>
      </c>
      <c r="F7" s="9">
        <v>9.9600000000000009</v>
      </c>
      <c r="G7" s="7">
        <v>22029</v>
      </c>
    </row>
    <row r="8" spans="1:9">
      <c r="A8" s="21">
        <v>45460</v>
      </c>
      <c r="B8" s="14" t="s">
        <v>14</v>
      </c>
      <c r="C8" s="7">
        <v>881</v>
      </c>
      <c r="D8" s="7">
        <v>291</v>
      </c>
      <c r="E8" s="7">
        <v>95885</v>
      </c>
      <c r="F8" s="9">
        <v>5.29</v>
      </c>
      <c r="G8" s="7">
        <v>12391</v>
      </c>
    </row>
    <row r="9" spans="1:9">
      <c r="A9" s="21">
        <v>45460</v>
      </c>
      <c r="B9" s="14" t="s">
        <v>18</v>
      </c>
      <c r="C9" s="7">
        <v>1414</v>
      </c>
      <c r="D9" s="7">
        <v>131</v>
      </c>
      <c r="E9" s="7">
        <v>245947</v>
      </c>
      <c r="F9" s="9">
        <v>8.3000000000000007</v>
      </c>
      <c r="G9" s="7">
        <v>14477</v>
      </c>
    </row>
    <row r="10" spans="1:9">
      <c r="A10" s="21">
        <v>45460</v>
      </c>
      <c r="B10" s="14" t="s">
        <v>346</v>
      </c>
      <c r="C10" s="7">
        <v>1472</v>
      </c>
      <c r="D10" s="7">
        <v>170</v>
      </c>
      <c r="E10" s="7">
        <v>250428</v>
      </c>
      <c r="F10" s="9">
        <v>4.66</v>
      </c>
      <c r="G10" s="7">
        <v>25040</v>
      </c>
    </row>
    <row r="11" spans="1:9">
      <c r="A11" s="21">
        <v>45467</v>
      </c>
      <c r="B11" s="14" t="s">
        <v>14</v>
      </c>
      <c r="C11" s="7">
        <v>809</v>
      </c>
      <c r="D11" s="7">
        <v>197</v>
      </c>
      <c r="E11" s="7">
        <v>87186</v>
      </c>
      <c r="F11" s="9">
        <v>9.48</v>
      </c>
      <c r="G11" s="7">
        <v>22619</v>
      </c>
    </row>
    <row r="12" spans="1:9">
      <c r="A12" s="21">
        <v>45467</v>
      </c>
      <c r="B12" s="14" t="s">
        <v>18</v>
      </c>
      <c r="C12" s="7">
        <v>1371</v>
      </c>
      <c r="D12" s="7">
        <v>250</v>
      </c>
      <c r="E12" s="7">
        <v>128620</v>
      </c>
      <c r="F12" s="9">
        <v>7.11</v>
      </c>
      <c r="G12" s="7">
        <v>12399</v>
      </c>
    </row>
    <row r="13" spans="1:9">
      <c r="A13" s="21">
        <v>45467</v>
      </c>
      <c r="B13" s="14" t="s">
        <v>346</v>
      </c>
      <c r="C13" s="7">
        <v>844</v>
      </c>
      <c r="D13" s="7">
        <v>144</v>
      </c>
      <c r="E13" s="7">
        <v>126015</v>
      </c>
      <c r="F13" s="9">
        <v>9.65</v>
      </c>
      <c r="G13" s="7">
        <v>22456</v>
      </c>
    </row>
    <row r="14" spans="1:9">
      <c r="A14" s="21">
        <v>45474</v>
      </c>
      <c r="B14" s="14" t="s">
        <v>14</v>
      </c>
      <c r="C14" s="7">
        <v>786</v>
      </c>
      <c r="D14" s="7">
        <v>72</v>
      </c>
      <c r="E14" s="7">
        <v>178615</v>
      </c>
      <c r="F14" s="9">
        <v>5.43</v>
      </c>
      <c r="G14" s="7">
        <v>19328</v>
      </c>
    </row>
    <row r="15" spans="1:9">
      <c r="A15" s="21">
        <v>45474</v>
      </c>
      <c r="B15" s="14" t="s">
        <v>18</v>
      </c>
      <c r="C15" s="7">
        <v>845</v>
      </c>
      <c r="D15" s="7">
        <v>250</v>
      </c>
      <c r="E15" s="7">
        <v>218228</v>
      </c>
      <c r="F15" s="9">
        <v>4.5199999999999996</v>
      </c>
      <c r="G15" s="7">
        <v>21107</v>
      </c>
    </row>
    <row r="16" spans="1:9">
      <c r="A16" s="21">
        <v>45474</v>
      </c>
      <c r="B16" s="14" t="s">
        <v>346</v>
      </c>
      <c r="C16" s="7">
        <v>1218</v>
      </c>
      <c r="D16" s="7">
        <v>101</v>
      </c>
      <c r="E16" s="7">
        <v>300397</v>
      </c>
      <c r="F16" s="9">
        <v>4.33</v>
      </c>
      <c r="G16" s="7">
        <v>12277</v>
      </c>
    </row>
    <row r="17" spans="1:7">
      <c r="A17" s="21">
        <v>45481</v>
      </c>
      <c r="B17" s="14" t="s">
        <v>14</v>
      </c>
      <c r="C17" s="7">
        <v>797</v>
      </c>
      <c r="D17" s="7">
        <v>130</v>
      </c>
      <c r="E17" s="7">
        <v>340121</v>
      </c>
      <c r="F17" s="9">
        <v>8.52</v>
      </c>
      <c r="G17" s="7">
        <v>11684</v>
      </c>
    </row>
    <row r="18" spans="1:7">
      <c r="A18" s="21">
        <v>45481</v>
      </c>
      <c r="B18" s="14" t="s">
        <v>18</v>
      </c>
      <c r="C18" s="7">
        <v>1471</v>
      </c>
      <c r="D18" s="7">
        <v>100</v>
      </c>
      <c r="E18" s="7">
        <v>76866</v>
      </c>
      <c r="F18" s="9">
        <v>8.5500000000000007</v>
      </c>
      <c r="G18" s="7">
        <v>14412</v>
      </c>
    </row>
    <row r="19" spans="1:7">
      <c r="A19" s="21">
        <v>45481</v>
      </c>
      <c r="B19" s="14" t="s">
        <v>346</v>
      </c>
      <c r="C19" s="7">
        <v>1253</v>
      </c>
      <c r="D19" s="7">
        <v>136</v>
      </c>
      <c r="E19" s="7">
        <v>193131</v>
      </c>
      <c r="F19" s="9">
        <v>7.99</v>
      </c>
      <c r="G19" s="7">
        <v>15924</v>
      </c>
    </row>
    <row r="20" spans="1:7">
      <c r="A20" s="21">
        <v>45488</v>
      </c>
      <c r="B20" s="14" t="s">
        <v>14</v>
      </c>
      <c r="C20" s="7">
        <v>616</v>
      </c>
      <c r="D20" s="7">
        <v>257</v>
      </c>
      <c r="E20" s="7">
        <v>169665</v>
      </c>
      <c r="F20" s="9">
        <v>6.31</v>
      </c>
      <c r="G20" s="7">
        <v>12390</v>
      </c>
    </row>
    <row r="21" spans="1:7" ht="15.75" customHeight="1">
      <c r="A21" s="21">
        <v>45488</v>
      </c>
      <c r="B21" s="14" t="s">
        <v>18</v>
      </c>
      <c r="C21" s="7">
        <v>1308</v>
      </c>
      <c r="D21" s="7">
        <v>210</v>
      </c>
      <c r="E21" s="7">
        <v>263729</v>
      </c>
      <c r="F21" s="9">
        <v>8.5299999999999994</v>
      </c>
      <c r="G21" s="7">
        <v>25742</v>
      </c>
    </row>
    <row r="22" spans="1:7" ht="15.75" customHeight="1">
      <c r="A22" s="21">
        <v>45488</v>
      </c>
      <c r="B22" s="14" t="s">
        <v>346</v>
      </c>
      <c r="C22" s="7">
        <v>981</v>
      </c>
      <c r="D22" s="7">
        <v>69</v>
      </c>
      <c r="E22" s="7">
        <v>206921</v>
      </c>
      <c r="F22" s="9">
        <v>8.42</v>
      </c>
      <c r="G22" s="7">
        <v>10495</v>
      </c>
    </row>
    <row r="23" spans="1:7" ht="15.75" customHeight="1">
      <c r="A23" s="21">
        <v>45495</v>
      </c>
      <c r="B23" s="14" t="s">
        <v>14</v>
      </c>
      <c r="C23" s="7">
        <v>866</v>
      </c>
      <c r="D23" s="7">
        <v>74</v>
      </c>
      <c r="E23" s="7">
        <v>204121</v>
      </c>
      <c r="F23" s="9">
        <v>9.34</v>
      </c>
      <c r="G23" s="7">
        <v>7797</v>
      </c>
    </row>
    <row r="24" spans="1:7" ht="15.75" customHeight="1">
      <c r="A24" s="21">
        <v>45495</v>
      </c>
      <c r="B24" s="14" t="s">
        <v>18</v>
      </c>
      <c r="C24" s="7">
        <v>547</v>
      </c>
      <c r="D24" s="7">
        <v>183</v>
      </c>
      <c r="E24" s="7">
        <v>266350</v>
      </c>
      <c r="F24" s="9">
        <v>5.65</v>
      </c>
      <c r="G24" s="7">
        <v>15595</v>
      </c>
    </row>
    <row r="25" spans="1:7" ht="15.75" customHeight="1">
      <c r="A25" s="21">
        <v>45495</v>
      </c>
      <c r="B25" s="14" t="s">
        <v>346</v>
      </c>
      <c r="C25" s="7">
        <v>1241</v>
      </c>
      <c r="D25" s="7">
        <v>116</v>
      </c>
      <c r="E25" s="7">
        <v>380606</v>
      </c>
      <c r="F25" s="9">
        <v>4.2</v>
      </c>
      <c r="G25" s="7">
        <v>24617</v>
      </c>
    </row>
    <row r="26" spans="1:7" ht="15.75" customHeight="1">
      <c r="A26" s="21">
        <v>45502</v>
      </c>
      <c r="B26" s="14" t="s">
        <v>14</v>
      </c>
      <c r="C26" s="7">
        <v>973</v>
      </c>
      <c r="D26" s="7">
        <v>104</v>
      </c>
      <c r="E26" s="7">
        <v>376358</v>
      </c>
      <c r="F26" s="9">
        <v>3.87</v>
      </c>
      <c r="G26" s="7">
        <v>9847</v>
      </c>
    </row>
    <row r="27" spans="1:7" ht="15.75" customHeight="1">
      <c r="A27" s="21">
        <v>45502</v>
      </c>
      <c r="B27" s="14" t="s">
        <v>18</v>
      </c>
      <c r="C27" s="7">
        <v>611</v>
      </c>
      <c r="D27" s="7">
        <v>197</v>
      </c>
      <c r="E27" s="7">
        <v>79423</v>
      </c>
      <c r="F27" s="9">
        <v>5.82</v>
      </c>
      <c r="G27" s="7">
        <v>13644</v>
      </c>
    </row>
    <row r="28" spans="1:7" ht="15.75" customHeight="1">
      <c r="A28" s="21">
        <v>45502</v>
      </c>
      <c r="B28" s="14" t="s">
        <v>346</v>
      </c>
      <c r="C28" s="7">
        <v>983</v>
      </c>
      <c r="D28" s="7">
        <v>134</v>
      </c>
      <c r="E28" s="7">
        <v>352178</v>
      </c>
      <c r="F28" s="9">
        <v>3.55</v>
      </c>
      <c r="G28" s="7">
        <v>11421</v>
      </c>
    </row>
    <row r="29" spans="1:7" ht="15.75" customHeight="1">
      <c r="A29" s="21">
        <v>45509</v>
      </c>
      <c r="B29" s="14" t="s">
        <v>14</v>
      </c>
      <c r="C29" s="7">
        <v>1449</v>
      </c>
      <c r="D29" s="7">
        <v>96</v>
      </c>
      <c r="E29" s="7">
        <v>200636</v>
      </c>
      <c r="F29" s="9">
        <v>9.92</v>
      </c>
      <c r="G29" s="7">
        <v>15613</v>
      </c>
    </row>
    <row r="30" spans="1:7" ht="15.75" customHeight="1">
      <c r="A30" s="21">
        <v>45509</v>
      </c>
      <c r="B30" s="14" t="s">
        <v>18</v>
      </c>
      <c r="C30" s="7">
        <v>752</v>
      </c>
      <c r="D30" s="7">
        <v>170</v>
      </c>
      <c r="E30" s="7">
        <v>132756</v>
      </c>
      <c r="F30" s="9">
        <v>8.17</v>
      </c>
      <c r="G30" s="7">
        <v>23900</v>
      </c>
    </row>
    <row r="31" spans="1:7" ht="15.75" customHeight="1">
      <c r="A31" s="21">
        <v>45509</v>
      </c>
      <c r="B31" s="14" t="s">
        <v>346</v>
      </c>
      <c r="C31" s="7">
        <v>937</v>
      </c>
      <c r="D31" s="7">
        <v>179</v>
      </c>
      <c r="E31" s="7">
        <v>318098</v>
      </c>
      <c r="F31" s="9">
        <v>5.3</v>
      </c>
      <c r="G31" s="7">
        <v>5836</v>
      </c>
    </row>
    <row r="32" spans="1:7" ht="15.75" customHeight="1">
      <c r="A32" s="21">
        <v>45516</v>
      </c>
      <c r="B32" s="14" t="s">
        <v>14</v>
      </c>
      <c r="C32" s="7">
        <v>1060</v>
      </c>
      <c r="D32" s="7">
        <v>83</v>
      </c>
      <c r="E32" s="7">
        <v>68724</v>
      </c>
      <c r="F32" s="9">
        <v>5.98</v>
      </c>
      <c r="G32" s="7">
        <v>5624</v>
      </c>
    </row>
    <row r="33" spans="1:7" ht="15.75" customHeight="1">
      <c r="A33" s="21">
        <v>45516</v>
      </c>
      <c r="B33" s="14" t="s">
        <v>18</v>
      </c>
      <c r="C33" s="7">
        <v>1456</v>
      </c>
      <c r="D33" s="7">
        <v>265</v>
      </c>
      <c r="E33" s="7">
        <v>115505</v>
      </c>
      <c r="F33" s="9">
        <v>7.49</v>
      </c>
      <c r="G33" s="7">
        <v>10311</v>
      </c>
    </row>
    <row r="34" spans="1:7" ht="15.75" customHeight="1">
      <c r="A34" s="21">
        <v>45516</v>
      </c>
      <c r="B34" s="14" t="s">
        <v>346</v>
      </c>
      <c r="C34" s="7">
        <v>1109</v>
      </c>
      <c r="D34" s="7">
        <v>205</v>
      </c>
      <c r="E34" s="7">
        <v>276722</v>
      </c>
      <c r="F34" s="9">
        <v>9.3800000000000008</v>
      </c>
      <c r="G34" s="7">
        <v>8274</v>
      </c>
    </row>
    <row r="35" spans="1:7" ht="15.75" customHeight="1">
      <c r="A35" s="21">
        <v>45523</v>
      </c>
      <c r="B35" s="14" t="s">
        <v>14</v>
      </c>
      <c r="C35" s="7">
        <v>1002</v>
      </c>
      <c r="D35" s="7">
        <v>93</v>
      </c>
      <c r="E35" s="7">
        <v>353538</v>
      </c>
      <c r="F35" s="9">
        <v>5.84</v>
      </c>
      <c r="G35" s="7">
        <v>6031</v>
      </c>
    </row>
    <row r="36" spans="1:7" ht="15.75" customHeight="1">
      <c r="A36" s="21">
        <v>45523</v>
      </c>
      <c r="B36" s="14" t="s">
        <v>18</v>
      </c>
      <c r="C36" s="7">
        <v>571</v>
      </c>
      <c r="D36" s="7">
        <v>189</v>
      </c>
      <c r="E36" s="7">
        <v>61445</v>
      </c>
      <c r="F36" s="9">
        <v>5.41</v>
      </c>
      <c r="G36" s="7">
        <v>27829</v>
      </c>
    </row>
    <row r="37" spans="1:7" ht="15.75" customHeight="1">
      <c r="A37" s="21">
        <v>45523</v>
      </c>
      <c r="B37" s="14" t="s">
        <v>346</v>
      </c>
      <c r="C37" s="7">
        <v>1240</v>
      </c>
      <c r="D37" s="7">
        <v>231</v>
      </c>
      <c r="E37" s="7">
        <v>165035</v>
      </c>
      <c r="F37" s="9">
        <v>6.05</v>
      </c>
      <c r="G37" s="7">
        <v>18267</v>
      </c>
    </row>
    <row r="38" spans="1:7" ht="15.75" customHeight="1">
      <c r="A38" s="21">
        <v>45530</v>
      </c>
      <c r="B38" s="14" t="s">
        <v>14</v>
      </c>
      <c r="C38" s="7">
        <v>1154</v>
      </c>
      <c r="D38" s="7">
        <v>132</v>
      </c>
      <c r="E38" s="7">
        <v>194595</v>
      </c>
      <c r="F38" s="9">
        <v>7.54</v>
      </c>
      <c r="G38" s="7">
        <v>26624</v>
      </c>
    </row>
    <row r="39" spans="1:7" ht="15.75" customHeight="1">
      <c r="A39" s="21">
        <v>45530</v>
      </c>
      <c r="B39" s="14" t="s">
        <v>18</v>
      </c>
      <c r="C39" s="7">
        <v>537</v>
      </c>
      <c r="D39" s="7">
        <v>275</v>
      </c>
      <c r="E39" s="7">
        <v>236238</v>
      </c>
      <c r="F39" s="9">
        <v>5.87</v>
      </c>
      <c r="G39" s="7">
        <v>26644</v>
      </c>
    </row>
    <row r="40" spans="1:7" ht="15.75" customHeight="1">
      <c r="A40" s="21">
        <v>45530</v>
      </c>
      <c r="B40" s="14" t="s">
        <v>346</v>
      </c>
      <c r="C40" s="7">
        <v>1456</v>
      </c>
      <c r="D40" s="7">
        <v>290</v>
      </c>
      <c r="E40" s="7">
        <v>271044</v>
      </c>
      <c r="F40" s="9">
        <v>7.17</v>
      </c>
      <c r="G40" s="7">
        <v>13051</v>
      </c>
    </row>
    <row r="41" spans="1:7" ht="15.75" customHeight="1">
      <c r="A41" s="21">
        <v>45537</v>
      </c>
      <c r="B41" s="14" t="s">
        <v>14</v>
      </c>
      <c r="C41" s="7">
        <v>721</v>
      </c>
      <c r="D41" s="7">
        <v>206</v>
      </c>
      <c r="E41" s="7">
        <v>334887</v>
      </c>
      <c r="F41" s="9">
        <v>6.05</v>
      </c>
      <c r="G41" s="7">
        <v>14217</v>
      </c>
    </row>
    <row r="42" spans="1:7" ht="15.75" customHeight="1">
      <c r="A42" s="21">
        <v>45537</v>
      </c>
      <c r="B42" s="14" t="s">
        <v>18</v>
      </c>
      <c r="C42" s="7">
        <v>1098</v>
      </c>
      <c r="D42" s="7">
        <v>142</v>
      </c>
      <c r="E42" s="7">
        <v>359150</v>
      </c>
      <c r="F42" s="9">
        <v>7.51</v>
      </c>
      <c r="G42" s="7">
        <v>16385</v>
      </c>
    </row>
    <row r="43" spans="1:7" ht="15.75" customHeight="1">
      <c r="A43" s="21">
        <v>45537</v>
      </c>
      <c r="B43" s="14" t="s">
        <v>346</v>
      </c>
      <c r="C43" s="7">
        <v>1096</v>
      </c>
      <c r="D43" s="7">
        <v>65</v>
      </c>
      <c r="E43" s="7">
        <v>358295</v>
      </c>
      <c r="F43" s="9">
        <v>7.66</v>
      </c>
      <c r="G43" s="7">
        <v>24548</v>
      </c>
    </row>
    <row r="44" spans="1:7" ht="15.75" customHeight="1">
      <c r="A44" s="21">
        <v>45544</v>
      </c>
      <c r="B44" s="14" t="s">
        <v>14</v>
      </c>
      <c r="C44" s="7">
        <v>912</v>
      </c>
      <c r="D44" s="7">
        <v>275</v>
      </c>
      <c r="E44" s="7">
        <v>368454</v>
      </c>
      <c r="F44" s="9">
        <v>6.03</v>
      </c>
      <c r="G44" s="7">
        <v>9195</v>
      </c>
    </row>
    <row r="45" spans="1:7" ht="15.75" customHeight="1">
      <c r="A45" s="21">
        <v>45544</v>
      </c>
      <c r="B45" s="14" t="s">
        <v>18</v>
      </c>
      <c r="C45" s="7">
        <v>1430</v>
      </c>
      <c r="D45" s="7">
        <v>162</v>
      </c>
      <c r="E45" s="7">
        <v>269082</v>
      </c>
      <c r="F45" s="9">
        <v>3.4</v>
      </c>
      <c r="G45" s="7">
        <v>18071</v>
      </c>
    </row>
    <row r="46" spans="1:7" ht="15.75" customHeight="1">
      <c r="A46" s="21">
        <v>45544</v>
      </c>
      <c r="B46" s="14" t="s">
        <v>346</v>
      </c>
      <c r="C46" s="7">
        <v>854</v>
      </c>
      <c r="D46" s="7">
        <v>129</v>
      </c>
      <c r="E46" s="7">
        <v>310903</v>
      </c>
      <c r="F46" s="9">
        <v>7.83</v>
      </c>
      <c r="G46" s="7">
        <v>16875</v>
      </c>
    </row>
    <row r="47" spans="1:7" ht="15.75" customHeight="1">
      <c r="A47" s="21">
        <v>45551</v>
      </c>
      <c r="B47" s="14" t="s">
        <v>14</v>
      </c>
      <c r="C47" s="7">
        <v>681</v>
      </c>
      <c r="D47" s="7">
        <v>210</v>
      </c>
      <c r="E47" s="7">
        <v>248581</v>
      </c>
      <c r="F47" s="9">
        <v>8.76</v>
      </c>
      <c r="G47" s="7">
        <v>9567</v>
      </c>
    </row>
    <row r="48" spans="1:7" ht="15.75" customHeight="1">
      <c r="A48" s="21">
        <v>45551</v>
      </c>
      <c r="B48" s="14" t="s">
        <v>18</v>
      </c>
      <c r="C48" s="7">
        <v>1373</v>
      </c>
      <c r="D48" s="7">
        <v>82</v>
      </c>
      <c r="E48" s="7">
        <v>371015</v>
      </c>
      <c r="F48" s="9">
        <v>9.52</v>
      </c>
      <c r="G48" s="7">
        <v>20306</v>
      </c>
    </row>
    <row r="49" spans="1:7" ht="15.75" customHeight="1">
      <c r="A49" s="21">
        <v>45551</v>
      </c>
      <c r="B49" s="14" t="s">
        <v>346</v>
      </c>
      <c r="C49" s="7">
        <v>685</v>
      </c>
      <c r="D49" s="7">
        <v>285</v>
      </c>
      <c r="E49" s="7">
        <v>177452</v>
      </c>
      <c r="F49" s="9">
        <v>3.36</v>
      </c>
      <c r="G49" s="7">
        <v>21134</v>
      </c>
    </row>
    <row r="50" spans="1:7" ht="15.75" customHeight="1">
      <c r="A50" s="21">
        <v>45558</v>
      </c>
      <c r="B50" s="14" t="s">
        <v>14</v>
      </c>
      <c r="C50" s="7">
        <v>1290</v>
      </c>
      <c r="D50" s="7">
        <v>177</v>
      </c>
      <c r="E50" s="7">
        <v>80745</v>
      </c>
      <c r="F50" s="9">
        <v>9.2200000000000006</v>
      </c>
      <c r="G50" s="7">
        <v>26872</v>
      </c>
    </row>
    <row r="51" spans="1:7" ht="15.75" customHeight="1">
      <c r="A51" s="21">
        <v>45558</v>
      </c>
      <c r="B51" s="14" t="s">
        <v>18</v>
      </c>
      <c r="C51" s="7">
        <v>1437</v>
      </c>
      <c r="D51" s="7">
        <v>239</v>
      </c>
      <c r="E51" s="7">
        <v>362441</v>
      </c>
      <c r="F51" s="9">
        <v>5.57</v>
      </c>
      <c r="G51" s="7">
        <v>10253</v>
      </c>
    </row>
    <row r="52" spans="1:7" ht="15.75" customHeight="1">
      <c r="A52" s="21">
        <v>45558</v>
      </c>
      <c r="B52" s="14" t="s">
        <v>346</v>
      </c>
      <c r="C52" s="7">
        <v>769</v>
      </c>
      <c r="D52" s="7">
        <v>295</v>
      </c>
      <c r="E52" s="7">
        <v>344771</v>
      </c>
      <c r="F52" s="9">
        <v>8.06</v>
      </c>
      <c r="G52" s="7">
        <v>23963</v>
      </c>
    </row>
    <row r="53" spans="1:7" ht="15.75" customHeight="1">
      <c r="A53" s="21">
        <v>45565</v>
      </c>
      <c r="B53" s="14" t="s">
        <v>14</v>
      </c>
      <c r="C53" s="7">
        <v>1416</v>
      </c>
      <c r="D53" s="7">
        <v>284</v>
      </c>
      <c r="E53" s="7">
        <v>374952</v>
      </c>
      <c r="F53" s="9">
        <v>3.45</v>
      </c>
      <c r="G53" s="7">
        <v>11335</v>
      </c>
    </row>
    <row r="54" spans="1:7" ht="15.75" customHeight="1">
      <c r="A54" s="21">
        <v>45565</v>
      </c>
      <c r="B54" s="14" t="s">
        <v>18</v>
      </c>
      <c r="C54" s="7">
        <v>998</v>
      </c>
      <c r="D54" s="7">
        <v>154</v>
      </c>
      <c r="E54" s="7">
        <v>179781</v>
      </c>
      <c r="F54" s="9">
        <v>9.58</v>
      </c>
      <c r="G54" s="7">
        <v>12115</v>
      </c>
    </row>
    <row r="55" spans="1:7" ht="15.75" customHeight="1">
      <c r="A55" s="21">
        <v>45565</v>
      </c>
      <c r="B55" s="14" t="s">
        <v>346</v>
      </c>
      <c r="C55" s="7">
        <v>1421</v>
      </c>
      <c r="D55" s="7">
        <v>246</v>
      </c>
      <c r="E55" s="7">
        <v>358581</v>
      </c>
      <c r="F55" s="9">
        <v>8.8800000000000008</v>
      </c>
      <c r="G55" s="7">
        <v>24358</v>
      </c>
    </row>
    <row r="56" spans="1:7" ht="15.75" customHeight="1">
      <c r="A56" s="21">
        <v>45572</v>
      </c>
      <c r="B56" s="14" t="s">
        <v>14</v>
      </c>
      <c r="C56" s="7">
        <v>764</v>
      </c>
      <c r="D56" s="7">
        <v>205</v>
      </c>
      <c r="E56" s="7">
        <v>319294</v>
      </c>
      <c r="F56" s="9">
        <v>6.23</v>
      </c>
      <c r="G56" s="7">
        <v>12181</v>
      </c>
    </row>
    <row r="57" spans="1:7" ht="15.75" customHeight="1">
      <c r="A57" s="21">
        <v>45572</v>
      </c>
      <c r="B57" s="14" t="s">
        <v>18</v>
      </c>
      <c r="C57" s="7">
        <v>678</v>
      </c>
      <c r="D57" s="7">
        <v>124</v>
      </c>
      <c r="E57" s="7">
        <v>192022</v>
      </c>
      <c r="F57" s="9">
        <v>8.4499999999999993</v>
      </c>
      <c r="G57" s="7">
        <v>17729</v>
      </c>
    </row>
    <row r="58" spans="1:7" ht="15.75" customHeight="1">
      <c r="A58" s="21">
        <v>45572</v>
      </c>
      <c r="B58" s="14" t="s">
        <v>346</v>
      </c>
      <c r="C58" s="7">
        <v>1328</v>
      </c>
      <c r="D58" s="7">
        <v>103</v>
      </c>
      <c r="E58" s="7">
        <v>151462</v>
      </c>
      <c r="F58" s="9">
        <v>8.4</v>
      </c>
      <c r="G58" s="7">
        <v>10881</v>
      </c>
    </row>
    <row r="59" spans="1:7" ht="15.75" customHeight="1">
      <c r="A59" s="21">
        <v>45579</v>
      </c>
      <c r="B59" s="14" t="s">
        <v>14</v>
      </c>
      <c r="C59" s="7">
        <v>1161</v>
      </c>
      <c r="D59" s="7">
        <v>269</v>
      </c>
      <c r="E59" s="7">
        <v>188193</v>
      </c>
      <c r="F59" s="9">
        <v>7.34</v>
      </c>
      <c r="G59" s="7">
        <v>18576</v>
      </c>
    </row>
    <row r="60" spans="1:7" ht="15.75" customHeight="1">
      <c r="A60" s="21">
        <v>45579</v>
      </c>
      <c r="B60" s="14" t="s">
        <v>18</v>
      </c>
      <c r="C60" s="7">
        <v>588</v>
      </c>
      <c r="D60" s="7">
        <v>52</v>
      </c>
      <c r="E60" s="7">
        <v>292040</v>
      </c>
      <c r="F60" s="9">
        <v>8.14</v>
      </c>
      <c r="G60" s="7">
        <v>9383</v>
      </c>
    </row>
    <row r="61" spans="1:7" ht="15.75" customHeight="1">
      <c r="A61" s="21">
        <v>45579</v>
      </c>
      <c r="B61" s="14" t="s">
        <v>346</v>
      </c>
      <c r="C61" s="7">
        <v>1457</v>
      </c>
      <c r="D61" s="7">
        <v>215</v>
      </c>
      <c r="E61" s="7">
        <v>325325</v>
      </c>
      <c r="F61" s="9">
        <v>9.58</v>
      </c>
      <c r="G61" s="7">
        <v>14178</v>
      </c>
    </row>
    <row r="62" spans="1:7" ht="15.75" customHeight="1">
      <c r="A62" s="21">
        <v>45586</v>
      </c>
      <c r="B62" s="14" t="s">
        <v>14</v>
      </c>
      <c r="C62" s="7">
        <v>1190</v>
      </c>
      <c r="D62" s="7">
        <v>242</v>
      </c>
      <c r="E62" s="7">
        <v>86849</v>
      </c>
      <c r="F62" s="9">
        <v>8.06</v>
      </c>
      <c r="G62" s="7">
        <v>21254</v>
      </c>
    </row>
    <row r="63" spans="1:7" ht="15.75" customHeight="1">
      <c r="A63" s="21">
        <v>45586</v>
      </c>
      <c r="B63" s="14" t="s">
        <v>18</v>
      </c>
      <c r="C63" s="7">
        <v>886</v>
      </c>
      <c r="D63" s="7">
        <v>124</v>
      </c>
      <c r="E63" s="7">
        <v>141161</v>
      </c>
      <c r="F63" s="9">
        <v>8.19</v>
      </c>
      <c r="G63" s="7">
        <v>14215</v>
      </c>
    </row>
    <row r="64" spans="1:7" ht="15.75" customHeight="1">
      <c r="A64" s="21">
        <v>45586</v>
      </c>
      <c r="B64" s="14" t="s">
        <v>346</v>
      </c>
      <c r="C64" s="7">
        <v>1237</v>
      </c>
      <c r="D64" s="7">
        <v>155</v>
      </c>
      <c r="E64" s="7">
        <v>149916</v>
      </c>
      <c r="F64" s="9">
        <v>4.4800000000000004</v>
      </c>
      <c r="G64" s="7">
        <v>16921</v>
      </c>
    </row>
    <row r="65" spans="1:7" ht="15.75" customHeight="1">
      <c r="A65" s="21">
        <v>45593</v>
      </c>
      <c r="B65" s="14" t="s">
        <v>14</v>
      </c>
      <c r="C65" s="7">
        <v>1435</v>
      </c>
      <c r="D65" s="7">
        <v>261</v>
      </c>
      <c r="E65" s="7">
        <v>308533</v>
      </c>
      <c r="F65" s="9">
        <v>4.5199999999999996</v>
      </c>
      <c r="G65" s="7">
        <v>25130</v>
      </c>
    </row>
    <row r="66" spans="1:7" ht="15.75" customHeight="1">
      <c r="A66" s="21">
        <v>45593</v>
      </c>
      <c r="B66" s="14" t="s">
        <v>18</v>
      </c>
      <c r="C66" s="7">
        <v>746</v>
      </c>
      <c r="D66" s="7">
        <v>282</v>
      </c>
      <c r="E66" s="7">
        <v>293894</v>
      </c>
      <c r="F66" s="9">
        <v>5.42</v>
      </c>
      <c r="G66" s="7">
        <v>25537</v>
      </c>
    </row>
    <row r="67" spans="1:7" ht="15.75" customHeight="1">
      <c r="A67" s="21">
        <v>45593</v>
      </c>
      <c r="B67" s="14" t="s">
        <v>346</v>
      </c>
      <c r="C67" s="7">
        <v>759</v>
      </c>
      <c r="D67" s="7">
        <v>216</v>
      </c>
      <c r="E67" s="7">
        <v>147656</v>
      </c>
      <c r="F67" s="9">
        <v>4.08</v>
      </c>
      <c r="G67" s="7">
        <v>24943</v>
      </c>
    </row>
    <row r="68" spans="1:7" ht="15.75" customHeight="1">
      <c r="A68" s="21">
        <v>45600</v>
      </c>
      <c r="B68" s="14" t="s">
        <v>14</v>
      </c>
      <c r="C68" s="7">
        <v>1437</v>
      </c>
      <c r="D68" s="7">
        <v>235</v>
      </c>
      <c r="E68" s="7">
        <v>326791</v>
      </c>
      <c r="F68" s="9">
        <v>4.0599999999999996</v>
      </c>
      <c r="G68" s="7">
        <v>14563</v>
      </c>
    </row>
    <row r="69" spans="1:7" ht="15.75" customHeight="1">
      <c r="A69" s="21">
        <v>45600</v>
      </c>
      <c r="B69" s="14" t="s">
        <v>18</v>
      </c>
      <c r="C69" s="7">
        <v>1463</v>
      </c>
      <c r="D69" s="7">
        <v>73</v>
      </c>
      <c r="E69" s="7">
        <v>348877</v>
      </c>
      <c r="F69" s="9">
        <v>9.91</v>
      </c>
      <c r="G69" s="7">
        <v>26273</v>
      </c>
    </row>
    <row r="70" spans="1:7" ht="15.75" customHeight="1">
      <c r="A70" s="21">
        <v>45600</v>
      </c>
      <c r="B70" s="14" t="s">
        <v>346</v>
      </c>
      <c r="C70" s="7">
        <v>1208</v>
      </c>
      <c r="D70" s="7">
        <v>224</v>
      </c>
      <c r="E70" s="7">
        <v>122730</v>
      </c>
      <c r="F70" s="9">
        <v>8.7200000000000006</v>
      </c>
      <c r="G70" s="7">
        <v>10858</v>
      </c>
    </row>
    <row r="71" spans="1:7" ht="15.75" customHeight="1">
      <c r="A71" s="21">
        <v>45607</v>
      </c>
      <c r="B71" s="14" t="s">
        <v>14</v>
      </c>
      <c r="C71" s="7">
        <v>1391</v>
      </c>
      <c r="D71" s="7">
        <v>187</v>
      </c>
      <c r="E71" s="7">
        <v>306508</v>
      </c>
      <c r="F71" s="9">
        <v>8.3800000000000008</v>
      </c>
      <c r="G71" s="7">
        <v>25038</v>
      </c>
    </row>
    <row r="72" spans="1:7" ht="15.75" customHeight="1">
      <c r="A72" s="21">
        <v>45607</v>
      </c>
      <c r="B72" s="14" t="s">
        <v>18</v>
      </c>
      <c r="C72" s="7">
        <v>655</v>
      </c>
      <c r="D72" s="7">
        <v>123</v>
      </c>
      <c r="E72" s="7">
        <v>202472</v>
      </c>
      <c r="F72" s="9">
        <v>7.56</v>
      </c>
      <c r="G72" s="7">
        <v>9092</v>
      </c>
    </row>
    <row r="73" spans="1:7" ht="15.75" customHeight="1">
      <c r="A73" s="21">
        <v>45607</v>
      </c>
      <c r="B73" s="14" t="s">
        <v>346</v>
      </c>
      <c r="C73" s="7">
        <v>1148</v>
      </c>
      <c r="D73" s="7">
        <v>90</v>
      </c>
      <c r="E73" s="7">
        <v>227249</v>
      </c>
      <c r="F73" s="9">
        <v>7.24</v>
      </c>
      <c r="G73" s="7">
        <v>17662</v>
      </c>
    </row>
    <row r="74" spans="1:7" ht="15.75" customHeight="1">
      <c r="A74" s="21">
        <v>45614</v>
      </c>
      <c r="B74" s="14" t="s">
        <v>14</v>
      </c>
      <c r="C74" s="7">
        <v>946</v>
      </c>
      <c r="D74" s="7">
        <v>270</v>
      </c>
      <c r="E74" s="7">
        <v>246567</v>
      </c>
      <c r="F74" s="9">
        <v>4.53</v>
      </c>
      <c r="G74" s="7">
        <v>5924</v>
      </c>
    </row>
    <row r="75" spans="1:7" ht="15.75" customHeight="1">
      <c r="A75" s="21">
        <v>45614</v>
      </c>
      <c r="B75" s="14" t="s">
        <v>18</v>
      </c>
      <c r="C75" s="7">
        <v>791</v>
      </c>
      <c r="D75" s="7">
        <v>214</v>
      </c>
      <c r="E75" s="7">
        <v>114738</v>
      </c>
      <c r="F75" s="9">
        <v>6.62</v>
      </c>
      <c r="G75" s="7">
        <v>25347</v>
      </c>
    </row>
    <row r="76" spans="1:7" ht="15.75" customHeight="1">
      <c r="A76" s="21">
        <v>45614</v>
      </c>
      <c r="B76" s="14" t="s">
        <v>346</v>
      </c>
      <c r="C76" s="7">
        <v>793</v>
      </c>
      <c r="D76" s="7">
        <v>111</v>
      </c>
      <c r="E76" s="7">
        <v>333500</v>
      </c>
      <c r="F76" s="9">
        <v>6.36</v>
      </c>
      <c r="G76" s="7">
        <v>8910</v>
      </c>
    </row>
    <row r="77" spans="1:7" ht="15.75" customHeight="1">
      <c r="A77" s="21">
        <v>45621</v>
      </c>
      <c r="B77" s="14" t="s">
        <v>14</v>
      </c>
      <c r="C77" s="7">
        <v>663</v>
      </c>
      <c r="D77" s="7">
        <v>213</v>
      </c>
      <c r="E77" s="7">
        <v>352677</v>
      </c>
      <c r="F77" s="9">
        <v>9</v>
      </c>
      <c r="G77" s="7">
        <v>20438</v>
      </c>
    </row>
    <row r="78" spans="1:7" ht="15.75" customHeight="1">
      <c r="A78" s="21">
        <v>45621</v>
      </c>
      <c r="B78" s="14" t="s">
        <v>18</v>
      </c>
      <c r="C78" s="7">
        <v>954</v>
      </c>
      <c r="D78" s="7">
        <v>271</v>
      </c>
      <c r="E78" s="7">
        <v>160936</v>
      </c>
      <c r="F78" s="9">
        <v>8.83</v>
      </c>
      <c r="G78" s="7">
        <v>8760</v>
      </c>
    </row>
    <row r="79" spans="1:7" ht="15.75" customHeight="1">
      <c r="A79" s="21">
        <v>45621</v>
      </c>
      <c r="B79" s="14" t="s">
        <v>346</v>
      </c>
      <c r="C79" s="7">
        <v>1313</v>
      </c>
      <c r="D79" s="7">
        <v>159</v>
      </c>
      <c r="E79" s="7">
        <v>197183</v>
      </c>
      <c r="F79" s="9">
        <v>9.7100000000000009</v>
      </c>
      <c r="G79" s="7">
        <v>6625</v>
      </c>
    </row>
    <row r="80" spans="1:7" ht="15.75" customHeight="1">
      <c r="A80" s="21">
        <v>45628</v>
      </c>
      <c r="B80" s="14" t="s">
        <v>14</v>
      </c>
      <c r="C80" s="7">
        <v>895</v>
      </c>
      <c r="D80" s="7">
        <v>87</v>
      </c>
      <c r="E80" s="7">
        <v>171271</v>
      </c>
      <c r="F80" s="9">
        <v>6.68</v>
      </c>
      <c r="G80" s="7">
        <v>23329</v>
      </c>
    </row>
    <row r="81" spans="1:7" ht="15.75" customHeight="1">
      <c r="A81" s="21">
        <v>45628</v>
      </c>
      <c r="B81" s="14" t="s">
        <v>18</v>
      </c>
      <c r="C81" s="7">
        <v>1027</v>
      </c>
      <c r="D81" s="7">
        <v>156</v>
      </c>
      <c r="E81" s="7">
        <v>111293</v>
      </c>
      <c r="F81" s="9">
        <v>5.51</v>
      </c>
      <c r="G81" s="7">
        <v>7299</v>
      </c>
    </row>
    <row r="82" spans="1:7" ht="15.75" customHeight="1">
      <c r="A82" s="21">
        <v>45628</v>
      </c>
      <c r="B82" s="14" t="s">
        <v>346</v>
      </c>
      <c r="C82" s="7">
        <v>990</v>
      </c>
      <c r="D82" s="7">
        <v>286</v>
      </c>
      <c r="E82" s="7">
        <v>351493</v>
      </c>
      <c r="F82" s="9">
        <v>7.97</v>
      </c>
      <c r="G82" s="7">
        <v>14496</v>
      </c>
    </row>
    <row r="83" spans="1:7" ht="15.75" customHeight="1">
      <c r="A83" s="21">
        <v>45635</v>
      </c>
      <c r="B83" s="14" t="s">
        <v>14</v>
      </c>
      <c r="C83" s="7">
        <v>875</v>
      </c>
      <c r="D83" s="7">
        <v>264</v>
      </c>
      <c r="E83" s="7">
        <v>345631</v>
      </c>
      <c r="F83" s="9">
        <v>9.18</v>
      </c>
      <c r="G83" s="7">
        <v>25703</v>
      </c>
    </row>
    <row r="84" spans="1:7" ht="15.75" customHeight="1">
      <c r="A84" s="21">
        <v>45635</v>
      </c>
      <c r="B84" s="14" t="s">
        <v>18</v>
      </c>
      <c r="C84" s="7">
        <v>599</v>
      </c>
      <c r="D84" s="7">
        <v>194</v>
      </c>
      <c r="E84" s="7">
        <v>105622</v>
      </c>
      <c r="F84" s="9">
        <v>6.44</v>
      </c>
      <c r="G84" s="7">
        <v>15108</v>
      </c>
    </row>
    <row r="85" spans="1:7" ht="15.75" customHeight="1">
      <c r="A85" s="21">
        <v>45635</v>
      </c>
      <c r="B85" s="14" t="s">
        <v>346</v>
      </c>
      <c r="C85" s="7">
        <v>630</v>
      </c>
      <c r="D85" s="7">
        <v>248</v>
      </c>
      <c r="E85" s="7">
        <v>119054</v>
      </c>
      <c r="F85" s="9">
        <v>5.0199999999999996</v>
      </c>
      <c r="G85" s="7">
        <v>18867</v>
      </c>
    </row>
    <row r="86" spans="1:7" ht="15.75" customHeight="1">
      <c r="A86" s="21">
        <v>45642</v>
      </c>
      <c r="B86" s="14" t="s">
        <v>14</v>
      </c>
      <c r="C86" s="7">
        <v>1350</v>
      </c>
      <c r="D86" s="7">
        <v>233</v>
      </c>
      <c r="E86" s="7">
        <v>171670</v>
      </c>
      <c r="F86" s="9">
        <v>4.53</v>
      </c>
      <c r="G86" s="7">
        <v>17574</v>
      </c>
    </row>
    <row r="87" spans="1:7" ht="15.75" customHeight="1">
      <c r="A87" s="21">
        <v>45642</v>
      </c>
      <c r="B87" s="14" t="s">
        <v>18</v>
      </c>
      <c r="C87" s="7">
        <v>632</v>
      </c>
      <c r="D87" s="7">
        <v>155</v>
      </c>
      <c r="E87" s="7">
        <v>170432</v>
      </c>
      <c r="F87" s="9">
        <v>9.17</v>
      </c>
      <c r="G87" s="7">
        <v>12840</v>
      </c>
    </row>
    <row r="88" spans="1:7" ht="15.75" customHeight="1">
      <c r="A88" s="21">
        <v>45642</v>
      </c>
      <c r="B88" s="14" t="s">
        <v>346</v>
      </c>
      <c r="C88" s="7">
        <v>1182</v>
      </c>
      <c r="D88" s="7">
        <v>83</v>
      </c>
      <c r="E88" s="7">
        <v>140300</v>
      </c>
      <c r="F88" s="9">
        <v>3.27</v>
      </c>
      <c r="G88" s="7">
        <v>21079</v>
      </c>
    </row>
    <row r="89" spans="1:7" ht="15.75" customHeight="1">
      <c r="A89" s="21">
        <v>45649</v>
      </c>
      <c r="B89" s="14" t="s">
        <v>14</v>
      </c>
      <c r="C89" s="7">
        <v>661</v>
      </c>
      <c r="D89" s="7">
        <v>94</v>
      </c>
      <c r="E89" s="7">
        <v>116538</v>
      </c>
      <c r="F89" s="9">
        <v>5.31</v>
      </c>
      <c r="G89" s="7">
        <v>23486</v>
      </c>
    </row>
    <row r="90" spans="1:7" ht="15.75" customHeight="1">
      <c r="A90" s="21">
        <v>45649</v>
      </c>
      <c r="B90" s="14" t="s">
        <v>18</v>
      </c>
      <c r="C90" s="7">
        <v>1360</v>
      </c>
      <c r="D90" s="7">
        <v>227</v>
      </c>
      <c r="E90" s="7">
        <v>176902</v>
      </c>
      <c r="F90" s="9">
        <v>6.03</v>
      </c>
      <c r="G90" s="7">
        <v>5960</v>
      </c>
    </row>
    <row r="91" spans="1:7" ht="15.75" customHeight="1">
      <c r="A91" s="21">
        <v>45649</v>
      </c>
      <c r="B91" s="14" t="s">
        <v>346</v>
      </c>
      <c r="C91" s="7">
        <v>935</v>
      </c>
      <c r="D91" s="7">
        <v>85</v>
      </c>
      <c r="E91" s="7">
        <v>326821</v>
      </c>
      <c r="F91" s="9">
        <v>8.89</v>
      </c>
      <c r="G91" s="7">
        <v>13301</v>
      </c>
    </row>
    <row r="92" spans="1:7" ht="15.75" customHeight="1">
      <c r="A92" s="21">
        <v>45656</v>
      </c>
      <c r="B92" s="14" t="s">
        <v>14</v>
      </c>
      <c r="C92" s="7">
        <v>664</v>
      </c>
      <c r="D92" s="7">
        <v>251</v>
      </c>
      <c r="E92" s="7">
        <v>240598</v>
      </c>
      <c r="F92" s="9">
        <v>4.79</v>
      </c>
      <c r="G92" s="7">
        <v>10563</v>
      </c>
    </row>
    <row r="93" spans="1:7" ht="15.75" customHeight="1">
      <c r="A93" s="21">
        <v>45656</v>
      </c>
      <c r="B93" s="14" t="s">
        <v>18</v>
      </c>
      <c r="C93" s="7">
        <v>1490</v>
      </c>
      <c r="D93" s="7">
        <v>103</v>
      </c>
      <c r="E93" s="7">
        <v>373274</v>
      </c>
      <c r="F93" s="9">
        <v>4.8</v>
      </c>
      <c r="G93" s="7">
        <v>19949</v>
      </c>
    </row>
    <row r="94" spans="1:7" ht="15.75" customHeight="1">
      <c r="A94" s="21">
        <v>45656</v>
      </c>
      <c r="B94" s="14" t="s">
        <v>346</v>
      </c>
      <c r="C94" s="7">
        <v>601</v>
      </c>
      <c r="D94" s="7">
        <v>64</v>
      </c>
      <c r="E94" s="7">
        <v>123272</v>
      </c>
      <c r="F94" s="9">
        <v>4.07</v>
      </c>
      <c r="G94" s="7">
        <v>14273</v>
      </c>
    </row>
    <row r="95" spans="1:7" ht="15.75" customHeight="1">
      <c r="A95" s="21">
        <v>45663</v>
      </c>
      <c r="B95" s="14" t="s">
        <v>14</v>
      </c>
      <c r="C95" s="7">
        <v>613</v>
      </c>
      <c r="D95" s="7">
        <v>170</v>
      </c>
      <c r="E95" s="7">
        <v>139266</v>
      </c>
      <c r="F95" s="9">
        <v>6.06</v>
      </c>
      <c r="G95" s="7">
        <v>9247</v>
      </c>
    </row>
    <row r="96" spans="1:7" ht="15.75" customHeight="1">
      <c r="A96" s="21">
        <v>45663</v>
      </c>
      <c r="B96" s="14" t="s">
        <v>18</v>
      </c>
      <c r="C96" s="7">
        <v>1340</v>
      </c>
      <c r="D96" s="7">
        <v>57</v>
      </c>
      <c r="E96" s="7">
        <v>155927</v>
      </c>
      <c r="F96" s="9">
        <v>7.79</v>
      </c>
      <c r="G96" s="7">
        <v>11972</v>
      </c>
    </row>
    <row r="97" spans="1:7" ht="15.75" customHeight="1">
      <c r="A97" s="21">
        <v>45663</v>
      </c>
      <c r="B97" s="14" t="s">
        <v>346</v>
      </c>
      <c r="C97" s="7">
        <v>953</v>
      </c>
      <c r="D97" s="7">
        <v>228</v>
      </c>
      <c r="E97" s="7">
        <v>258398</v>
      </c>
      <c r="F97" s="9">
        <v>9.0500000000000007</v>
      </c>
      <c r="G97" s="7">
        <v>13314</v>
      </c>
    </row>
    <row r="98" spans="1:7" ht="15.75" customHeight="1">
      <c r="A98" s="21">
        <v>45670</v>
      </c>
      <c r="B98" s="14" t="s">
        <v>14</v>
      </c>
      <c r="C98" s="7">
        <v>532</v>
      </c>
      <c r="D98" s="7">
        <v>65</v>
      </c>
      <c r="E98" s="7">
        <v>338561</v>
      </c>
      <c r="F98" s="9">
        <v>3.5</v>
      </c>
      <c r="G98" s="7">
        <v>14749</v>
      </c>
    </row>
    <row r="99" spans="1:7" ht="15.75" customHeight="1">
      <c r="A99" s="21">
        <v>45670</v>
      </c>
      <c r="B99" s="14" t="s">
        <v>18</v>
      </c>
      <c r="C99" s="7">
        <v>1414</v>
      </c>
      <c r="D99" s="7">
        <v>60</v>
      </c>
      <c r="E99" s="7">
        <v>341856</v>
      </c>
      <c r="F99" s="9">
        <v>8.76</v>
      </c>
      <c r="G99" s="7">
        <v>6868</v>
      </c>
    </row>
    <row r="100" spans="1:7" ht="15.75" customHeight="1">
      <c r="A100" s="21">
        <v>45670</v>
      </c>
      <c r="B100" s="14" t="s">
        <v>346</v>
      </c>
      <c r="C100" s="7">
        <v>685</v>
      </c>
      <c r="D100" s="7">
        <v>165</v>
      </c>
      <c r="E100" s="7">
        <v>175860</v>
      </c>
      <c r="F100" s="9">
        <v>6.26</v>
      </c>
      <c r="G100" s="7">
        <v>6027</v>
      </c>
    </row>
    <row r="101" spans="1:7" ht="15.75" customHeight="1">
      <c r="A101" s="21">
        <v>45677</v>
      </c>
      <c r="B101" s="14" t="s">
        <v>14</v>
      </c>
      <c r="C101" s="7">
        <v>601</v>
      </c>
      <c r="D101" s="7">
        <v>159</v>
      </c>
      <c r="E101" s="7">
        <v>327722</v>
      </c>
      <c r="F101" s="9">
        <v>3.33</v>
      </c>
      <c r="G101" s="7">
        <v>25267</v>
      </c>
    </row>
    <row r="102" spans="1:7" ht="15.75" customHeight="1">
      <c r="A102" s="21">
        <v>45677</v>
      </c>
      <c r="B102" s="14" t="s">
        <v>18</v>
      </c>
      <c r="C102" s="7">
        <v>841</v>
      </c>
      <c r="D102" s="7">
        <v>295</v>
      </c>
      <c r="E102" s="7">
        <v>271638</v>
      </c>
      <c r="F102" s="9">
        <v>9.15</v>
      </c>
      <c r="G102" s="7">
        <v>5900</v>
      </c>
    </row>
    <row r="103" spans="1:7" ht="15.75" customHeight="1">
      <c r="A103" s="21">
        <v>45677</v>
      </c>
      <c r="B103" s="14" t="s">
        <v>346</v>
      </c>
      <c r="C103" s="7">
        <v>1105</v>
      </c>
      <c r="D103" s="7">
        <v>261</v>
      </c>
      <c r="E103" s="7">
        <v>333851</v>
      </c>
      <c r="F103" s="9">
        <v>6.03</v>
      </c>
      <c r="G103" s="7">
        <v>11181</v>
      </c>
    </row>
    <row r="104" spans="1:7" ht="15.75" customHeight="1">
      <c r="A104" s="21">
        <v>45684</v>
      </c>
      <c r="B104" s="14" t="s">
        <v>14</v>
      </c>
      <c r="C104" s="7">
        <v>566</v>
      </c>
      <c r="D104" s="7">
        <v>225</v>
      </c>
      <c r="E104" s="7">
        <v>368984</v>
      </c>
      <c r="F104" s="9">
        <v>9.82</v>
      </c>
      <c r="G104" s="7">
        <v>9592</v>
      </c>
    </row>
    <row r="105" spans="1:7" ht="15.75" customHeight="1">
      <c r="A105" s="21">
        <v>45684</v>
      </c>
      <c r="B105" s="14" t="s">
        <v>18</v>
      </c>
      <c r="C105" s="7">
        <v>1149</v>
      </c>
      <c r="D105" s="7">
        <v>280</v>
      </c>
      <c r="E105" s="7">
        <v>167310</v>
      </c>
      <c r="F105" s="9">
        <v>3.7</v>
      </c>
      <c r="G105" s="7">
        <v>5291</v>
      </c>
    </row>
    <row r="106" spans="1:7" ht="15.75" customHeight="1">
      <c r="A106" s="21">
        <v>45684</v>
      </c>
      <c r="B106" s="14" t="s">
        <v>346</v>
      </c>
      <c r="C106" s="7">
        <v>819</v>
      </c>
      <c r="D106" s="7">
        <v>101</v>
      </c>
      <c r="E106" s="7">
        <v>194811</v>
      </c>
      <c r="F106" s="9">
        <v>3.35</v>
      </c>
      <c r="G106" s="7">
        <v>22244</v>
      </c>
    </row>
    <row r="107" spans="1:7" ht="15.75" customHeight="1">
      <c r="A107" s="21">
        <v>45691</v>
      </c>
      <c r="B107" s="14" t="s">
        <v>14</v>
      </c>
      <c r="C107" s="7">
        <v>795</v>
      </c>
      <c r="D107" s="7">
        <v>60</v>
      </c>
      <c r="E107" s="7">
        <v>314982</v>
      </c>
      <c r="F107" s="9">
        <v>7.31</v>
      </c>
      <c r="G107" s="7">
        <v>6824</v>
      </c>
    </row>
    <row r="108" spans="1:7" ht="15.75" customHeight="1">
      <c r="A108" s="21">
        <v>45691</v>
      </c>
      <c r="B108" s="14" t="s">
        <v>18</v>
      </c>
      <c r="C108" s="7">
        <v>681</v>
      </c>
      <c r="D108" s="7">
        <v>158</v>
      </c>
      <c r="E108" s="7">
        <v>75960</v>
      </c>
      <c r="F108" s="9">
        <v>3.13</v>
      </c>
      <c r="G108" s="7">
        <v>24112</v>
      </c>
    </row>
    <row r="109" spans="1:7" ht="15.75" customHeight="1">
      <c r="A109" s="21">
        <v>45691</v>
      </c>
      <c r="B109" s="14" t="s">
        <v>346</v>
      </c>
      <c r="C109" s="7">
        <v>534</v>
      </c>
      <c r="D109" s="7">
        <v>112</v>
      </c>
      <c r="E109" s="7">
        <v>360759</v>
      </c>
      <c r="F109" s="9">
        <v>4.8899999999999997</v>
      </c>
      <c r="G109" s="7">
        <v>25478</v>
      </c>
    </row>
    <row r="110" spans="1:7" ht="15.75" customHeight="1">
      <c r="A110" s="21">
        <v>45698</v>
      </c>
      <c r="B110" s="14" t="s">
        <v>14</v>
      </c>
      <c r="C110" s="7">
        <v>1066</v>
      </c>
      <c r="D110" s="7">
        <v>151</v>
      </c>
      <c r="E110" s="7">
        <v>297090</v>
      </c>
      <c r="F110" s="9">
        <v>8.6300000000000008</v>
      </c>
      <c r="G110" s="7">
        <v>11235</v>
      </c>
    </row>
    <row r="111" spans="1:7" ht="15.75" customHeight="1">
      <c r="A111" s="21">
        <v>45698</v>
      </c>
      <c r="B111" s="14" t="s">
        <v>18</v>
      </c>
      <c r="C111" s="7">
        <v>1270</v>
      </c>
      <c r="D111" s="7">
        <v>162</v>
      </c>
      <c r="E111" s="7">
        <v>92040</v>
      </c>
      <c r="F111" s="9">
        <v>8.0299999999999994</v>
      </c>
      <c r="G111" s="7">
        <v>6120</v>
      </c>
    </row>
    <row r="112" spans="1:7" ht="15.75" customHeight="1">
      <c r="A112" s="21">
        <v>45698</v>
      </c>
      <c r="B112" s="14" t="s">
        <v>346</v>
      </c>
      <c r="C112" s="7">
        <v>536</v>
      </c>
      <c r="D112" s="7">
        <v>198</v>
      </c>
      <c r="E112" s="7">
        <v>174610</v>
      </c>
      <c r="F112" s="9">
        <v>7.85</v>
      </c>
      <c r="G112" s="7">
        <v>20572</v>
      </c>
    </row>
    <row r="113" spans="1:7" ht="15.75" customHeight="1">
      <c r="A113" s="21">
        <v>45705</v>
      </c>
      <c r="B113" s="14" t="s">
        <v>14</v>
      </c>
      <c r="C113" s="7">
        <v>819</v>
      </c>
      <c r="D113" s="7">
        <v>95</v>
      </c>
      <c r="E113" s="7">
        <v>177376</v>
      </c>
      <c r="F113" s="9">
        <v>6.12</v>
      </c>
      <c r="G113" s="7">
        <v>14975</v>
      </c>
    </row>
    <row r="114" spans="1:7" ht="15.75" customHeight="1">
      <c r="A114" s="21">
        <v>45705</v>
      </c>
      <c r="B114" s="14" t="s">
        <v>18</v>
      </c>
      <c r="C114" s="7">
        <v>681</v>
      </c>
      <c r="D114" s="7">
        <v>218</v>
      </c>
      <c r="E114" s="7">
        <v>198882</v>
      </c>
      <c r="F114" s="9">
        <v>7.16</v>
      </c>
      <c r="G114" s="7">
        <v>22234</v>
      </c>
    </row>
    <row r="115" spans="1:7" ht="15.75" customHeight="1">
      <c r="A115" s="21">
        <v>45705</v>
      </c>
      <c r="B115" s="14" t="s">
        <v>346</v>
      </c>
      <c r="C115" s="7">
        <v>646</v>
      </c>
      <c r="D115" s="7">
        <v>290</v>
      </c>
      <c r="E115" s="7">
        <v>336383</v>
      </c>
      <c r="F115" s="9">
        <v>7.04</v>
      </c>
      <c r="G115" s="7">
        <v>6532</v>
      </c>
    </row>
    <row r="116" spans="1:7" ht="15.75" customHeight="1">
      <c r="A116" s="21">
        <v>45712</v>
      </c>
      <c r="B116" s="14" t="s">
        <v>14</v>
      </c>
      <c r="C116" s="7">
        <v>645</v>
      </c>
      <c r="D116" s="7">
        <v>267</v>
      </c>
      <c r="E116" s="7">
        <v>346890</v>
      </c>
      <c r="F116" s="9">
        <v>3.71</v>
      </c>
      <c r="G116" s="7">
        <v>24858</v>
      </c>
    </row>
    <row r="117" spans="1:7" ht="15.75" customHeight="1">
      <c r="A117" s="21">
        <v>45712</v>
      </c>
      <c r="B117" s="14" t="s">
        <v>18</v>
      </c>
      <c r="C117" s="7">
        <v>886</v>
      </c>
      <c r="D117" s="7">
        <v>250</v>
      </c>
      <c r="E117" s="7">
        <v>168170</v>
      </c>
      <c r="F117" s="9">
        <v>4.12</v>
      </c>
      <c r="G117" s="7">
        <v>13883</v>
      </c>
    </row>
    <row r="118" spans="1:7" ht="15.75" customHeight="1">
      <c r="A118" s="21">
        <v>45712</v>
      </c>
      <c r="B118" s="14" t="s">
        <v>346</v>
      </c>
      <c r="C118" s="7">
        <v>978</v>
      </c>
      <c r="D118" s="7">
        <v>279</v>
      </c>
      <c r="E118" s="7">
        <v>368872</v>
      </c>
      <c r="F118" s="9">
        <v>6.82</v>
      </c>
      <c r="G118" s="7">
        <v>18654</v>
      </c>
    </row>
    <row r="119" spans="1:7" ht="15.75" customHeight="1">
      <c r="A119" s="21">
        <v>45719</v>
      </c>
      <c r="B119" s="14" t="s">
        <v>14</v>
      </c>
      <c r="C119" s="7">
        <v>1444</v>
      </c>
      <c r="D119" s="7">
        <v>165</v>
      </c>
      <c r="E119" s="7">
        <v>116436</v>
      </c>
      <c r="F119" s="9">
        <v>8.2200000000000006</v>
      </c>
      <c r="G119" s="7">
        <v>25234</v>
      </c>
    </row>
    <row r="120" spans="1:7" ht="15.75" customHeight="1">
      <c r="A120" s="21">
        <v>45719</v>
      </c>
      <c r="B120" s="14" t="s">
        <v>18</v>
      </c>
      <c r="C120" s="7">
        <v>1234</v>
      </c>
      <c r="D120" s="7">
        <v>228</v>
      </c>
      <c r="E120" s="7">
        <v>127502</v>
      </c>
      <c r="F120" s="9">
        <v>7.71</v>
      </c>
      <c r="G120" s="7">
        <v>6772</v>
      </c>
    </row>
    <row r="121" spans="1:7" ht="15.75" customHeight="1">
      <c r="A121" s="21">
        <v>45719</v>
      </c>
      <c r="B121" s="14" t="s">
        <v>346</v>
      </c>
      <c r="C121" s="7">
        <v>665</v>
      </c>
      <c r="D121" s="7">
        <v>187</v>
      </c>
      <c r="E121" s="7">
        <v>274567</v>
      </c>
      <c r="F121" s="9">
        <v>7.39</v>
      </c>
      <c r="G121" s="7">
        <v>22428</v>
      </c>
    </row>
    <row r="122" spans="1:7" ht="15.75" customHeight="1">
      <c r="A122" s="21">
        <v>45726</v>
      </c>
      <c r="B122" s="14" t="s">
        <v>14</v>
      </c>
      <c r="C122" s="7">
        <v>631</v>
      </c>
      <c r="D122" s="7">
        <v>86</v>
      </c>
      <c r="E122" s="7">
        <v>295090</v>
      </c>
      <c r="F122" s="9">
        <v>7.89</v>
      </c>
      <c r="G122" s="7">
        <v>11911</v>
      </c>
    </row>
    <row r="123" spans="1:7" ht="15.75" customHeight="1">
      <c r="A123" s="21">
        <v>45726</v>
      </c>
      <c r="B123" s="14" t="s">
        <v>18</v>
      </c>
      <c r="C123" s="7">
        <v>1159</v>
      </c>
      <c r="D123" s="7">
        <v>154</v>
      </c>
      <c r="E123" s="7">
        <v>194994</v>
      </c>
      <c r="F123" s="9">
        <v>6.39</v>
      </c>
      <c r="G123" s="7">
        <v>21900</v>
      </c>
    </row>
    <row r="124" spans="1:7" ht="15.75" customHeight="1">
      <c r="A124" s="21">
        <v>45726</v>
      </c>
      <c r="B124" s="14" t="s">
        <v>346</v>
      </c>
      <c r="C124" s="7">
        <v>950</v>
      </c>
      <c r="D124" s="7">
        <v>185</v>
      </c>
      <c r="E124" s="7">
        <v>340750</v>
      </c>
      <c r="F124" s="9">
        <v>6.77</v>
      </c>
      <c r="G124" s="7">
        <v>25542</v>
      </c>
    </row>
    <row r="125" spans="1:7" ht="15.75" customHeight="1">
      <c r="A125" s="21">
        <v>45733</v>
      </c>
      <c r="B125" s="14" t="s">
        <v>14</v>
      </c>
      <c r="C125" s="7">
        <v>693</v>
      </c>
      <c r="D125" s="7">
        <v>129</v>
      </c>
      <c r="E125" s="7">
        <v>296031</v>
      </c>
      <c r="F125" s="9">
        <v>3.41</v>
      </c>
      <c r="G125" s="7">
        <v>7140</v>
      </c>
    </row>
    <row r="126" spans="1:7" ht="15.75" customHeight="1">
      <c r="A126" s="21">
        <v>45733</v>
      </c>
      <c r="B126" s="14" t="s">
        <v>18</v>
      </c>
      <c r="C126" s="7">
        <v>576</v>
      </c>
      <c r="D126" s="7">
        <v>80</v>
      </c>
      <c r="E126" s="7">
        <v>345688</v>
      </c>
      <c r="F126" s="9">
        <v>4.1100000000000003</v>
      </c>
      <c r="G126" s="7">
        <v>20474</v>
      </c>
    </row>
    <row r="127" spans="1:7" ht="15.75" customHeight="1">
      <c r="A127" s="21">
        <v>45733</v>
      </c>
      <c r="B127" s="14" t="s">
        <v>346</v>
      </c>
      <c r="C127" s="7">
        <v>1274</v>
      </c>
      <c r="D127" s="7">
        <v>146</v>
      </c>
      <c r="E127" s="7">
        <v>263488</v>
      </c>
      <c r="F127" s="9">
        <v>9.58</v>
      </c>
      <c r="G127" s="7">
        <v>8698</v>
      </c>
    </row>
    <row r="128" spans="1:7" ht="15.75" customHeight="1">
      <c r="A128" s="21">
        <v>45740</v>
      </c>
      <c r="B128" s="14" t="s">
        <v>14</v>
      </c>
      <c r="C128" s="7">
        <v>818</v>
      </c>
      <c r="D128" s="7">
        <v>253</v>
      </c>
      <c r="E128" s="7">
        <v>184911</v>
      </c>
      <c r="F128" s="9">
        <v>3.39</v>
      </c>
      <c r="G128" s="7">
        <v>10402</v>
      </c>
    </row>
    <row r="129" spans="1:7" ht="15.75" customHeight="1">
      <c r="A129" s="21">
        <v>45740</v>
      </c>
      <c r="B129" s="14" t="s">
        <v>18</v>
      </c>
      <c r="C129" s="7">
        <v>975</v>
      </c>
      <c r="D129" s="7">
        <v>162</v>
      </c>
      <c r="E129" s="7">
        <v>124497</v>
      </c>
      <c r="F129" s="9">
        <v>9.58</v>
      </c>
      <c r="G129" s="7">
        <v>26618</v>
      </c>
    </row>
    <row r="130" spans="1:7" ht="15.75" customHeight="1">
      <c r="A130" s="21">
        <v>45740</v>
      </c>
      <c r="B130" s="14" t="s">
        <v>346</v>
      </c>
      <c r="C130" s="7">
        <v>1398</v>
      </c>
      <c r="D130" s="7">
        <v>97</v>
      </c>
      <c r="E130" s="7">
        <v>397607</v>
      </c>
      <c r="F130" s="9">
        <v>5.09</v>
      </c>
      <c r="G130" s="7">
        <v>7975</v>
      </c>
    </row>
    <row r="131" spans="1:7" ht="15.75" customHeight="1">
      <c r="A131" s="21">
        <v>45747</v>
      </c>
      <c r="B131" s="14" t="s">
        <v>14</v>
      </c>
      <c r="C131" s="7">
        <v>591</v>
      </c>
      <c r="D131" s="7">
        <v>155</v>
      </c>
      <c r="E131" s="7">
        <v>138521</v>
      </c>
      <c r="F131" s="9">
        <v>7.85</v>
      </c>
      <c r="G131" s="7">
        <v>19054</v>
      </c>
    </row>
    <row r="132" spans="1:7" ht="15.75" customHeight="1">
      <c r="A132" s="21">
        <v>45747</v>
      </c>
      <c r="B132" s="14" t="s">
        <v>18</v>
      </c>
      <c r="C132" s="7">
        <v>1232</v>
      </c>
      <c r="D132" s="7">
        <v>254</v>
      </c>
      <c r="E132" s="7">
        <v>107718</v>
      </c>
      <c r="F132" s="9">
        <v>9.7100000000000009</v>
      </c>
      <c r="G132" s="7">
        <v>13740</v>
      </c>
    </row>
    <row r="133" spans="1:7" ht="15.75" customHeight="1">
      <c r="A133" s="21">
        <v>45747</v>
      </c>
      <c r="B133" s="14" t="s">
        <v>346</v>
      </c>
      <c r="C133" s="7">
        <v>1425</v>
      </c>
      <c r="D133" s="7">
        <v>58</v>
      </c>
      <c r="E133" s="7">
        <v>202234</v>
      </c>
      <c r="F133" s="9">
        <v>6.67</v>
      </c>
      <c r="G133" s="7">
        <v>18442</v>
      </c>
    </row>
    <row r="134" spans="1:7" ht="15.75" customHeight="1">
      <c r="A134" s="21">
        <v>45754</v>
      </c>
      <c r="B134" s="14" t="s">
        <v>14</v>
      </c>
      <c r="C134" s="7">
        <v>1417</v>
      </c>
      <c r="D134" s="7">
        <v>80</v>
      </c>
      <c r="E134" s="7">
        <v>340987</v>
      </c>
      <c r="F134" s="9">
        <v>6.13</v>
      </c>
      <c r="G134" s="7">
        <v>10104</v>
      </c>
    </row>
    <row r="135" spans="1:7" ht="15.75" customHeight="1">
      <c r="A135" s="21">
        <v>45754</v>
      </c>
      <c r="B135" s="14" t="s">
        <v>18</v>
      </c>
      <c r="C135" s="7">
        <v>1222</v>
      </c>
      <c r="D135" s="7">
        <v>208</v>
      </c>
      <c r="E135" s="7">
        <v>340098</v>
      </c>
      <c r="F135" s="9">
        <v>7.34</v>
      </c>
      <c r="G135" s="7">
        <v>21771</v>
      </c>
    </row>
    <row r="136" spans="1:7" ht="15.75" customHeight="1">
      <c r="A136" s="21">
        <v>45754</v>
      </c>
      <c r="B136" s="14" t="s">
        <v>346</v>
      </c>
      <c r="C136" s="7">
        <v>1071</v>
      </c>
      <c r="D136" s="7">
        <v>131</v>
      </c>
      <c r="E136" s="7">
        <v>254727</v>
      </c>
      <c r="F136" s="9">
        <v>6.87</v>
      </c>
      <c r="G136" s="7">
        <v>22191</v>
      </c>
    </row>
    <row r="137" spans="1:7" ht="15.75" customHeight="1">
      <c r="A137" s="21">
        <v>45761</v>
      </c>
      <c r="B137" s="14" t="s">
        <v>14</v>
      </c>
      <c r="C137" s="7">
        <v>772</v>
      </c>
      <c r="D137" s="7">
        <v>82</v>
      </c>
      <c r="E137" s="7">
        <v>345659</v>
      </c>
      <c r="F137" s="9">
        <v>3.52</v>
      </c>
      <c r="G137" s="7">
        <v>27753</v>
      </c>
    </row>
    <row r="138" spans="1:7" ht="15.75" customHeight="1">
      <c r="A138" s="21">
        <v>45761</v>
      </c>
      <c r="B138" s="14" t="s">
        <v>18</v>
      </c>
      <c r="C138" s="7">
        <v>1472</v>
      </c>
      <c r="D138" s="7">
        <v>137</v>
      </c>
      <c r="E138" s="7">
        <v>213950</v>
      </c>
      <c r="F138" s="9">
        <v>6.96</v>
      </c>
      <c r="G138" s="7">
        <v>23736</v>
      </c>
    </row>
    <row r="139" spans="1:7" ht="15.75" customHeight="1">
      <c r="A139" s="21">
        <v>45761</v>
      </c>
      <c r="B139" s="14" t="s">
        <v>346</v>
      </c>
      <c r="C139" s="7">
        <v>1472</v>
      </c>
      <c r="D139" s="7">
        <v>281</v>
      </c>
      <c r="E139" s="7">
        <v>258115</v>
      </c>
      <c r="F139" s="9">
        <v>7.23</v>
      </c>
      <c r="G139" s="7">
        <v>27393</v>
      </c>
    </row>
    <row r="140" spans="1:7" ht="15.75" customHeight="1">
      <c r="A140" s="21">
        <v>45768</v>
      </c>
      <c r="B140" s="14" t="s">
        <v>14</v>
      </c>
      <c r="C140" s="7">
        <v>585</v>
      </c>
      <c r="D140" s="7">
        <v>232</v>
      </c>
      <c r="E140" s="7">
        <v>321258</v>
      </c>
      <c r="F140" s="9">
        <v>7.42</v>
      </c>
      <c r="G140" s="7">
        <v>10343</v>
      </c>
    </row>
    <row r="141" spans="1:7" ht="15.75" customHeight="1">
      <c r="A141" s="21">
        <v>45768</v>
      </c>
      <c r="B141" s="14" t="s">
        <v>18</v>
      </c>
      <c r="C141" s="7">
        <v>747</v>
      </c>
      <c r="D141" s="7">
        <v>261</v>
      </c>
      <c r="E141" s="7">
        <v>338650</v>
      </c>
      <c r="F141" s="9">
        <v>7.73</v>
      </c>
      <c r="G141" s="7">
        <v>25259</v>
      </c>
    </row>
    <row r="142" spans="1:7" ht="15.75" customHeight="1">
      <c r="A142" s="21">
        <v>45768</v>
      </c>
      <c r="B142" s="14" t="s">
        <v>346</v>
      </c>
      <c r="C142" s="7">
        <v>1113</v>
      </c>
      <c r="D142" s="7">
        <v>224</v>
      </c>
      <c r="E142" s="7">
        <v>272989</v>
      </c>
      <c r="F142" s="9">
        <v>5.13</v>
      </c>
      <c r="G142" s="7">
        <v>24827</v>
      </c>
    </row>
    <row r="143" spans="1:7" ht="15.75" customHeight="1">
      <c r="A143" s="21">
        <v>45775</v>
      </c>
      <c r="B143" s="14" t="s">
        <v>14</v>
      </c>
      <c r="C143" s="7">
        <v>1100</v>
      </c>
      <c r="D143" s="7">
        <v>117</v>
      </c>
      <c r="E143" s="7">
        <v>260204</v>
      </c>
      <c r="F143" s="9">
        <v>4.4000000000000004</v>
      </c>
      <c r="G143" s="7">
        <v>11908</v>
      </c>
    </row>
    <row r="144" spans="1:7" ht="15.75" customHeight="1">
      <c r="A144" s="21">
        <v>45775</v>
      </c>
      <c r="B144" s="14" t="s">
        <v>18</v>
      </c>
      <c r="C144" s="7">
        <v>751</v>
      </c>
      <c r="D144" s="7">
        <v>170</v>
      </c>
      <c r="E144" s="7">
        <v>283278</v>
      </c>
      <c r="F144" s="9">
        <v>3.49</v>
      </c>
      <c r="G144" s="7">
        <v>11005</v>
      </c>
    </row>
    <row r="145" spans="1:7" ht="15.75" customHeight="1">
      <c r="A145" s="21">
        <v>45775</v>
      </c>
      <c r="B145" s="14" t="s">
        <v>346</v>
      </c>
      <c r="C145" s="7">
        <v>864</v>
      </c>
      <c r="D145" s="7">
        <v>50</v>
      </c>
      <c r="E145" s="7">
        <v>277445</v>
      </c>
      <c r="F145" s="9">
        <v>3.57</v>
      </c>
      <c r="G145" s="7">
        <v>26333</v>
      </c>
    </row>
    <row r="146" spans="1:7" ht="15.75" customHeight="1">
      <c r="A146" s="21">
        <v>45782</v>
      </c>
      <c r="B146" s="14" t="s">
        <v>14</v>
      </c>
      <c r="C146" s="7">
        <v>1146</v>
      </c>
      <c r="D146" s="7">
        <v>227</v>
      </c>
      <c r="E146" s="7">
        <v>353781</v>
      </c>
      <c r="F146" s="9">
        <v>6.41</v>
      </c>
      <c r="G146" s="7">
        <v>5495</v>
      </c>
    </row>
    <row r="147" spans="1:7" ht="15.75" customHeight="1">
      <c r="A147" s="21">
        <v>45782</v>
      </c>
      <c r="B147" s="14" t="s">
        <v>18</v>
      </c>
      <c r="C147" s="7">
        <v>883</v>
      </c>
      <c r="D147" s="7">
        <v>207</v>
      </c>
      <c r="E147" s="7">
        <v>265019</v>
      </c>
      <c r="F147" s="9">
        <v>6.04</v>
      </c>
      <c r="G147" s="7">
        <v>15655</v>
      </c>
    </row>
    <row r="148" spans="1:7" ht="15.75" customHeight="1">
      <c r="A148" s="21">
        <v>45782</v>
      </c>
      <c r="B148" s="14" t="s">
        <v>346</v>
      </c>
      <c r="C148" s="7">
        <v>622</v>
      </c>
      <c r="D148" s="7">
        <v>163</v>
      </c>
      <c r="E148" s="7">
        <v>231925</v>
      </c>
      <c r="F148" s="9">
        <v>9.18</v>
      </c>
      <c r="G148" s="7">
        <v>13763</v>
      </c>
    </row>
    <row r="149" spans="1:7" ht="15.75" customHeight="1">
      <c r="A149" s="21">
        <v>45789</v>
      </c>
      <c r="B149" s="14" t="s">
        <v>14</v>
      </c>
      <c r="C149" s="7">
        <v>837</v>
      </c>
      <c r="D149" s="7">
        <v>261</v>
      </c>
      <c r="E149" s="7">
        <v>366149</v>
      </c>
      <c r="F149" s="9">
        <v>6.54</v>
      </c>
      <c r="G149" s="7">
        <v>26073</v>
      </c>
    </row>
    <row r="150" spans="1:7" ht="15.75" customHeight="1">
      <c r="A150" s="21">
        <v>45789</v>
      </c>
      <c r="B150" s="14" t="s">
        <v>18</v>
      </c>
      <c r="C150" s="7">
        <v>544</v>
      </c>
      <c r="D150" s="7">
        <v>97</v>
      </c>
      <c r="E150" s="7">
        <v>168375</v>
      </c>
      <c r="F150" s="9">
        <v>8.66</v>
      </c>
      <c r="G150" s="7">
        <v>12774</v>
      </c>
    </row>
    <row r="151" spans="1:7" ht="15.75" customHeight="1">
      <c r="A151" s="21">
        <v>45789</v>
      </c>
      <c r="B151" s="14" t="s">
        <v>346</v>
      </c>
      <c r="C151" s="7">
        <v>624</v>
      </c>
      <c r="D151" s="7">
        <v>247</v>
      </c>
      <c r="E151" s="7">
        <v>252763</v>
      </c>
      <c r="F151" s="9">
        <v>3.89</v>
      </c>
      <c r="G151" s="7">
        <v>19000</v>
      </c>
    </row>
    <row r="152" spans="1:7" ht="15.75" customHeight="1">
      <c r="A152" s="21">
        <v>45796</v>
      </c>
      <c r="B152" s="14" t="s">
        <v>14</v>
      </c>
      <c r="C152" s="7">
        <v>1073</v>
      </c>
      <c r="D152" s="7">
        <v>141</v>
      </c>
      <c r="E152" s="7">
        <v>118393</v>
      </c>
      <c r="F152" s="9">
        <v>7.95</v>
      </c>
      <c r="G152" s="7">
        <v>14051</v>
      </c>
    </row>
    <row r="153" spans="1:7" ht="15.75" customHeight="1">
      <c r="A153" s="21">
        <v>45796</v>
      </c>
      <c r="B153" s="14" t="s">
        <v>18</v>
      </c>
      <c r="C153" s="7">
        <v>1430</v>
      </c>
      <c r="D153" s="7">
        <v>74</v>
      </c>
      <c r="E153" s="7">
        <v>327012</v>
      </c>
      <c r="F153" s="9">
        <v>6.66</v>
      </c>
      <c r="G153" s="7">
        <v>27782</v>
      </c>
    </row>
    <row r="154" spans="1:7" ht="15.75" customHeight="1">
      <c r="A154" s="21">
        <v>45796</v>
      </c>
      <c r="B154" s="14" t="s">
        <v>346</v>
      </c>
      <c r="C154" s="7">
        <v>1358</v>
      </c>
      <c r="D154" s="7">
        <v>77</v>
      </c>
      <c r="E154" s="7">
        <v>169688</v>
      </c>
      <c r="F154" s="9">
        <v>5.25</v>
      </c>
      <c r="G154" s="7">
        <v>7859</v>
      </c>
    </row>
    <row r="155" spans="1:7" ht="15.75" customHeight="1">
      <c r="A155" s="21">
        <v>45803</v>
      </c>
      <c r="B155" s="14" t="s">
        <v>14</v>
      </c>
      <c r="C155" s="7">
        <v>1242</v>
      </c>
      <c r="D155" s="7">
        <v>201</v>
      </c>
      <c r="E155" s="7">
        <v>271935</v>
      </c>
      <c r="F155" s="9">
        <v>5.07</v>
      </c>
      <c r="G155" s="7">
        <v>15773</v>
      </c>
    </row>
    <row r="156" spans="1:7" ht="15.75" customHeight="1">
      <c r="A156" s="21">
        <v>45803</v>
      </c>
      <c r="B156" s="14" t="s">
        <v>18</v>
      </c>
      <c r="C156" s="7">
        <v>1389</v>
      </c>
      <c r="D156" s="7">
        <v>205</v>
      </c>
      <c r="E156" s="7">
        <v>315981</v>
      </c>
      <c r="F156" s="9">
        <v>7.62</v>
      </c>
      <c r="G156" s="7">
        <v>20595</v>
      </c>
    </row>
    <row r="157" spans="1:7" ht="15.75" customHeight="1">
      <c r="A157" s="21">
        <v>45803</v>
      </c>
      <c r="B157" s="14" t="s">
        <v>346</v>
      </c>
      <c r="C157" s="7">
        <v>826</v>
      </c>
      <c r="D157" s="7">
        <v>142</v>
      </c>
      <c r="E157" s="7">
        <v>341016</v>
      </c>
      <c r="F157" s="9">
        <v>7.44</v>
      </c>
      <c r="G157" s="7">
        <v>12031</v>
      </c>
    </row>
    <row r="158" spans="1:7" ht="15.75" customHeight="1">
      <c r="A158" s="21">
        <v>45810</v>
      </c>
      <c r="B158" s="14" t="s">
        <v>14</v>
      </c>
      <c r="C158" s="7">
        <v>618</v>
      </c>
      <c r="D158" s="7">
        <v>264</v>
      </c>
      <c r="E158" s="7">
        <v>285164</v>
      </c>
      <c r="F158" s="9">
        <v>4.8600000000000003</v>
      </c>
      <c r="G158" s="7">
        <v>15128</v>
      </c>
    </row>
    <row r="159" spans="1:7" ht="15.75" customHeight="1">
      <c r="A159" s="21">
        <v>45810</v>
      </c>
      <c r="B159" s="14" t="s">
        <v>18</v>
      </c>
      <c r="C159" s="7">
        <v>1419</v>
      </c>
      <c r="D159" s="7">
        <v>293</v>
      </c>
      <c r="E159" s="7">
        <v>116632</v>
      </c>
      <c r="F159" s="9">
        <v>6.93</v>
      </c>
      <c r="G159" s="7">
        <v>11826</v>
      </c>
    </row>
    <row r="160" spans="1:7" ht="15.75" customHeight="1">
      <c r="A160" s="21">
        <v>45810</v>
      </c>
      <c r="B160" s="14" t="s">
        <v>346</v>
      </c>
      <c r="C160" s="7">
        <v>637</v>
      </c>
      <c r="D160" s="7">
        <v>68</v>
      </c>
      <c r="E160" s="7">
        <v>115694</v>
      </c>
      <c r="F160" s="9">
        <v>9.99</v>
      </c>
      <c r="G160" s="7">
        <v>12562</v>
      </c>
    </row>
    <row r="161" spans="1:7" ht="15.75" customHeight="1">
      <c r="A161" s="21">
        <v>45817</v>
      </c>
      <c r="B161" s="14" t="s">
        <v>14</v>
      </c>
      <c r="C161" s="7">
        <v>917</v>
      </c>
      <c r="D161" s="7">
        <v>187</v>
      </c>
      <c r="E161" s="7">
        <v>64444</v>
      </c>
      <c r="F161" s="9">
        <v>5.22</v>
      </c>
      <c r="G161" s="7">
        <v>13013</v>
      </c>
    </row>
    <row r="162" spans="1:7" ht="15.75" customHeight="1">
      <c r="A162" s="21">
        <v>45817</v>
      </c>
      <c r="B162" s="14" t="s">
        <v>18</v>
      </c>
      <c r="C162" s="7">
        <v>810</v>
      </c>
      <c r="D162" s="7">
        <v>232</v>
      </c>
      <c r="E162" s="7">
        <v>362559</v>
      </c>
      <c r="F162" s="9">
        <v>5.17</v>
      </c>
      <c r="G162" s="7">
        <v>12937</v>
      </c>
    </row>
    <row r="163" spans="1:7" ht="15.75" customHeight="1">
      <c r="A163" s="21">
        <v>45817</v>
      </c>
      <c r="B163" s="14" t="s">
        <v>346</v>
      </c>
      <c r="C163" s="7">
        <v>1183</v>
      </c>
      <c r="D163" s="7">
        <v>248</v>
      </c>
      <c r="E163" s="7">
        <v>226881</v>
      </c>
      <c r="F163" s="9">
        <v>5.17</v>
      </c>
      <c r="G163" s="7">
        <v>14534</v>
      </c>
    </row>
    <row r="164" spans="1:7" ht="15.75" customHeight="1">
      <c r="A164" s="21">
        <v>45824</v>
      </c>
      <c r="B164" s="14" t="s">
        <v>14</v>
      </c>
      <c r="C164" s="7">
        <v>765</v>
      </c>
      <c r="D164" s="7">
        <v>67</v>
      </c>
      <c r="E164" s="7">
        <v>283537</v>
      </c>
      <c r="F164" s="9">
        <v>6.18</v>
      </c>
      <c r="G164" s="7">
        <v>8182</v>
      </c>
    </row>
    <row r="165" spans="1:7" ht="15.75" customHeight="1">
      <c r="A165" s="21">
        <v>45824</v>
      </c>
      <c r="B165" s="14" t="s">
        <v>18</v>
      </c>
      <c r="C165" s="7">
        <v>540</v>
      </c>
      <c r="D165" s="7">
        <v>215</v>
      </c>
      <c r="E165" s="7">
        <v>62837</v>
      </c>
      <c r="F165" s="9">
        <v>5.3</v>
      </c>
      <c r="G165" s="7">
        <v>10615</v>
      </c>
    </row>
    <row r="166" spans="1:7" ht="15.75" customHeight="1">
      <c r="A166" s="21">
        <v>45824</v>
      </c>
      <c r="B166" s="14" t="s">
        <v>346</v>
      </c>
      <c r="C166" s="7">
        <v>1145</v>
      </c>
      <c r="D166" s="7">
        <v>151</v>
      </c>
      <c r="E166" s="7">
        <v>182759</v>
      </c>
      <c r="F166" s="9">
        <v>5.99</v>
      </c>
      <c r="G166" s="7">
        <v>20109</v>
      </c>
    </row>
    <row r="167" spans="1:7" ht="15.75" customHeight="1">
      <c r="A167" s="21">
        <v>45831</v>
      </c>
      <c r="B167" s="14" t="s">
        <v>14</v>
      </c>
      <c r="C167" s="7">
        <v>564</v>
      </c>
      <c r="D167" s="7">
        <v>244</v>
      </c>
      <c r="E167" s="7">
        <v>279405</v>
      </c>
      <c r="F167" s="9">
        <v>8.43</v>
      </c>
      <c r="G167" s="7">
        <v>26024</v>
      </c>
    </row>
    <row r="168" spans="1:7" ht="15.75" customHeight="1">
      <c r="A168" s="21">
        <v>45831</v>
      </c>
      <c r="B168" s="14" t="s">
        <v>18</v>
      </c>
      <c r="C168" s="7">
        <v>668</v>
      </c>
      <c r="D168" s="7">
        <v>124</v>
      </c>
      <c r="E168" s="7">
        <v>257485</v>
      </c>
      <c r="F168" s="9">
        <v>7.55</v>
      </c>
      <c r="G168" s="7">
        <v>26730</v>
      </c>
    </row>
    <row r="169" spans="1:7" ht="15.75" customHeight="1">
      <c r="A169" s="21">
        <v>45831</v>
      </c>
      <c r="B169" s="14" t="s">
        <v>346</v>
      </c>
      <c r="C169" s="7">
        <v>761</v>
      </c>
      <c r="D169" s="7">
        <v>241</v>
      </c>
      <c r="E169" s="7">
        <v>154977</v>
      </c>
      <c r="F169" s="9">
        <v>5.63</v>
      </c>
      <c r="G169" s="7">
        <v>10563</v>
      </c>
    </row>
    <row r="170" spans="1:7" ht="15.75" customHeight="1">
      <c r="A170" s="21">
        <v>45838</v>
      </c>
      <c r="B170" s="14" t="s">
        <v>14</v>
      </c>
      <c r="C170" s="7">
        <v>593</v>
      </c>
      <c r="D170" s="7">
        <v>108</v>
      </c>
      <c r="E170" s="7">
        <v>216500</v>
      </c>
      <c r="F170" s="9">
        <v>4.71</v>
      </c>
      <c r="G170" s="7">
        <v>27575</v>
      </c>
    </row>
    <row r="171" spans="1:7" ht="15.75" customHeight="1">
      <c r="A171" s="21">
        <v>45838</v>
      </c>
      <c r="B171" s="14" t="s">
        <v>18</v>
      </c>
      <c r="C171" s="7">
        <v>1349</v>
      </c>
      <c r="D171" s="7">
        <v>115</v>
      </c>
      <c r="E171" s="7">
        <v>102102</v>
      </c>
      <c r="F171" s="9">
        <v>5.28</v>
      </c>
      <c r="G171" s="7">
        <v>14479</v>
      </c>
    </row>
    <row r="172" spans="1:7" ht="15.75" customHeight="1">
      <c r="A172" s="21">
        <v>45838</v>
      </c>
      <c r="B172" s="14" t="s">
        <v>346</v>
      </c>
      <c r="C172" s="7">
        <v>693</v>
      </c>
      <c r="D172" s="7">
        <v>97</v>
      </c>
      <c r="E172" s="7">
        <v>92025</v>
      </c>
      <c r="F172" s="9">
        <v>5.95</v>
      </c>
      <c r="G172" s="7">
        <v>15915</v>
      </c>
    </row>
    <row r="173" spans="1:7" ht="15.75" customHeight="1">
      <c r="A173" s="21">
        <v>45845</v>
      </c>
      <c r="B173" s="14" t="s">
        <v>14</v>
      </c>
      <c r="C173" s="7">
        <v>974</v>
      </c>
      <c r="D173" s="7">
        <v>143</v>
      </c>
      <c r="E173" s="7">
        <v>247965</v>
      </c>
      <c r="F173" s="9">
        <v>9.98</v>
      </c>
      <c r="G173" s="7">
        <v>12767</v>
      </c>
    </row>
    <row r="174" spans="1:7" ht="15.75" customHeight="1">
      <c r="A174" s="21">
        <v>45845</v>
      </c>
      <c r="B174" s="14" t="s">
        <v>18</v>
      </c>
      <c r="C174" s="7">
        <v>1155</v>
      </c>
      <c r="D174" s="7">
        <v>122</v>
      </c>
      <c r="E174" s="7">
        <v>387352</v>
      </c>
      <c r="F174" s="9">
        <v>9.93</v>
      </c>
      <c r="G174" s="7">
        <v>12170</v>
      </c>
    </row>
    <row r="175" spans="1:7" ht="15.75" customHeight="1">
      <c r="A175" s="21">
        <v>45845</v>
      </c>
      <c r="B175" s="14" t="s">
        <v>346</v>
      </c>
      <c r="C175" s="7">
        <v>1051</v>
      </c>
      <c r="D175" s="7">
        <v>246</v>
      </c>
      <c r="E175" s="7">
        <v>253985</v>
      </c>
      <c r="F175" s="9">
        <v>9.08</v>
      </c>
      <c r="G175" s="7">
        <v>7245</v>
      </c>
    </row>
    <row r="176" spans="1:7" ht="15.75" customHeight="1">
      <c r="A176" s="21">
        <v>45852</v>
      </c>
      <c r="B176" s="14" t="s">
        <v>14</v>
      </c>
      <c r="C176" s="7">
        <v>1457</v>
      </c>
      <c r="D176" s="7">
        <v>183</v>
      </c>
      <c r="E176" s="7">
        <v>129640</v>
      </c>
      <c r="F176" s="9">
        <v>7.98</v>
      </c>
      <c r="G176" s="7">
        <v>12985</v>
      </c>
    </row>
    <row r="177" spans="1:7" ht="15.75" customHeight="1">
      <c r="A177" s="21">
        <v>45852</v>
      </c>
      <c r="B177" s="14" t="s">
        <v>18</v>
      </c>
      <c r="C177" s="7">
        <v>670</v>
      </c>
      <c r="D177" s="7">
        <v>242</v>
      </c>
      <c r="E177" s="7">
        <v>281913</v>
      </c>
      <c r="F177" s="9">
        <v>9.6199999999999992</v>
      </c>
      <c r="G177" s="7">
        <v>16377</v>
      </c>
    </row>
    <row r="178" spans="1:7" ht="15.75" customHeight="1">
      <c r="A178" s="21">
        <v>45852</v>
      </c>
      <c r="B178" s="14" t="s">
        <v>346</v>
      </c>
      <c r="C178" s="7">
        <v>1111</v>
      </c>
      <c r="D178" s="7">
        <v>159</v>
      </c>
      <c r="E178" s="7">
        <v>360770</v>
      </c>
      <c r="F178" s="9">
        <v>8.7100000000000009</v>
      </c>
      <c r="G178" s="7">
        <v>11453</v>
      </c>
    </row>
    <row r="179" spans="1:7" ht="15.75" customHeight="1">
      <c r="A179" s="21">
        <v>45859</v>
      </c>
      <c r="B179" s="14" t="s">
        <v>14</v>
      </c>
      <c r="C179" s="7">
        <v>1197</v>
      </c>
      <c r="D179" s="7">
        <v>246</v>
      </c>
      <c r="E179" s="7">
        <v>127273</v>
      </c>
      <c r="F179" s="9">
        <v>6.69</v>
      </c>
      <c r="G179" s="7">
        <v>12323</v>
      </c>
    </row>
    <row r="180" spans="1:7" ht="15.75" customHeight="1">
      <c r="A180" s="21">
        <v>45859</v>
      </c>
      <c r="B180" s="14" t="s">
        <v>18</v>
      </c>
      <c r="C180" s="7">
        <v>754</v>
      </c>
      <c r="D180" s="7">
        <v>150</v>
      </c>
      <c r="E180" s="7">
        <v>189622</v>
      </c>
      <c r="F180" s="9">
        <v>4.25</v>
      </c>
      <c r="G180" s="7">
        <v>11911</v>
      </c>
    </row>
    <row r="181" spans="1:7" ht="15.75" customHeight="1">
      <c r="A181" s="21">
        <v>45859</v>
      </c>
      <c r="B181" s="14" t="s">
        <v>346</v>
      </c>
      <c r="C181" s="7">
        <v>1246</v>
      </c>
      <c r="D181" s="7">
        <v>107</v>
      </c>
      <c r="E181" s="7">
        <v>350949</v>
      </c>
      <c r="F181" s="9">
        <v>4.9800000000000004</v>
      </c>
      <c r="G181" s="7">
        <v>27809</v>
      </c>
    </row>
    <row r="182" spans="1:7" ht="15.75" customHeight="1">
      <c r="A182" s="21">
        <v>45866</v>
      </c>
      <c r="B182" s="14" t="s">
        <v>14</v>
      </c>
      <c r="C182" s="7">
        <v>780</v>
      </c>
      <c r="D182" s="7">
        <v>213</v>
      </c>
      <c r="E182" s="7">
        <v>121431</v>
      </c>
      <c r="F182" s="9">
        <v>4.97</v>
      </c>
      <c r="G182" s="7">
        <v>21464</v>
      </c>
    </row>
    <row r="183" spans="1:7" ht="15.75" customHeight="1">
      <c r="A183" s="21">
        <v>45866</v>
      </c>
      <c r="B183" s="14" t="s">
        <v>18</v>
      </c>
      <c r="C183" s="7">
        <v>1425</v>
      </c>
      <c r="D183" s="7">
        <v>143</v>
      </c>
      <c r="E183" s="7">
        <v>116742</v>
      </c>
      <c r="F183" s="9">
        <v>3.71</v>
      </c>
      <c r="G183" s="7">
        <v>27126</v>
      </c>
    </row>
    <row r="184" spans="1:7" ht="15.75" customHeight="1">
      <c r="A184" s="21">
        <v>45866</v>
      </c>
      <c r="B184" s="14" t="s">
        <v>346</v>
      </c>
      <c r="C184" s="7">
        <v>1490</v>
      </c>
      <c r="D184" s="7">
        <v>103</v>
      </c>
      <c r="E184" s="7">
        <v>81184</v>
      </c>
      <c r="F184" s="9">
        <v>7.79</v>
      </c>
      <c r="G184" s="7">
        <v>10681</v>
      </c>
    </row>
    <row r="185" spans="1:7" ht="15.75" customHeight="1">
      <c r="A185" s="21">
        <v>45873</v>
      </c>
      <c r="B185" s="14" t="s">
        <v>14</v>
      </c>
      <c r="C185" s="7">
        <v>949</v>
      </c>
      <c r="D185" s="7">
        <v>282</v>
      </c>
      <c r="E185" s="7">
        <v>87126</v>
      </c>
      <c r="F185" s="9">
        <v>4.96</v>
      </c>
      <c r="G185" s="7">
        <v>5413</v>
      </c>
    </row>
    <row r="186" spans="1:7" ht="15.75" customHeight="1">
      <c r="A186" s="21">
        <v>45873</v>
      </c>
      <c r="B186" s="14" t="s">
        <v>18</v>
      </c>
      <c r="C186" s="7">
        <v>640</v>
      </c>
      <c r="D186" s="7">
        <v>141</v>
      </c>
      <c r="E186" s="7">
        <v>267546</v>
      </c>
      <c r="F186" s="9">
        <v>8.58</v>
      </c>
      <c r="G186" s="7">
        <v>25058</v>
      </c>
    </row>
    <row r="187" spans="1:7" ht="15.75" customHeight="1">
      <c r="A187" s="21">
        <v>45873</v>
      </c>
      <c r="B187" s="14" t="s">
        <v>346</v>
      </c>
      <c r="C187" s="7">
        <v>616</v>
      </c>
      <c r="D187" s="7">
        <v>93</v>
      </c>
      <c r="E187" s="7">
        <v>133082</v>
      </c>
      <c r="F187" s="9">
        <v>8.51</v>
      </c>
      <c r="G187" s="7">
        <v>18303</v>
      </c>
    </row>
    <row r="188" spans="1:7" ht="15.75" customHeight="1">
      <c r="A188" s="21">
        <v>45880</v>
      </c>
      <c r="B188" s="14" t="s">
        <v>14</v>
      </c>
      <c r="C188" s="7">
        <v>1080</v>
      </c>
      <c r="D188" s="7">
        <v>184</v>
      </c>
      <c r="E188" s="7">
        <v>340557</v>
      </c>
      <c r="F188" s="9">
        <v>5.41</v>
      </c>
      <c r="G188" s="7">
        <v>5526</v>
      </c>
    </row>
    <row r="189" spans="1:7" ht="15.75" customHeight="1">
      <c r="A189" s="21">
        <v>45880</v>
      </c>
      <c r="B189" s="14" t="s">
        <v>18</v>
      </c>
      <c r="C189" s="7">
        <v>938</v>
      </c>
      <c r="D189" s="7">
        <v>236</v>
      </c>
      <c r="E189" s="7">
        <v>116472</v>
      </c>
      <c r="F189" s="9">
        <v>8.7200000000000006</v>
      </c>
      <c r="G189" s="7">
        <v>17460</v>
      </c>
    </row>
    <row r="190" spans="1:7" ht="15.75" customHeight="1">
      <c r="A190" s="21">
        <v>45880</v>
      </c>
      <c r="B190" s="14" t="s">
        <v>346</v>
      </c>
      <c r="C190" s="7">
        <v>1007</v>
      </c>
      <c r="D190" s="7">
        <v>258</v>
      </c>
      <c r="E190" s="7">
        <v>113412</v>
      </c>
      <c r="F190" s="9">
        <v>7.71</v>
      </c>
      <c r="G190" s="7">
        <v>14475</v>
      </c>
    </row>
    <row r="191" spans="1:7" ht="15.75" customHeight="1">
      <c r="A191" s="21">
        <v>45887</v>
      </c>
      <c r="B191" s="14" t="s">
        <v>14</v>
      </c>
      <c r="C191" s="7">
        <v>541</v>
      </c>
      <c r="D191" s="7">
        <v>208</v>
      </c>
      <c r="E191" s="7">
        <v>157547</v>
      </c>
      <c r="F191" s="9">
        <v>8.35</v>
      </c>
      <c r="G191" s="7">
        <v>20162</v>
      </c>
    </row>
    <row r="192" spans="1:7" ht="15.75" customHeight="1">
      <c r="A192" s="21">
        <v>45887</v>
      </c>
      <c r="B192" s="14" t="s">
        <v>18</v>
      </c>
      <c r="C192" s="7">
        <v>745</v>
      </c>
      <c r="D192" s="7">
        <v>98</v>
      </c>
      <c r="E192" s="7">
        <v>354816</v>
      </c>
      <c r="F192" s="9">
        <v>4.03</v>
      </c>
      <c r="G192" s="7">
        <v>17103</v>
      </c>
    </row>
    <row r="193" spans="1:7" ht="15.75" customHeight="1">
      <c r="A193" s="21">
        <v>45887</v>
      </c>
      <c r="B193" s="14" t="s">
        <v>346</v>
      </c>
      <c r="C193" s="7">
        <v>936</v>
      </c>
      <c r="D193" s="7">
        <v>97</v>
      </c>
      <c r="E193" s="7">
        <v>151799</v>
      </c>
      <c r="F193" s="9">
        <v>9.3699999999999992</v>
      </c>
      <c r="G193" s="7">
        <v>15461</v>
      </c>
    </row>
    <row r="194" spans="1:7" ht="15.75" customHeight="1">
      <c r="A194" s="21">
        <v>45894</v>
      </c>
      <c r="B194" s="14" t="s">
        <v>14</v>
      </c>
      <c r="C194" s="7">
        <v>1183</v>
      </c>
      <c r="D194" s="7">
        <v>223</v>
      </c>
      <c r="E194" s="7">
        <v>143811</v>
      </c>
      <c r="F194" s="9">
        <v>6.07</v>
      </c>
      <c r="G194" s="7">
        <v>22103</v>
      </c>
    </row>
    <row r="195" spans="1:7" ht="15.75" customHeight="1">
      <c r="A195" s="21">
        <v>45894</v>
      </c>
      <c r="B195" s="14" t="s">
        <v>18</v>
      </c>
      <c r="C195" s="7">
        <v>1413</v>
      </c>
      <c r="D195" s="7">
        <v>245</v>
      </c>
      <c r="E195" s="7">
        <v>296450</v>
      </c>
      <c r="F195" s="9">
        <v>6.52</v>
      </c>
      <c r="G195" s="7">
        <v>11625</v>
      </c>
    </row>
    <row r="196" spans="1:7" ht="15.75" customHeight="1">
      <c r="A196" s="21">
        <v>45894</v>
      </c>
      <c r="B196" s="14" t="s">
        <v>346</v>
      </c>
      <c r="C196" s="7">
        <v>791</v>
      </c>
      <c r="D196" s="7">
        <v>273</v>
      </c>
      <c r="E196" s="7">
        <v>144049</v>
      </c>
      <c r="F196" s="9">
        <v>3.08</v>
      </c>
      <c r="G196" s="7">
        <v>5281</v>
      </c>
    </row>
    <row r="197" spans="1:7" ht="15.75" customHeight="1">
      <c r="A197" s="21">
        <v>45901</v>
      </c>
      <c r="B197" s="14" t="s">
        <v>14</v>
      </c>
      <c r="C197" s="7">
        <v>1052</v>
      </c>
      <c r="D197" s="7">
        <v>180</v>
      </c>
      <c r="E197" s="7">
        <v>272534</v>
      </c>
      <c r="F197" s="9">
        <v>5.34</v>
      </c>
      <c r="G197" s="7">
        <v>13424</v>
      </c>
    </row>
    <row r="198" spans="1:7" ht="15.75" customHeight="1">
      <c r="A198" s="21">
        <v>45901</v>
      </c>
      <c r="B198" s="14" t="s">
        <v>18</v>
      </c>
      <c r="C198" s="7">
        <v>572</v>
      </c>
      <c r="D198" s="7">
        <v>270</v>
      </c>
      <c r="E198" s="7">
        <v>82265</v>
      </c>
      <c r="F198" s="9">
        <v>3.65</v>
      </c>
      <c r="G198" s="7">
        <v>13140</v>
      </c>
    </row>
    <row r="199" spans="1:7" ht="15.75" customHeight="1">
      <c r="A199" s="21">
        <v>45901</v>
      </c>
      <c r="B199" s="14" t="s">
        <v>346</v>
      </c>
      <c r="C199" s="7">
        <v>503</v>
      </c>
      <c r="D199" s="7">
        <v>253</v>
      </c>
      <c r="E199" s="7">
        <v>313562</v>
      </c>
      <c r="F199" s="9">
        <v>4.18</v>
      </c>
      <c r="G199" s="7">
        <v>19538</v>
      </c>
    </row>
    <row r="200" spans="1:7" ht="15.75" customHeight="1">
      <c r="A200" s="21">
        <v>45908</v>
      </c>
      <c r="B200" s="14" t="s">
        <v>14</v>
      </c>
      <c r="C200" s="7">
        <v>1017</v>
      </c>
      <c r="D200" s="7">
        <v>197</v>
      </c>
      <c r="E200" s="7">
        <v>89918</v>
      </c>
      <c r="F200" s="9">
        <v>3.91</v>
      </c>
      <c r="G200" s="7">
        <v>7881</v>
      </c>
    </row>
    <row r="201" spans="1:7" ht="15.75" customHeight="1">
      <c r="A201" s="21">
        <v>45908</v>
      </c>
      <c r="B201" s="14" t="s">
        <v>18</v>
      </c>
      <c r="C201" s="7">
        <v>860</v>
      </c>
      <c r="D201" s="7">
        <v>244</v>
      </c>
      <c r="E201" s="7">
        <v>348686</v>
      </c>
      <c r="F201" s="9">
        <v>5.12</v>
      </c>
      <c r="G201" s="7">
        <v>11418</v>
      </c>
    </row>
    <row r="202" spans="1:7" ht="15.75" customHeight="1"/>
    <row r="203" spans="1:7" ht="15.75" customHeight="1">
      <c r="A203" s="17"/>
      <c r="B203"/>
      <c r="C203"/>
      <c r="D203"/>
      <c r="E203"/>
      <c r="F203"/>
      <c r="G203"/>
    </row>
    <row r="204" spans="1:7" ht="15.75" customHeight="1">
      <c r="A204" s="17"/>
      <c r="B204"/>
      <c r="C204"/>
      <c r="D204"/>
      <c r="E204"/>
      <c r="F204"/>
      <c r="G204"/>
    </row>
    <row r="205" spans="1:7" ht="15.75" customHeight="1">
      <c r="A205" s="17"/>
      <c r="B205"/>
      <c r="C205"/>
      <c r="D205"/>
      <c r="E205"/>
      <c r="F205"/>
      <c r="G205"/>
    </row>
    <row r="206" spans="1:7" ht="15.75" customHeight="1">
      <c r="A206" s="17"/>
      <c r="B206"/>
      <c r="C206"/>
      <c r="D206"/>
      <c r="E206"/>
      <c r="F206"/>
      <c r="G206"/>
    </row>
    <row r="207" spans="1:7" ht="15.75" customHeight="1">
      <c r="A207" s="17"/>
      <c r="B207"/>
      <c r="C207"/>
      <c r="D207"/>
      <c r="E207"/>
      <c r="F207"/>
      <c r="G207"/>
    </row>
    <row r="208" spans="1:7" ht="15.75" customHeight="1">
      <c r="A208" s="17"/>
      <c r="B208"/>
      <c r="C208"/>
      <c r="D208"/>
      <c r="E208"/>
      <c r="F208"/>
      <c r="G208"/>
    </row>
    <row r="209" spans="1:1" customFormat="1" ht="15.75" customHeight="1">
      <c r="A209" s="17"/>
    </row>
    <row r="210" spans="1:1" customFormat="1" ht="15.75" customHeight="1">
      <c r="A210" s="17"/>
    </row>
    <row r="211" spans="1:1" customFormat="1" ht="15.75" customHeight="1">
      <c r="A211" s="17"/>
    </row>
    <row r="212" spans="1:1" customFormat="1" ht="15.75" customHeight="1">
      <c r="A212" s="17"/>
    </row>
    <row r="213" spans="1:1" customFormat="1" ht="15.75" customHeight="1">
      <c r="A213" s="17"/>
    </row>
    <row r="214" spans="1:1" customFormat="1" ht="15.75" customHeight="1">
      <c r="A214" s="17"/>
    </row>
    <row r="215" spans="1:1" customFormat="1" ht="15.75" customHeight="1">
      <c r="A215" s="17"/>
    </row>
    <row r="216" spans="1:1" customFormat="1" ht="15.75" customHeight="1">
      <c r="A216" s="17"/>
    </row>
    <row r="217" spans="1:1" customFormat="1" ht="15.75" customHeight="1">
      <c r="A217" s="17"/>
    </row>
    <row r="218" spans="1:1" customFormat="1" ht="15.75" customHeight="1">
      <c r="A218" s="17"/>
    </row>
    <row r="219" spans="1:1" customFormat="1" ht="15.75" customHeight="1">
      <c r="A219" s="17"/>
    </row>
    <row r="220" spans="1:1" customFormat="1" ht="15.75" customHeight="1">
      <c r="A220" s="17"/>
    </row>
    <row r="221" spans="1:1" customFormat="1" ht="15.75" customHeight="1">
      <c r="A221" s="17"/>
    </row>
    <row r="222" spans="1:1" customFormat="1" ht="15.75" customHeight="1">
      <c r="A222" s="17"/>
    </row>
    <row r="223" spans="1:1" customFormat="1" ht="15.75" customHeight="1">
      <c r="A223" s="17"/>
    </row>
    <row r="224" spans="1:1" customFormat="1" ht="15.75" customHeight="1">
      <c r="A224" s="17"/>
    </row>
    <row r="225" spans="1:1" customFormat="1" ht="15.75" customHeight="1">
      <c r="A225" s="17"/>
    </row>
    <row r="226" spans="1:1" customFormat="1" ht="15.75" customHeight="1">
      <c r="A226" s="17"/>
    </row>
    <row r="227" spans="1:1" customFormat="1" ht="15.75" customHeight="1">
      <c r="A227" s="17"/>
    </row>
    <row r="228" spans="1:1" customFormat="1" ht="15.75" customHeight="1">
      <c r="A228" s="17"/>
    </row>
    <row r="229" spans="1:1" customFormat="1" ht="15.75" customHeight="1">
      <c r="A229" s="17"/>
    </row>
    <row r="230" spans="1:1" customFormat="1" ht="15.75" customHeight="1">
      <c r="A230" s="17"/>
    </row>
    <row r="231" spans="1:1" customFormat="1" ht="15.75" customHeight="1">
      <c r="A231" s="17"/>
    </row>
    <row r="232" spans="1:1" customFormat="1" ht="15.75" customHeight="1">
      <c r="A232" s="17"/>
    </row>
    <row r="233" spans="1:1" customFormat="1" ht="15.75" customHeight="1">
      <c r="A233" s="17"/>
    </row>
    <row r="234" spans="1:1" customFormat="1" ht="15.75" customHeight="1">
      <c r="A234" s="17"/>
    </row>
    <row r="235" spans="1:1" customFormat="1" ht="15.75" customHeight="1">
      <c r="A235" s="17"/>
    </row>
    <row r="236" spans="1:1" customFormat="1" ht="15.75" customHeight="1">
      <c r="A236" s="17"/>
    </row>
    <row r="237" spans="1:1" customFormat="1" ht="15.75" customHeight="1">
      <c r="A237" s="17"/>
    </row>
    <row r="238" spans="1:1" customFormat="1" ht="15.75" customHeight="1">
      <c r="A238" s="17"/>
    </row>
    <row r="239" spans="1:1" customFormat="1" ht="15.75" customHeight="1">
      <c r="A239" s="17"/>
    </row>
    <row r="240" spans="1:1" customFormat="1" ht="15.75" customHeight="1">
      <c r="A240" s="17"/>
    </row>
    <row r="241" spans="1:1" customFormat="1" ht="15.75" customHeight="1">
      <c r="A241" s="17"/>
    </row>
    <row r="242" spans="1:1" customFormat="1" ht="15.75" customHeight="1">
      <c r="A242" s="17"/>
    </row>
    <row r="243" spans="1:1" customFormat="1" ht="15.75" customHeight="1">
      <c r="A243" s="17"/>
    </row>
    <row r="244" spans="1:1" customFormat="1" ht="15.75" customHeight="1">
      <c r="A244" s="17"/>
    </row>
    <row r="245" spans="1:1" customFormat="1" ht="15.75" customHeight="1">
      <c r="A245" s="17"/>
    </row>
    <row r="246" spans="1:1" customFormat="1" ht="15.75" customHeight="1">
      <c r="A246" s="17"/>
    </row>
    <row r="247" spans="1:1" customFormat="1" ht="15.75" customHeight="1">
      <c r="A247" s="17"/>
    </row>
    <row r="248" spans="1:1" customFormat="1" ht="15.75" customHeight="1">
      <c r="A248" s="17"/>
    </row>
    <row r="249" spans="1:1" customFormat="1" ht="15.75" customHeight="1">
      <c r="A249" s="17"/>
    </row>
    <row r="250" spans="1:1" customFormat="1" ht="15.75" customHeight="1">
      <c r="A250" s="17"/>
    </row>
    <row r="251" spans="1:1" customFormat="1" ht="15.75" customHeight="1">
      <c r="A251" s="17"/>
    </row>
    <row r="252" spans="1:1" customFormat="1" ht="15.75" customHeight="1">
      <c r="A252" s="17"/>
    </row>
    <row r="253" spans="1:1" customFormat="1" ht="15.75" customHeight="1">
      <c r="A253" s="17"/>
    </row>
    <row r="254" spans="1:1" customFormat="1" ht="15.75" customHeight="1">
      <c r="A254" s="17"/>
    </row>
    <row r="255" spans="1:1" customFormat="1" ht="15.75" customHeight="1">
      <c r="A255" s="17"/>
    </row>
    <row r="256" spans="1:1" customFormat="1" ht="15.75" customHeight="1">
      <c r="A256" s="17"/>
    </row>
    <row r="257" spans="1:1" customFormat="1" ht="15.75" customHeight="1">
      <c r="A257" s="17"/>
    </row>
    <row r="258" spans="1:1" customFormat="1" ht="15.75" customHeight="1">
      <c r="A258" s="17"/>
    </row>
    <row r="259" spans="1:1" customFormat="1" ht="15.75" customHeight="1">
      <c r="A259" s="17"/>
    </row>
    <row r="260" spans="1:1" customFormat="1" ht="15.75" customHeight="1">
      <c r="A260" s="17"/>
    </row>
    <row r="261" spans="1:1" customFormat="1" ht="15.75" customHeight="1">
      <c r="A261" s="17"/>
    </row>
    <row r="262" spans="1:1" customFormat="1" ht="15.75" customHeight="1">
      <c r="A262" s="17"/>
    </row>
    <row r="263" spans="1:1" customFormat="1" ht="15.75" customHeight="1">
      <c r="A263" s="17"/>
    </row>
    <row r="264" spans="1:1" customFormat="1" ht="15.75" customHeight="1">
      <c r="A264" s="17"/>
    </row>
    <row r="265" spans="1:1" customFormat="1" ht="15.75" customHeight="1">
      <c r="A265" s="17"/>
    </row>
    <row r="266" spans="1:1" customFormat="1" ht="15.75" customHeight="1">
      <c r="A266" s="17"/>
    </row>
    <row r="267" spans="1:1" customFormat="1" ht="15.75" customHeight="1">
      <c r="A267" s="17"/>
    </row>
    <row r="268" spans="1:1" customFormat="1" ht="15.75" customHeight="1">
      <c r="A268" s="17"/>
    </row>
    <row r="269" spans="1:1" customFormat="1" ht="15.75" customHeight="1">
      <c r="A269" s="17"/>
    </row>
    <row r="270" spans="1:1" customFormat="1" ht="15.75" customHeight="1">
      <c r="A270" s="17"/>
    </row>
    <row r="271" spans="1:1" customFormat="1" ht="15.75" customHeight="1">
      <c r="A271" s="17"/>
    </row>
    <row r="272" spans="1:1" customFormat="1" ht="15.75" customHeight="1">
      <c r="A272" s="17"/>
    </row>
    <row r="273" spans="1:1" customFormat="1" ht="15.75" customHeight="1">
      <c r="A273" s="17"/>
    </row>
    <row r="274" spans="1:1" customFormat="1" ht="15.75" customHeight="1">
      <c r="A274" s="17"/>
    </row>
    <row r="275" spans="1:1" customFormat="1" ht="15.75" customHeight="1">
      <c r="A275" s="17"/>
    </row>
    <row r="276" spans="1:1" customFormat="1" ht="15.75" customHeight="1">
      <c r="A276" s="17"/>
    </row>
    <row r="277" spans="1:1" customFormat="1" ht="15.75" customHeight="1">
      <c r="A277" s="17"/>
    </row>
    <row r="278" spans="1:1" customFormat="1" ht="15.75" customHeight="1">
      <c r="A278" s="17"/>
    </row>
    <row r="279" spans="1:1" customFormat="1" ht="15.75" customHeight="1">
      <c r="A279" s="17"/>
    </row>
    <row r="280" spans="1:1" customFormat="1" ht="15.75" customHeight="1">
      <c r="A280" s="17"/>
    </row>
    <row r="281" spans="1:1" customFormat="1" ht="15.75" customHeight="1">
      <c r="A281" s="17"/>
    </row>
    <row r="282" spans="1:1" customFormat="1" ht="15.75" customHeight="1">
      <c r="A282" s="17"/>
    </row>
    <row r="283" spans="1:1" customFormat="1" ht="15.75" customHeight="1">
      <c r="A283" s="17"/>
    </row>
    <row r="284" spans="1:1" customFormat="1" ht="15.75" customHeight="1">
      <c r="A284" s="17"/>
    </row>
    <row r="285" spans="1:1" customFormat="1" ht="15.75" customHeight="1">
      <c r="A285" s="17"/>
    </row>
    <row r="286" spans="1:1" customFormat="1" ht="15.75" customHeight="1">
      <c r="A286" s="17"/>
    </row>
    <row r="287" spans="1:1" customFormat="1" ht="15.75" customHeight="1">
      <c r="A287" s="17"/>
    </row>
    <row r="288" spans="1:1" customFormat="1" ht="15.75" customHeight="1">
      <c r="A288" s="17"/>
    </row>
    <row r="289" spans="1:1" customFormat="1" ht="15.75" customHeight="1">
      <c r="A289" s="17"/>
    </row>
    <row r="290" spans="1:1" customFormat="1" ht="15.75" customHeight="1">
      <c r="A290" s="17"/>
    </row>
    <row r="291" spans="1:1" customFormat="1" ht="15.75" customHeight="1">
      <c r="A291" s="17"/>
    </row>
    <row r="292" spans="1:1" customFormat="1" ht="15.75" customHeight="1">
      <c r="A292" s="17"/>
    </row>
    <row r="293" spans="1:1" customFormat="1" ht="15.75" customHeight="1">
      <c r="A293" s="17"/>
    </row>
    <row r="294" spans="1:1" customFormat="1" ht="15.75" customHeight="1">
      <c r="A294" s="17"/>
    </row>
    <row r="295" spans="1:1" customFormat="1" ht="15.75" customHeight="1">
      <c r="A295" s="17"/>
    </row>
    <row r="296" spans="1:1" customFormat="1" ht="15.75" customHeight="1">
      <c r="A296" s="17"/>
    </row>
    <row r="297" spans="1:1" customFormat="1" ht="15.75" customHeight="1">
      <c r="A297" s="17"/>
    </row>
    <row r="298" spans="1:1" customFormat="1" ht="15.75" customHeight="1">
      <c r="A298" s="17"/>
    </row>
    <row r="299" spans="1:1" customFormat="1" ht="15.75" customHeight="1">
      <c r="A299" s="17"/>
    </row>
    <row r="300" spans="1:1" customFormat="1" ht="15.75" customHeight="1">
      <c r="A300" s="17"/>
    </row>
    <row r="301" spans="1:1" customFormat="1" ht="15.75" customHeight="1">
      <c r="A301" s="17"/>
    </row>
    <row r="302" spans="1:1" customFormat="1" ht="15.75" customHeight="1">
      <c r="A302" s="17"/>
    </row>
    <row r="303" spans="1:1" customFormat="1" ht="15.75" customHeight="1">
      <c r="A303" s="17"/>
    </row>
    <row r="304" spans="1:1" customFormat="1" ht="15.75" customHeight="1">
      <c r="A304" s="17"/>
    </row>
    <row r="305" spans="1:1" customFormat="1" ht="15.75" customHeight="1">
      <c r="A305" s="17"/>
    </row>
    <row r="306" spans="1:1" customFormat="1" ht="15.75" customHeight="1">
      <c r="A306" s="17"/>
    </row>
    <row r="307" spans="1:1" customFormat="1" ht="15.75" customHeight="1">
      <c r="A307" s="17"/>
    </row>
    <row r="308" spans="1:1" customFormat="1" ht="15.75" customHeight="1">
      <c r="A308" s="17"/>
    </row>
    <row r="309" spans="1:1" customFormat="1" ht="15.75" customHeight="1">
      <c r="A309" s="17"/>
    </row>
    <row r="310" spans="1:1" customFormat="1" ht="15.75" customHeight="1">
      <c r="A310" s="17"/>
    </row>
    <row r="311" spans="1:1" customFormat="1" ht="15.75" customHeight="1">
      <c r="A311" s="17"/>
    </row>
    <row r="312" spans="1:1" customFormat="1" ht="15.75" customHeight="1">
      <c r="A312" s="17"/>
    </row>
    <row r="313" spans="1:1" customFormat="1" ht="15.75" customHeight="1">
      <c r="A313" s="17"/>
    </row>
    <row r="314" spans="1:1" customFormat="1" ht="15.75" customHeight="1">
      <c r="A314" s="17"/>
    </row>
    <row r="315" spans="1:1" customFormat="1" ht="15.75" customHeight="1">
      <c r="A315" s="17"/>
    </row>
    <row r="316" spans="1:1" customFormat="1" ht="15.75" customHeight="1">
      <c r="A316" s="17"/>
    </row>
    <row r="317" spans="1:1" customFormat="1" ht="15.75" customHeight="1">
      <c r="A317" s="17"/>
    </row>
    <row r="318" spans="1:1" customFormat="1" ht="15.75" customHeight="1">
      <c r="A318" s="17"/>
    </row>
    <row r="319" spans="1:1" customFormat="1" ht="15.75" customHeight="1">
      <c r="A319" s="17"/>
    </row>
    <row r="320" spans="1:1" customFormat="1" ht="15.75" customHeight="1">
      <c r="A320" s="17"/>
    </row>
    <row r="321" spans="1:1" customFormat="1" ht="15.75" customHeight="1">
      <c r="A321" s="17"/>
    </row>
    <row r="322" spans="1:1" customFormat="1" ht="15.75" customHeight="1">
      <c r="A322" s="17"/>
    </row>
    <row r="323" spans="1:1" customFormat="1" ht="15.75" customHeight="1">
      <c r="A323" s="17"/>
    </row>
    <row r="324" spans="1:1" customFormat="1" ht="15.75" customHeight="1">
      <c r="A324" s="17"/>
    </row>
    <row r="325" spans="1:1" customFormat="1" ht="15.75" customHeight="1">
      <c r="A325" s="17"/>
    </row>
    <row r="326" spans="1:1" customFormat="1" ht="15.75" customHeight="1">
      <c r="A326" s="17"/>
    </row>
    <row r="327" spans="1:1" customFormat="1" ht="15.75" customHeight="1">
      <c r="A327" s="17"/>
    </row>
    <row r="328" spans="1:1" customFormat="1" ht="15.75" customHeight="1">
      <c r="A328" s="17"/>
    </row>
    <row r="329" spans="1:1" customFormat="1" ht="15.75" customHeight="1">
      <c r="A329" s="17"/>
    </row>
    <row r="330" spans="1:1" customFormat="1" ht="15.75" customHeight="1">
      <c r="A330" s="17"/>
    </row>
    <row r="331" spans="1:1" customFormat="1" ht="15.75" customHeight="1">
      <c r="A331" s="17"/>
    </row>
    <row r="332" spans="1:1" customFormat="1" ht="15.75" customHeight="1">
      <c r="A332" s="17"/>
    </row>
    <row r="333" spans="1:1" customFormat="1" ht="15.75" customHeight="1">
      <c r="A333" s="17"/>
    </row>
    <row r="334" spans="1:1" customFormat="1" ht="15.75" customHeight="1">
      <c r="A334" s="17"/>
    </row>
    <row r="335" spans="1:1" customFormat="1" ht="15.75" customHeight="1">
      <c r="A335" s="17"/>
    </row>
    <row r="336" spans="1:1" customFormat="1" ht="15.75" customHeight="1">
      <c r="A336" s="17"/>
    </row>
    <row r="337" spans="1:1" customFormat="1" ht="15.75" customHeight="1">
      <c r="A337" s="17"/>
    </row>
    <row r="338" spans="1:1" customFormat="1" ht="15.75" customHeight="1">
      <c r="A338" s="17"/>
    </row>
    <row r="339" spans="1:1" customFormat="1" ht="15.75" customHeight="1">
      <c r="A339" s="17"/>
    </row>
    <row r="340" spans="1:1" customFormat="1" ht="15.75" customHeight="1">
      <c r="A340" s="17"/>
    </row>
    <row r="341" spans="1:1" customFormat="1" ht="15.75" customHeight="1">
      <c r="A341" s="17"/>
    </row>
    <row r="342" spans="1:1" customFormat="1" ht="15.75" customHeight="1">
      <c r="A342" s="17"/>
    </row>
    <row r="343" spans="1:1" customFormat="1" ht="15.75" customHeight="1">
      <c r="A343" s="17"/>
    </row>
    <row r="344" spans="1:1" customFormat="1" ht="15.75" customHeight="1">
      <c r="A344" s="17"/>
    </row>
    <row r="345" spans="1:1" customFormat="1" ht="15.75" customHeight="1">
      <c r="A345" s="17"/>
    </row>
    <row r="346" spans="1:1" customFormat="1" ht="15.75" customHeight="1">
      <c r="A346" s="17"/>
    </row>
    <row r="347" spans="1:1" customFormat="1" ht="15.75" customHeight="1">
      <c r="A347" s="17"/>
    </row>
    <row r="348" spans="1:1" customFormat="1" ht="15.75" customHeight="1">
      <c r="A348" s="17"/>
    </row>
    <row r="349" spans="1:1" customFormat="1" ht="15.75" customHeight="1">
      <c r="A349" s="17"/>
    </row>
    <row r="350" spans="1:1" customFormat="1" ht="15.75" customHeight="1">
      <c r="A350" s="17"/>
    </row>
    <row r="351" spans="1:1" customFormat="1" ht="15.75" customHeight="1">
      <c r="A351" s="17"/>
    </row>
    <row r="352" spans="1:1" customFormat="1" ht="15.75" customHeight="1">
      <c r="A352" s="17"/>
    </row>
    <row r="353" spans="1:1" customFormat="1" ht="15.75" customHeight="1">
      <c r="A353" s="17"/>
    </row>
    <row r="354" spans="1:1" customFormat="1" ht="15.75" customHeight="1">
      <c r="A354" s="17"/>
    </row>
    <row r="355" spans="1:1" customFormat="1" ht="15.75" customHeight="1">
      <c r="A355" s="17"/>
    </row>
    <row r="356" spans="1:1" customFormat="1" ht="15.75" customHeight="1">
      <c r="A356" s="17"/>
    </row>
    <row r="357" spans="1:1" customFormat="1" ht="15.75" customHeight="1">
      <c r="A357" s="17"/>
    </row>
    <row r="358" spans="1:1" customFormat="1" ht="15.75" customHeight="1">
      <c r="A358" s="17"/>
    </row>
    <row r="359" spans="1:1" customFormat="1" ht="15.75" customHeight="1">
      <c r="A359" s="17"/>
    </row>
    <row r="360" spans="1:1" customFormat="1" ht="15.75" customHeight="1">
      <c r="A360" s="17"/>
    </row>
    <row r="361" spans="1:1" customFormat="1" ht="15.75" customHeight="1">
      <c r="A361" s="17"/>
    </row>
    <row r="362" spans="1:1" customFormat="1" ht="15.75" customHeight="1">
      <c r="A362" s="17"/>
    </row>
    <row r="363" spans="1:1" customFormat="1" ht="15.75" customHeight="1">
      <c r="A363" s="17"/>
    </row>
    <row r="364" spans="1:1" customFormat="1" ht="15.75" customHeight="1">
      <c r="A364" s="17"/>
    </row>
    <row r="365" spans="1:1" customFormat="1" ht="15.75" customHeight="1">
      <c r="A365" s="17"/>
    </row>
    <row r="366" spans="1:1" customFormat="1" ht="15.75" customHeight="1">
      <c r="A366" s="17"/>
    </row>
    <row r="367" spans="1:1" customFormat="1" ht="15.75" customHeight="1">
      <c r="A367" s="17"/>
    </row>
    <row r="368" spans="1:1" customFormat="1" ht="15.75" customHeight="1">
      <c r="A368" s="17"/>
    </row>
    <row r="369" spans="1:1" customFormat="1" ht="15.75" customHeight="1">
      <c r="A369" s="17"/>
    </row>
    <row r="370" spans="1:1" customFormat="1" ht="15.75" customHeight="1">
      <c r="A370" s="17"/>
    </row>
    <row r="371" spans="1:1" customFormat="1" ht="15.75" customHeight="1">
      <c r="A371" s="17"/>
    </row>
    <row r="372" spans="1:1" customFormat="1" ht="15.75" customHeight="1">
      <c r="A372" s="17"/>
    </row>
    <row r="373" spans="1:1" customFormat="1" ht="15.75" customHeight="1">
      <c r="A373" s="17"/>
    </row>
    <row r="374" spans="1:1" customFormat="1" ht="15.75" customHeight="1">
      <c r="A374" s="17"/>
    </row>
    <row r="375" spans="1:1" customFormat="1" ht="15.75" customHeight="1">
      <c r="A375" s="17"/>
    </row>
    <row r="376" spans="1:1" customFormat="1" ht="15.75" customHeight="1">
      <c r="A376" s="17"/>
    </row>
    <row r="377" spans="1:1" customFormat="1" ht="15.75" customHeight="1">
      <c r="A377" s="17"/>
    </row>
    <row r="378" spans="1:1" customFormat="1" ht="15.75" customHeight="1">
      <c r="A378" s="17"/>
    </row>
    <row r="379" spans="1:1" customFormat="1" ht="15.75" customHeight="1">
      <c r="A379" s="17"/>
    </row>
    <row r="380" spans="1:1" customFormat="1" ht="15.75" customHeight="1">
      <c r="A380" s="17"/>
    </row>
    <row r="381" spans="1:1" customFormat="1" ht="15.75" customHeight="1">
      <c r="A381" s="17"/>
    </row>
    <row r="382" spans="1:1" customFormat="1" ht="15.75" customHeight="1">
      <c r="A382" s="17"/>
    </row>
    <row r="383" spans="1:1" customFormat="1" ht="15.75" customHeight="1">
      <c r="A383" s="17"/>
    </row>
    <row r="384" spans="1:1" customFormat="1" ht="15.75" customHeight="1">
      <c r="A384" s="17"/>
    </row>
    <row r="385" spans="1:1" customFormat="1" ht="15.75" customHeight="1">
      <c r="A385" s="17"/>
    </row>
    <row r="386" spans="1:1" customFormat="1" ht="15.75" customHeight="1">
      <c r="A386" s="17"/>
    </row>
    <row r="387" spans="1:1" customFormat="1" ht="15.75" customHeight="1">
      <c r="A387" s="17"/>
    </row>
    <row r="388" spans="1:1" customFormat="1" ht="15.75" customHeight="1">
      <c r="A388" s="17"/>
    </row>
    <row r="389" spans="1:1" customFormat="1" ht="15.75" customHeight="1">
      <c r="A389" s="17"/>
    </row>
    <row r="390" spans="1:1" customFormat="1" ht="15.75" customHeight="1">
      <c r="A390" s="17"/>
    </row>
    <row r="391" spans="1:1" customFormat="1" ht="15.75" customHeight="1">
      <c r="A391" s="17"/>
    </row>
    <row r="392" spans="1:1" customFormat="1" ht="15.75" customHeight="1">
      <c r="A392" s="17"/>
    </row>
    <row r="393" spans="1:1" customFormat="1" ht="15.75" customHeight="1">
      <c r="A393" s="17"/>
    </row>
    <row r="394" spans="1:1" customFormat="1" ht="15.75" customHeight="1">
      <c r="A394" s="17"/>
    </row>
    <row r="395" spans="1:1" customFormat="1" ht="15.75" customHeight="1">
      <c r="A395" s="17"/>
    </row>
    <row r="396" spans="1:1" customFormat="1" ht="15.75" customHeight="1">
      <c r="A396" s="17"/>
    </row>
    <row r="397" spans="1:1" customFormat="1" ht="15.75" customHeight="1">
      <c r="A397" s="17"/>
    </row>
    <row r="398" spans="1:1" customFormat="1" ht="15.75" customHeight="1">
      <c r="A398" s="17"/>
    </row>
    <row r="399" spans="1:1" customFormat="1" ht="15.75" customHeight="1">
      <c r="A399" s="17"/>
    </row>
    <row r="400" spans="1:1" customFormat="1" ht="15.75" customHeight="1">
      <c r="A400" s="17"/>
    </row>
    <row r="401" spans="1:1" customFormat="1" ht="15.75" customHeight="1">
      <c r="A401" s="17"/>
    </row>
    <row r="402" spans="1:1" customFormat="1" ht="15.75" customHeight="1">
      <c r="A402" s="17"/>
    </row>
    <row r="403" spans="1:1" customFormat="1" ht="15.75" customHeight="1">
      <c r="A403" s="17"/>
    </row>
    <row r="404" spans="1:1" customFormat="1" ht="15.75" customHeight="1">
      <c r="A404" s="17"/>
    </row>
    <row r="405" spans="1:1" customFormat="1" ht="15.75" customHeight="1">
      <c r="A405" s="17"/>
    </row>
    <row r="406" spans="1:1" customFormat="1" ht="15.75" customHeight="1">
      <c r="A406" s="17"/>
    </row>
    <row r="407" spans="1:1" customFormat="1" ht="15.75" customHeight="1">
      <c r="A407" s="17"/>
    </row>
    <row r="408" spans="1:1" customFormat="1" ht="15.75" customHeight="1">
      <c r="A408" s="17"/>
    </row>
    <row r="409" spans="1:1" customFormat="1" ht="15.75" customHeight="1">
      <c r="A409" s="17"/>
    </row>
    <row r="410" spans="1:1" customFormat="1" ht="15.75" customHeight="1">
      <c r="A410" s="17"/>
    </row>
    <row r="411" spans="1:1" customFormat="1" ht="15.75" customHeight="1">
      <c r="A411" s="17"/>
    </row>
    <row r="412" spans="1:1" customFormat="1" ht="15.75" customHeight="1">
      <c r="A412" s="17"/>
    </row>
    <row r="413" spans="1:1" customFormat="1" ht="15.75" customHeight="1">
      <c r="A413" s="17"/>
    </row>
    <row r="414" spans="1:1" customFormat="1" ht="15.75" customHeight="1">
      <c r="A414" s="17"/>
    </row>
    <row r="415" spans="1:1" customFormat="1" ht="15.75" customHeight="1">
      <c r="A415" s="17"/>
    </row>
    <row r="416" spans="1:1" customFormat="1" ht="15.75" customHeight="1">
      <c r="A416" s="17"/>
    </row>
    <row r="417" spans="1:1" customFormat="1" ht="15.75" customHeight="1">
      <c r="A417" s="17"/>
    </row>
    <row r="418" spans="1:1" customFormat="1" ht="15.75" customHeight="1">
      <c r="A418" s="17"/>
    </row>
    <row r="419" spans="1:1" customFormat="1" ht="15.75" customHeight="1">
      <c r="A419" s="17"/>
    </row>
    <row r="420" spans="1:1" customFormat="1" ht="15.75" customHeight="1">
      <c r="A420" s="17"/>
    </row>
    <row r="421" spans="1:1" customFormat="1" ht="15.75" customHeight="1">
      <c r="A421" s="17"/>
    </row>
    <row r="422" spans="1:1" customFormat="1" ht="15.75" customHeight="1">
      <c r="A422" s="17"/>
    </row>
    <row r="423" spans="1:1" customFormat="1" ht="15.75" customHeight="1">
      <c r="A423" s="17"/>
    </row>
    <row r="424" spans="1:1" customFormat="1" ht="15.75" customHeight="1">
      <c r="A424" s="17"/>
    </row>
    <row r="425" spans="1:1" customFormat="1" ht="15.75" customHeight="1">
      <c r="A425" s="17"/>
    </row>
    <row r="426" spans="1:1" customFormat="1" ht="15.75" customHeight="1">
      <c r="A426" s="17"/>
    </row>
    <row r="427" spans="1:1" customFormat="1" ht="15.75" customHeight="1">
      <c r="A427" s="17"/>
    </row>
    <row r="428" spans="1:1" customFormat="1" ht="15.75" customHeight="1">
      <c r="A428" s="17"/>
    </row>
    <row r="429" spans="1:1" customFormat="1" ht="15.75" customHeight="1">
      <c r="A429" s="17"/>
    </row>
    <row r="430" spans="1:1" customFormat="1" ht="15.75" customHeight="1">
      <c r="A430" s="17"/>
    </row>
    <row r="431" spans="1:1" customFormat="1" ht="15.75" customHeight="1">
      <c r="A431" s="17"/>
    </row>
    <row r="432" spans="1:1" customFormat="1" ht="15.75" customHeight="1">
      <c r="A432" s="17"/>
    </row>
    <row r="433" spans="1:1" customFormat="1" ht="15.75" customHeight="1">
      <c r="A433" s="17"/>
    </row>
    <row r="434" spans="1:1" customFormat="1" ht="15.75" customHeight="1">
      <c r="A434" s="17"/>
    </row>
    <row r="435" spans="1:1" customFormat="1" ht="15.75" customHeight="1">
      <c r="A435" s="17"/>
    </row>
    <row r="436" spans="1:1" customFormat="1" ht="15.75" customHeight="1">
      <c r="A436" s="17"/>
    </row>
    <row r="437" spans="1:1" customFormat="1" ht="15.75" customHeight="1">
      <c r="A437" s="17"/>
    </row>
    <row r="438" spans="1:1" customFormat="1" ht="15.75" customHeight="1">
      <c r="A438" s="17"/>
    </row>
    <row r="439" spans="1:1" customFormat="1" ht="15.75" customHeight="1">
      <c r="A439" s="17"/>
    </row>
    <row r="440" spans="1:1" customFormat="1" ht="15.75" customHeight="1">
      <c r="A440" s="17"/>
    </row>
    <row r="441" spans="1:1" customFormat="1" ht="15.75" customHeight="1">
      <c r="A441" s="17"/>
    </row>
    <row r="442" spans="1:1" customFormat="1" ht="15.75" customHeight="1">
      <c r="A442" s="17"/>
    </row>
    <row r="443" spans="1:1" customFormat="1" ht="15.75" customHeight="1">
      <c r="A443" s="17"/>
    </row>
    <row r="444" spans="1:1" customFormat="1" ht="15.75" customHeight="1">
      <c r="A444" s="17"/>
    </row>
    <row r="445" spans="1:1" customFormat="1" ht="15.75" customHeight="1">
      <c r="A445" s="17"/>
    </row>
    <row r="446" spans="1:1" customFormat="1" ht="15.75" customHeight="1">
      <c r="A446" s="17"/>
    </row>
    <row r="447" spans="1:1" customFormat="1" ht="15.75" customHeight="1">
      <c r="A447" s="17"/>
    </row>
    <row r="448" spans="1:1" customFormat="1" ht="15.75" customHeight="1">
      <c r="A448" s="17"/>
    </row>
    <row r="449" spans="1:1" customFormat="1" ht="15.75" customHeight="1">
      <c r="A449" s="17"/>
    </row>
    <row r="450" spans="1:1" customFormat="1" ht="15.75" customHeight="1">
      <c r="A450" s="17"/>
    </row>
    <row r="451" spans="1:1" customFormat="1" ht="15.75" customHeight="1">
      <c r="A451" s="17"/>
    </row>
    <row r="452" spans="1:1" customFormat="1" ht="15.75" customHeight="1">
      <c r="A452" s="17"/>
    </row>
    <row r="453" spans="1:1" customFormat="1" ht="15.75" customHeight="1">
      <c r="A453" s="17"/>
    </row>
    <row r="454" spans="1:1" customFormat="1" ht="15.75" customHeight="1">
      <c r="A454" s="17"/>
    </row>
    <row r="455" spans="1:1" customFormat="1" ht="15.75" customHeight="1">
      <c r="A455" s="17"/>
    </row>
    <row r="456" spans="1:1" customFormat="1" ht="15.75" customHeight="1">
      <c r="A456" s="17"/>
    </row>
    <row r="457" spans="1:1" customFormat="1" ht="15.75" customHeight="1">
      <c r="A457" s="17"/>
    </row>
    <row r="458" spans="1:1" customFormat="1" ht="15.75" customHeight="1">
      <c r="A458" s="17"/>
    </row>
    <row r="459" spans="1:1" customFormat="1" ht="15.75" customHeight="1">
      <c r="A459" s="17"/>
    </row>
    <row r="460" spans="1:1" customFormat="1" ht="15.75" customHeight="1">
      <c r="A460" s="17"/>
    </row>
    <row r="461" spans="1:1" customFormat="1" ht="15.75" customHeight="1">
      <c r="A461" s="17"/>
    </row>
    <row r="462" spans="1:1" customFormat="1" ht="15.75" customHeight="1">
      <c r="A462" s="17"/>
    </row>
    <row r="463" spans="1:1" customFormat="1" ht="15.75" customHeight="1">
      <c r="A463" s="17"/>
    </row>
    <row r="464" spans="1:1" customFormat="1" ht="15.75" customHeight="1">
      <c r="A464" s="17"/>
    </row>
    <row r="465" spans="1:1" customFormat="1" ht="15.75" customHeight="1">
      <c r="A465" s="17"/>
    </row>
    <row r="466" spans="1:1" customFormat="1" ht="15.75" customHeight="1">
      <c r="A466" s="17"/>
    </row>
    <row r="467" spans="1:1" customFormat="1" ht="15.75" customHeight="1">
      <c r="A467" s="17"/>
    </row>
    <row r="468" spans="1:1" customFormat="1" ht="15.75" customHeight="1">
      <c r="A468" s="17"/>
    </row>
    <row r="469" spans="1:1" customFormat="1" ht="15.75" customHeight="1">
      <c r="A469" s="17"/>
    </row>
    <row r="470" spans="1:1" customFormat="1" ht="15.75" customHeight="1">
      <c r="A470" s="17"/>
    </row>
    <row r="471" spans="1:1" customFormat="1" ht="15.75" customHeight="1">
      <c r="A471" s="17"/>
    </row>
    <row r="472" spans="1:1" customFormat="1" ht="15.75" customHeight="1">
      <c r="A472" s="17"/>
    </row>
    <row r="473" spans="1:1" customFormat="1" ht="15.75" customHeight="1">
      <c r="A473" s="17"/>
    </row>
    <row r="474" spans="1:1" customFormat="1" ht="15.75" customHeight="1">
      <c r="A474" s="17"/>
    </row>
    <row r="475" spans="1:1" customFormat="1" ht="15.75" customHeight="1">
      <c r="A475" s="17"/>
    </row>
    <row r="476" spans="1:1" customFormat="1" ht="15.75" customHeight="1">
      <c r="A476" s="17"/>
    </row>
    <row r="477" spans="1:1" customFormat="1" ht="15.75" customHeight="1">
      <c r="A477" s="17"/>
    </row>
    <row r="478" spans="1:1" customFormat="1" ht="15.75" customHeight="1">
      <c r="A478" s="17"/>
    </row>
    <row r="479" spans="1:1" customFormat="1" ht="15.75" customHeight="1">
      <c r="A479" s="17"/>
    </row>
    <row r="480" spans="1:1" customFormat="1" ht="15.75" customHeight="1">
      <c r="A480" s="17"/>
    </row>
    <row r="481" spans="1:1" customFormat="1" ht="15.75" customHeight="1">
      <c r="A481" s="17"/>
    </row>
    <row r="482" spans="1:1" customFormat="1" ht="15.75" customHeight="1">
      <c r="A482" s="17"/>
    </row>
    <row r="483" spans="1:1" customFormat="1" ht="15.75" customHeight="1">
      <c r="A483" s="17"/>
    </row>
    <row r="484" spans="1:1" customFormat="1" ht="15.75" customHeight="1">
      <c r="A484" s="17"/>
    </row>
    <row r="485" spans="1:1" customFormat="1" ht="15.75" customHeight="1">
      <c r="A485" s="17"/>
    </row>
    <row r="486" spans="1:1" customFormat="1" ht="15.75" customHeight="1">
      <c r="A486" s="17"/>
    </row>
    <row r="487" spans="1:1" customFormat="1" ht="15.75" customHeight="1">
      <c r="A487" s="17"/>
    </row>
    <row r="488" spans="1:1" customFormat="1" ht="15.75" customHeight="1">
      <c r="A488" s="17"/>
    </row>
    <row r="489" spans="1:1" customFormat="1" ht="15.75" customHeight="1">
      <c r="A489" s="17"/>
    </row>
    <row r="490" spans="1:1" customFormat="1" ht="15.75" customHeight="1">
      <c r="A490" s="17"/>
    </row>
    <row r="491" spans="1:1" customFormat="1" ht="15.75" customHeight="1">
      <c r="A491" s="17"/>
    </row>
    <row r="492" spans="1:1" customFormat="1" ht="15.75" customHeight="1">
      <c r="A492" s="17"/>
    </row>
    <row r="493" spans="1:1" customFormat="1" ht="15.75" customHeight="1">
      <c r="A493" s="17"/>
    </row>
    <row r="494" spans="1:1" customFormat="1" ht="15.75" customHeight="1">
      <c r="A494" s="17"/>
    </row>
    <row r="495" spans="1:1" customFormat="1" ht="15.75" customHeight="1">
      <c r="A495" s="17"/>
    </row>
    <row r="496" spans="1:1" customFormat="1" ht="15.75" customHeight="1">
      <c r="A496" s="17"/>
    </row>
    <row r="497" spans="1:1" customFormat="1" ht="15.75" customHeight="1">
      <c r="A497" s="17"/>
    </row>
    <row r="498" spans="1:1" customFormat="1" ht="15.75" customHeight="1">
      <c r="A498" s="17"/>
    </row>
    <row r="499" spans="1:1" customFormat="1" ht="15.75" customHeight="1">
      <c r="A499" s="17"/>
    </row>
    <row r="500" spans="1:1" customFormat="1" ht="15.75" customHeight="1">
      <c r="A500" s="17"/>
    </row>
    <row r="501" spans="1:1" customFormat="1" ht="15.75" customHeight="1">
      <c r="A501" s="17"/>
    </row>
    <row r="502" spans="1:1" customFormat="1" ht="15.75" customHeight="1">
      <c r="A502" s="17"/>
    </row>
    <row r="503" spans="1:1" customFormat="1" ht="15.75" customHeight="1">
      <c r="A503" s="17"/>
    </row>
    <row r="504" spans="1:1" customFormat="1" ht="15.75" customHeight="1">
      <c r="A504" s="17"/>
    </row>
    <row r="505" spans="1:1" customFormat="1" ht="15.75" customHeight="1">
      <c r="A505" s="17"/>
    </row>
    <row r="506" spans="1:1" customFormat="1" ht="15.75" customHeight="1">
      <c r="A506" s="17"/>
    </row>
    <row r="507" spans="1:1" customFormat="1" ht="15.75" customHeight="1">
      <c r="A507" s="17"/>
    </row>
    <row r="508" spans="1:1" customFormat="1" ht="15.75" customHeight="1">
      <c r="A508" s="17"/>
    </row>
    <row r="509" spans="1:1" customFormat="1" ht="15.75" customHeight="1">
      <c r="A509" s="17"/>
    </row>
    <row r="510" spans="1:1" customFormat="1" ht="15.75" customHeight="1">
      <c r="A510" s="17"/>
    </row>
    <row r="511" spans="1:1" customFormat="1" ht="15.75" customHeight="1">
      <c r="A511" s="17"/>
    </row>
    <row r="512" spans="1:1" customFormat="1" ht="15.75" customHeight="1">
      <c r="A512" s="17"/>
    </row>
    <row r="513" spans="1:1" customFormat="1" ht="15.75" customHeight="1">
      <c r="A513" s="17"/>
    </row>
    <row r="514" spans="1:1" customFormat="1" ht="15.75" customHeight="1">
      <c r="A514" s="17"/>
    </row>
    <row r="515" spans="1:1" customFormat="1" ht="15.75" customHeight="1">
      <c r="A515" s="17"/>
    </row>
    <row r="516" spans="1:1" customFormat="1" ht="15.75" customHeight="1">
      <c r="A516" s="17"/>
    </row>
    <row r="517" spans="1:1" customFormat="1" ht="15.75" customHeight="1">
      <c r="A517" s="17"/>
    </row>
    <row r="518" spans="1:1" customFormat="1" ht="15.75" customHeight="1">
      <c r="A518" s="17"/>
    </row>
    <row r="519" spans="1:1" customFormat="1" ht="15.75" customHeight="1">
      <c r="A519" s="17"/>
    </row>
    <row r="520" spans="1:1" customFormat="1" ht="15.75" customHeight="1">
      <c r="A520" s="17"/>
    </row>
    <row r="521" spans="1:1" customFormat="1" ht="15.75" customHeight="1">
      <c r="A521" s="17"/>
    </row>
    <row r="522" spans="1:1" customFormat="1" ht="15.75" customHeight="1">
      <c r="A522" s="17"/>
    </row>
    <row r="523" spans="1:1" customFormat="1" ht="15.75" customHeight="1">
      <c r="A523" s="17"/>
    </row>
    <row r="524" spans="1:1" customFormat="1" ht="15.75" customHeight="1">
      <c r="A524" s="17"/>
    </row>
    <row r="525" spans="1:1" customFormat="1" ht="15.75" customHeight="1">
      <c r="A525" s="17"/>
    </row>
    <row r="526" spans="1:1" customFormat="1" ht="15.75" customHeight="1">
      <c r="A526" s="17"/>
    </row>
    <row r="527" spans="1:1" customFormat="1" ht="15.75" customHeight="1">
      <c r="A527" s="17"/>
    </row>
    <row r="528" spans="1:1" customFormat="1" ht="15.75" customHeight="1">
      <c r="A528" s="17"/>
    </row>
    <row r="529" spans="1:1" customFormat="1" ht="15.75" customHeight="1">
      <c r="A529" s="17"/>
    </row>
    <row r="530" spans="1:1" customFormat="1" ht="15.75" customHeight="1">
      <c r="A530" s="17"/>
    </row>
    <row r="531" spans="1:1" customFormat="1" ht="15.75" customHeight="1">
      <c r="A531" s="17"/>
    </row>
    <row r="532" spans="1:1" customFormat="1" ht="15.75" customHeight="1">
      <c r="A532" s="17"/>
    </row>
    <row r="533" spans="1:1" customFormat="1" ht="15.75" customHeight="1">
      <c r="A533" s="17"/>
    </row>
    <row r="534" spans="1:1" customFormat="1" ht="15.75" customHeight="1">
      <c r="A534" s="17"/>
    </row>
    <row r="535" spans="1:1" customFormat="1" ht="15.75" customHeight="1">
      <c r="A535" s="17"/>
    </row>
    <row r="536" spans="1:1" customFormat="1" ht="15.75" customHeight="1">
      <c r="A536" s="17"/>
    </row>
    <row r="537" spans="1:1" customFormat="1" ht="15.75" customHeight="1">
      <c r="A537" s="17"/>
    </row>
    <row r="538" spans="1:1" customFormat="1" ht="15.75" customHeight="1">
      <c r="A538" s="17"/>
    </row>
    <row r="539" spans="1:1" customFormat="1" ht="15.75" customHeight="1">
      <c r="A539" s="17"/>
    </row>
    <row r="540" spans="1:1" customFormat="1" ht="15.75" customHeight="1">
      <c r="A540" s="17"/>
    </row>
    <row r="541" spans="1:1" customFormat="1" ht="15.75" customHeight="1">
      <c r="A541" s="17"/>
    </row>
    <row r="542" spans="1:1" customFormat="1" ht="15.75" customHeight="1">
      <c r="A542" s="17"/>
    </row>
    <row r="543" spans="1:1" customFormat="1" ht="15.75" customHeight="1">
      <c r="A543" s="17"/>
    </row>
    <row r="544" spans="1:1" customFormat="1" ht="15.75" customHeight="1">
      <c r="A544" s="17"/>
    </row>
    <row r="545" spans="1:1" customFormat="1" ht="15.75" customHeight="1">
      <c r="A545" s="17"/>
    </row>
    <row r="546" spans="1:1" customFormat="1" ht="15.75" customHeight="1">
      <c r="A546" s="17"/>
    </row>
    <row r="547" spans="1:1" customFormat="1" ht="15.75" customHeight="1">
      <c r="A547" s="17"/>
    </row>
    <row r="548" spans="1:1" customFormat="1" ht="15.75" customHeight="1">
      <c r="A548" s="17"/>
    </row>
    <row r="549" spans="1:1" customFormat="1" ht="15.75" customHeight="1">
      <c r="A549" s="17"/>
    </row>
    <row r="550" spans="1:1" customFormat="1" ht="15.75" customHeight="1">
      <c r="A550" s="17"/>
    </row>
    <row r="551" spans="1:1" customFormat="1" ht="15.75" customHeight="1">
      <c r="A551" s="17"/>
    </row>
    <row r="552" spans="1:1" customFormat="1" ht="15.75" customHeight="1">
      <c r="A552" s="17"/>
    </row>
    <row r="553" spans="1:1" customFormat="1" ht="15.75" customHeight="1">
      <c r="A553" s="17"/>
    </row>
    <row r="554" spans="1:1" customFormat="1" ht="15.75" customHeight="1">
      <c r="A554" s="17"/>
    </row>
    <row r="555" spans="1:1" customFormat="1" ht="15.75" customHeight="1">
      <c r="A555" s="17"/>
    </row>
    <row r="556" spans="1:1" customFormat="1" ht="15.75" customHeight="1">
      <c r="A556" s="17"/>
    </row>
    <row r="557" spans="1:1" customFormat="1" ht="15.75" customHeight="1">
      <c r="A557" s="17"/>
    </row>
    <row r="558" spans="1:1" customFormat="1" ht="15.75" customHeight="1">
      <c r="A558" s="17"/>
    </row>
    <row r="559" spans="1:1" customFormat="1" ht="15.75" customHeight="1">
      <c r="A559" s="17"/>
    </row>
    <row r="560" spans="1:1" customFormat="1" ht="15.75" customHeight="1">
      <c r="A560" s="17"/>
    </row>
    <row r="561" spans="1:1" customFormat="1" ht="15.75" customHeight="1">
      <c r="A561" s="17"/>
    </row>
    <row r="562" spans="1:1" customFormat="1" ht="15.75" customHeight="1">
      <c r="A562" s="17"/>
    </row>
    <row r="563" spans="1:1" customFormat="1" ht="15.75" customHeight="1">
      <c r="A563" s="17"/>
    </row>
    <row r="564" spans="1:1" customFormat="1" ht="15.75" customHeight="1">
      <c r="A564" s="17"/>
    </row>
    <row r="565" spans="1:1" customFormat="1" ht="15.75" customHeight="1">
      <c r="A565" s="17"/>
    </row>
    <row r="566" spans="1:1" customFormat="1" ht="15.75" customHeight="1">
      <c r="A566" s="17"/>
    </row>
    <row r="567" spans="1:1" customFormat="1" ht="15.75" customHeight="1">
      <c r="A567" s="17"/>
    </row>
    <row r="568" spans="1:1" customFormat="1" ht="15.75" customHeight="1">
      <c r="A568" s="17"/>
    </row>
    <row r="569" spans="1:1" customFormat="1" ht="15.75" customHeight="1">
      <c r="A569" s="17"/>
    </row>
    <row r="570" spans="1:1" customFormat="1" ht="15.75" customHeight="1">
      <c r="A570" s="17"/>
    </row>
    <row r="571" spans="1:1" customFormat="1" ht="15.75" customHeight="1">
      <c r="A571" s="17"/>
    </row>
    <row r="572" spans="1:1" customFormat="1" ht="15.75" customHeight="1">
      <c r="A572" s="17"/>
    </row>
    <row r="573" spans="1:1" customFormat="1" ht="15.75" customHeight="1">
      <c r="A573" s="17"/>
    </row>
    <row r="574" spans="1:1" customFormat="1" ht="15.75" customHeight="1">
      <c r="A574" s="17"/>
    </row>
    <row r="575" spans="1:1" customFormat="1" ht="15.75" customHeight="1">
      <c r="A575" s="17"/>
    </row>
    <row r="576" spans="1:1" customFormat="1" ht="15.75" customHeight="1">
      <c r="A576" s="17"/>
    </row>
    <row r="577" spans="1:1" customFormat="1" ht="15.75" customHeight="1">
      <c r="A577" s="17"/>
    </row>
    <row r="578" spans="1:1" customFormat="1" ht="15.75" customHeight="1">
      <c r="A578" s="17"/>
    </row>
    <row r="579" spans="1:1" customFormat="1" ht="15.75" customHeight="1">
      <c r="A579" s="17"/>
    </row>
    <row r="580" spans="1:1" customFormat="1" ht="15.75" customHeight="1">
      <c r="A580" s="17"/>
    </row>
    <row r="581" spans="1:1" customFormat="1" ht="15.75" customHeight="1">
      <c r="A581" s="17"/>
    </row>
    <row r="582" spans="1:1" customFormat="1" ht="15.75" customHeight="1">
      <c r="A582" s="17"/>
    </row>
    <row r="583" spans="1:1" customFormat="1" ht="15.75" customHeight="1">
      <c r="A583" s="17"/>
    </row>
    <row r="584" spans="1:1" customFormat="1" ht="15.75" customHeight="1">
      <c r="A584" s="17"/>
    </row>
    <row r="585" spans="1:1" customFormat="1" ht="15.75" customHeight="1">
      <c r="A585" s="17"/>
    </row>
    <row r="586" spans="1:1" customFormat="1" ht="15.75" customHeight="1">
      <c r="A586" s="17"/>
    </row>
    <row r="587" spans="1:1" customFormat="1" ht="15.75" customHeight="1">
      <c r="A587" s="17"/>
    </row>
    <row r="588" spans="1:1" customFormat="1" ht="15.75" customHeight="1">
      <c r="A588" s="17"/>
    </row>
    <row r="589" spans="1:1" customFormat="1" ht="15.75" customHeight="1">
      <c r="A589" s="17"/>
    </row>
    <row r="590" spans="1:1" customFormat="1" ht="15.75" customHeight="1">
      <c r="A590" s="17"/>
    </row>
    <row r="591" spans="1:1" customFormat="1" ht="15.75" customHeight="1">
      <c r="A591" s="17"/>
    </row>
    <row r="592" spans="1:1" customFormat="1" ht="15.75" customHeight="1">
      <c r="A592" s="17"/>
    </row>
    <row r="593" spans="1:1" customFormat="1" ht="15.75" customHeight="1">
      <c r="A593" s="17"/>
    </row>
    <row r="594" spans="1:1" customFormat="1" ht="15.75" customHeight="1">
      <c r="A594" s="17"/>
    </row>
    <row r="595" spans="1:1" customFormat="1" ht="15.75" customHeight="1">
      <c r="A595" s="17"/>
    </row>
    <row r="596" spans="1:1" customFormat="1" ht="15.75" customHeight="1">
      <c r="A596" s="17"/>
    </row>
    <row r="597" spans="1:1" customFormat="1" ht="15.75" customHeight="1">
      <c r="A597" s="17"/>
    </row>
    <row r="598" spans="1:1" customFormat="1" ht="15.75" customHeight="1">
      <c r="A598" s="17"/>
    </row>
    <row r="599" spans="1:1" customFormat="1" ht="15.75" customHeight="1">
      <c r="A599" s="17"/>
    </row>
    <row r="600" spans="1:1" customFormat="1" ht="15.75" customHeight="1">
      <c r="A600" s="17"/>
    </row>
    <row r="601" spans="1:1" customFormat="1" ht="15.75" customHeight="1">
      <c r="A601" s="17"/>
    </row>
    <row r="602" spans="1:1" customFormat="1" ht="15.75" customHeight="1">
      <c r="A602" s="17"/>
    </row>
    <row r="603" spans="1:1" customFormat="1" ht="15.75" customHeight="1">
      <c r="A603" s="17"/>
    </row>
    <row r="604" spans="1:1" customFormat="1" ht="15.75" customHeight="1">
      <c r="A604" s="17"/>
    </row>
    <row r="605" spans="1:1" customFormat="1" ht="15.75" customHeight="1">
      <c r="A605" s="17"/>
    </row>
    <row r="606" spans="1:1" customFormat="1" ht="15.75" customHeight="1">
      <c r="A606" s="17"/>
    </row>
    <row r="607" spans="1:1" customFormat="1" ht="15.75" customHeight="1">
      <c r="A607" s="17"/>
    </row>
    <row r="608" spans="1:1" customFormat="1" ht="15.75" customHeight="1">
      <c r="A608" s="17"/>
    </row>
    <row r="609" spans="1:1" customFormat="1" ht="15.75" customHeight="1">
      <c r="A609" s="17"/>
    </row>
    <row r="610" spans="1:1" customFormat="1" ht="15.75" customHeight="1">
      <c r="A610" s="17"/>
    </row>
    <row r="611" spans="1:1" customFormat="1" ht="15.75" customHeight="1">
      <c r="A611" s="17"/>
    </row>
    <row r="612" spans="1:1" customFormat="1" ht="15.75" customHeight="1">
      <c r="A612" s="17"/>
    </row>
    <row r="613" spans="1:1" customFormat="1" ht="15.75" customHeight="1">
      <c r="A613" s="17"/>
    </row>
    <row r="614" spans="1:1" customFormat="1" ht="15.75" customHeight="1">
      <c r="A614" s="17"/>
    </row>
    <row r="615" spans="1:1" customFormat="1" ht="15.75" customHeight="1">
      <c r="A615" s="17"/>
    </row>
    <row r="616" spans="1:1" customFormat="1" ht="15.75" customHeight="1">
      <c r="A616" s="17"/>
    </row>
    <row r="617" spans="1:1" customFormat="1" ht="15.75" customHeight="1">
      <c r="A617" s="17"/>
    </row>
    <row r="618" spans="1:1" customFormat="1" ht="15.75" customHeight="1">
      <c r="A618" s="17"/>
    </row>
    <row r="619" spans="1:1" customFormat="1" ht="15.75" customHeight="1">
      <c r="A619" s="17"/>
    </row>
    <row r="620" spans="1:1" customFormat="1" ht="15.75" customHeight="1">
      <c r="A620" s="17"/>
    </row>
    <row r="621" spans="1:1" customFormat="1" ht="15.75" customHeight="1">
      <c r="A621" s="17"/>
    </row>
    <row r="622" spans="1:1" customFormat="1" ht="15.75" customHeight="1">
      <c r="A622" s="17"/>
    </row>
    <row r="623" spans="1:1" customFormat="1" ht="15.75" customHeight="1">
      <c r="A623" s="17"/>
    </row>
    <row r="624" spans="1:1" customFormat="1" ht="15.75" customHeight="1">
      <c r="A624" s="17"/>
    </row>
    <row r="625" spans="1:1" customFormat="1" ht="15.75" customHeight="1">
      <c r="A625" s="17"/>
    </row>
    <row r="626" spans="1:1" customFormat="1" ht="15.75" customHeight="1">
      <c r="A626" s="17"/>
    </row>
    <row r="627" spans="1:1" customFormat="1" ht="15.75" customHeight="1">
      <c r="A627" s="17"/>
    </row>
    <row r="628" spans="1:1" customFormat="1" ht="15.75" customHeight="1">
      <c r="A628" s="17"/>
    </row>
    <row r="629" spans="1:1" customFormat="1" ht="15.75" customHeight="1">
      <c r="A629" s="17"/>
    </row>
    <row r="630" spans="1:1" customFormat="1" ht="15.75" customHeight="1">
      <c r="A630" s="17"/>
    </row>
    <row r="631" spans="1:1" customFormat="1" ht="15.75" customHeight="1">
      <c r="A631" s="17"/>
    </row>
    <row r="632" spans="1:1" customFormat="1" ht="15.75" customHeight="1">
      <c r="A632" s="17"/>
    </row>
    <row r="633" spans="1:1" customFormat="1" ht="15.75" customHeight="1">
      <c r="A633" s="17"/>
    </row>
    <row r="634" spans="1:1" customFormat="1" ht="15.75" customHeight="1">
      <c r="A634" s="17"/>
    </row>
    <row r="635" spans="1:1" customFormat="1" ht="15.75" customHeight="1">
      <c r="A635" s="17"/>
    </row>
    <row r="636" spans="1:1" customFormat="1" ht="15.75" customHeight="1">
      <c r="A636" s="17"/>
    </row>
    <row r="637" spans="1:1" customFormat="1" ht="15.75" customHeight="1">
      <c r="A637" s="17"/>
    </row>
    <row r="638" spans="1:1" customFormat="1" ht="15.75" customHeight="1">
      <c r="A638" s="17"/>
    </row>
    <row r="639" spans="1:1" customFormat="1" ht="15.75" customHeight="1">
      <c r="A639" s="17"/>
    </row>
    <row r="640" spans="1:1" customFormat="1" ht="15.75" customHeight="1">
      <c r="A640" s="17"/>
    </row>
    <row r="641" spans="1:1" customFormat="1" ht="15.75" customHeight="1">
      <c r="A641" s="17"/>
    </row>
    <row r="642" spans="1:1" customFormat="1" ht="15.75" customHeight="1">
      <c r="A642" s="17"/>
    </row>
    <row r="643" spans="1:1" customFormat="1" ht="15.75" customHeight="1">
      <c r="A643" s="17"/>
    </row>
    <row r="644" spans="1:1" customFormat="1" ht="15.75" customHeight="1">
      <c r="A644" s="17"/>
    </row>
    <row r="645" spans="1:1" customFormat="1" ht="15.75" customHeight="1">
      <c r="A645" s="17"/>
    </row>
    <row r="646" spans="1:1" customFormat="1" ht="15.75" customHeight="1">
      <c r="A646" s="17"/>
    </row>
    <row r="647" spans="1:1" customFormat="1" ht="15.75" customHeight="1">
      <c r="A647" s="17"/>
    </row>
    <row r="648" spans="1:1" customFormat="1" ht="15.75" customHeight="1">
      <c r="A648" s="17"/>
    </row>
    <row r="649" spans="1:1" customFormat="1" ht="15.75" customHeight="1">
      <c r="A649" s="17"/>
    </row>
    <row r="650" spans="1:1" customFormat="1" ht="15.75" customHeight="1">
      <c r="A650" s="17"/>
    </row>
    <row r="651" spans="1:1" customFormat="1" ht="15.75" customHeight="1">
      <c r="A651" s="17"/>
    </row>
    <row r="652" spans="1:1" customFormat="1" ht="15.75" customHeight="1">
      <c r="A652" s="17"/>
    </row>
    <row r="653" spans="1:1" customFormat="1" ht="15.75" customHeight="1">
      <c r="A653" s="17"/>
    </row>
    <row r="654" spans="1:1" customFormat="1" ht="15.75" customHeight="1">
      <c r="A654" s="17"/>
    </row>
    <row r="655" spans="1:1" customFormat="1" ht="15.75" customHeight="1">
      <c r="A655" s="17"/>
    </row>
    <row r="656" spans="1:1" customFormat="1" ht="15.75" customHeight="1">
      <c r="A656" s="17"/>
    </row>
    <row r="657" spans="1:1" customFormat="1" ht="15.75" customHeight="1">
      <c r="A657" s="17"/>
    </row>
    <row r="658" spans="1:1" customFormat="1" ht="15.75" customHeight="1">
      <c r="A658" s="17"/>
    </row>
    <row r="659" spans="1:1" customFormat="1" ht="15.75" customHeight="1">
      <c r="A659" s="17"/>
    </row>
    <row r="660" spans="1:1" customFormat="1" ht="15.75" customHeight="1">
      <c r="A660" s="17"/>
    </row>
    <row r="661" spans="1:1" customFormat="1" ht="15.75" customHeight="1">
      <c r="A661" s="17"/>
    </row>
    <row r="662" spans="1:1" customFormat="1" ht="15.75" customHeight="1">
      <c r="A662" s="17"/>
    </row>
    <row r="663" spans="1:1" customFormat="1" ht="15.75" customHeight="1">
      <c r="A663" s="17"/>
    </row>
    <row r="664" spans="1:1" customFormat="1" ht="15.75" customHeight="1">
      <c r="A664" s="17"/>
    </row>
    <row r="665" spans="1:1" customFormat="1" ht="15.75" customHeight="1">
      <c r="A665" s="17"/>
    </row>
    <row r="666" spans="1:1" customFormat="1" ht="15.75" customHeight="1">
      <c r="A666" s="17"/>
    </row>
    <row r="667" spans="1:1" customFormat="1" ht="15.75" customHeight="1">
      <c r="A667" s="17"/>
    </row>
    <row r="668" spans="1:1" customFormat="1" ht="15.75" customHeight="1">
      <c r="A668" s="17"/>
    </row>
    <row r="669" spans="1:1" customFormat="1" ht="15.75" customHeight="1">
      <c r="A669" s="17"/>
    </row>
    <row r="670" spans="1:1" customFormat="1" ht="15.75" customHeight="1">
      <c r="A670" s="17"/>
    </row>
    <row r="671" spans="1:1" customFormat="1" ht="15.75" customHeight="1">
      <c r="A671" s="17"/>
    </row>
    <row r="672" spans="1:1" customFormat="1" ht="15.75" customHeight="1">
      <c r="A672" s="17"/>
    </row>
    <row r="673" spans="1:1" customFormat="1" ht="15.75" customHeight="1">
      <c r="A673" s="17"/>
    </row>
    <row r="674" spans="1:1" customFormat="1" ht="15.75" customHeight="1">
      <c r="A674" s="17"/>
    </row>
    <row r="675" spans="1:1" customFormat="1" ht="15.75" customHeight="1">
      <c r="A675" s="17"/>
    </row>
    <row r="676" spans="1:1" customFormat="1" ht="15.75" customHeight="1">
      <c r="A676" s="17"/>
    </row>
    <row r="677" spans="1:1" customFormat="1" ht="15.75" customHeight="1">
      <c r="A677" s="17"/>
    </row>
    <row r="678" spans="1:1" customFormat="1" ht="15.75" customHeight="1">
      <c r="A678" s="17"/>
    </row>
    <row r="679" spans="1:1" customFormat="1" ht="15.75" customHeight="1">
      <c r="A679" s="17"/>
    </row>
    <row r="680" spans="1:1" customFormat="1" ht="15.75" customHeight="1">
      <c r="A680" s="17"/>
    </row>
    <row r="681" spans="1:1" customFormat="1" ht="15.75" customHeight="1">
      <c r="A681" s="17"/>
    </row>
    <row r="682" spans="1:1" customFormat="1" ht="15.75" customHeight="1">
      <c r="A682" s="17"/>
    </row>
    <row r="683" spans="1:1" customFormat="1" ht="15.75" customHeight="1">
      <c r="A683" s="17"/>
    </row>
    <row r="684" spans="1:1" customFormat="1" ht="15.75" customHeight="1">
      <c r="A684" s="17"/>
    </row>
    <row r="685" spans="1:1" customFormat="1" ht="15.75" customHeight="1">
      <c r="A685" s="17"/>
    </row>
    <row r="686" spans="1:1" customFormat="1" ht="15.75" customHeight="1">
      <c r="A686" s="17"/>
    </row>
    <row r="687" spans="1:1" customFormat="1" ht="15.75" customHeight="1">
      <c r="A687" s="17"/>
    </row>
    <row r="688" spans="1:1" customFormat="1" ht="15.75" customHeight="1">
      <c r="A688" s="17"/>
    </row>
    <row r="689" spans="1:1" customFormat="1" ht="15.75" customHeight="1">
      <c r="A689" s="17"/>
    </row>
    <row r="690" spans="1:1" customFormat="1" ht="15.75" customHeight="1">
      <c r="A690" s="17"/>
    </row>
    <row r="691" spans="1:1" customFormat="1" ht="15.75" customHeight="1">
      <c r="A691" s="17"/>
    </row>
    <row r="692" spans="1:1" customFormat="1" ht="15.75" customHeight="1">
      <c r="A692" s="17"/>
    </row>
    <row r="693" spans="1:1" customFormat="1" ht="15.75" customHeight="1">
      <c r="A693" s="17"/>
    </row>
    <row r="694" spans="1:1" customFormat="1" ht="15.75" customHeight="1">
      <c r="A694" s="17"/>
    </row>
    <row r="695" spans="1:1" customFormat="1" ht="15.75" customHeight="1">
      <c r="A695" s="17"/>
    </row>
    <row r="696" spans="1:1" customFormat="1" ht="15.75" customHeight="1">
      <c r="A696" s="17"/>
    </row>
    <row r="697" spans="1:1" customFormat="1" ht="15.75" customHeight="1">
      <c r="A697" s="17"/>
    </row>
    <row r="698" spans="1:1" customFormat="1" ht="15.75" customHeight="1">
      <c r="A698" s="17"/>
    </row>
    <row r="699" spans="1:1" customFormat="1" ht="15.75" customHeight="1">
      <c r="A699" s="17"/>
    </row>
    <row r="700" spans="1:1" customFormat="1" ht="15.75" customHeight="1">
      <c r="A700" s="17"/>
    </row>
    <row r="701" spans="1:1" customFormat="1" ht="15.75" customHeight="1">
      <c r="A701" s="17"/>
    </row>
    <row r="702" spans="1:1" customFormat="1" ht="15.75" customHeight="1">
      <c r="A702" s="17"/>
    </row>
    <row r="703" spans="1:1" customFormat="1" ht="15.75" customHeight="1">
      <c r="A703" s="17"/>
    </row>
    <row r="704" spans="1:1" customFormat="1" ht="15.75" customHeight="1">
      <c r="A704" s="17"/>
    </row>
    <row r="705" spans="1:1" customFormat="1" ht="15.75" customHeight="1">
      <c r="A705" s="17"/>
    </row>
    <row r="706" spans="1:1" customFormat="1" ht="15.75" customHeight="1">
      <c r="A706" s="17"/>
    </row>
    <row r="707" spans="1:1" customFormat="1" ht="15.75" customHeight="1">
      <c r="A707" s="17"/>
    </row>
    <row r="708" spans="1:1" customFormat="1" ht="15.75" customHeight="1">
      <c r="A708" s="17"/>
    </row>
    <row r="709" spans="1:1" customFormat="1" ht="15.75" customHeight="1">
      <c r="A709" s="17"/>
    </row>
    <row r="710" spans="1:1" customFormat="1" ht="15.75" customHeight="1">
      <c r="A710" s="17"/>
    </row>
    <row r="711" spans="1:1" customFormat="1" ht="15.75" customHeight="1">
      <c r="A711" s="17"/>
    </row>
    <row r="712" spans="1:1" customFormat="1" ht="15.75" customHeight="1">
      <c r="A712" s="17"/>
    </row>
    <row r="713" spans="1:1" customFormat="1" ht="15.75" customHeight="1">
      <c r="A713" s="17"/>
    </row>
    <row r="714" spans="1:1" customFormat="1" ht="15.75" customHeight="1">
      <c r="A714" s="17"/>
    </row>
    <row r="715" spans="1:1" customFormat="1" ht="15.75" customHeight="1">
      <c r="A715" s="17"/>
    </row>
    <row r="716" spans="1:1" customFormat="1" ht="15.75" customHeight="1">
      <c r="A716" s="17"/>
    </row>
    <row r="717" spans="1:1" customFormat="1" ht="15.75" customHeight="1">
      <c r="A717" s="17"/>
    </row>
    <row r="718" spans="1:1" customFormat="1" ht="15.75" customHeight="1">
      <c r="A718" s="17"/>
    </row>
    <row r="719" spans="1:1" customFormat="1" ht="15.75" customHeight="1">
      <c r="A719" s="17"/>
    </row>
    <row r="720" spans="1:1" customFormat="1" ht="15.75" customHeight="1">
      <c r="A720" s="17"/>
    </row>
    <row r="721" spans="1:1" customFormat="1" ht="15.75" customHeight="1">
      <c r="A721" s="17"/>
    </row>
    <row r="722" spans="1:1" customFormat="1" ht="15.75" customHeight="1">
      <c r="A722" s="17"/>
    </row>
    <row r="723" spans="1:1" customFormat="1" ht="15.75" customHeight="1">
      <c r="A723" s="17"/>
    </row>
    <row r="724" spans="1:1" customFormat="1" ht="15.75" customHeight="1">
      <c r="A724" s="17"/>
    </row>
    <row r="725" spans="1:1" customFormat="1" ht="15.75" customHeight="1">
      <c r="A725" s="17"/>
    </row>
    <row r="726" spans="1:1" customFormat="1" ht="15.75" customHeight="1">
      <c r="A726" s="17"/>
    </row>
    <row r="727" spans="1:1" customFormat="1" ht="15.75" customHeight="1">
      <c r="A727" s="17"/>
    </row>
    <row r="728" spans="1:1" customFormat="1" ht="15.75" customHeight="1">
      <c r="A728" s="17"/>
    </row>
    <row r="729" spans="1:1" customFormat="1" ht="15.75" customHeight="1">
      <c r="A729" s="17"/>
    </row>
    <row r="730" spans="1:1" customFormat="1" ht="15.75" customHeight="1">
      <c r="A730" s="17"/>
    </row>
    <row r="731" spans="1:1" customFormat="1" ht="15.75" customHeight="1">
      <c r="A731" s="17"/>
    </row>
    <row r="732" spans="1:1" customFormat="1" ht="15.75" customHeight="1">
      <c r="A732" s="17"/>
    </row>
    <row r="733" spans="1:1" customFormat="1" ht="15.75" customHeight="1">
      <c r="A733" s="17"/>
    </row>
    <row r="734" spans="1:1" customFormat="1" ht="15.75" customHeight="1">
      <c r="A734" s="17"/>
    </row>
    <row r="735" spans="1:1" customFormat="1" ht="15.75" customHeight="1">
      <c r="A735" s="17"/>
    </row>
    <row r="736" spans="1:1" customFormat="1" ht="15.75" customHeight="1">
      <c r="A736" s="17"/>
    </row>
    <row r="737" spans="1:1" customFormat="1" ht="15.75" customHeight="1">
      <c r="A737" s="17"/>
    </row>
    <row r="738" spans="1:1" customFormat="1" ht="15.75" customHeight="1">
      <c r="A738" s="17"/>
    </row>
    <row r="739" spans="1:1" customFormat="1" ht="15.75" customHeight="1">
      <c r="A739" s="17"/>
    </row>
    <row r="740" spans="1:1" customFormat="1" ht="15.75" customHeight="1">
      <c r="A740" s="17"/>
    </row>
    <row r="741" spans="1:1" customFormat="1" ht="15.75" customHeight="1">
      <c r="A741" s="17"/>
    </row>
    <row r="742" spans="1:1" customFormat="1" ht="15.75" customHeight="1">
      <c r="A742" s="17"/>
    </row>
    <row r="743" spans="1:1" customFormat="1" ht="15.75" customHeight="1">
      <c r="A743" s="17"/>
    </row>
    <row r="744" spans="1:1" customFormat="1" ht="15.75" customHeight="1">
      <c r="A744" s="17"/>
    </row>
    <row r="745" spans="1:1" customFormat="1" ht="15.75" customHeight="1">
      <c r="A745" s="17"/>
    </row>
    <row r="746" spans="1:1" customFormat="1" ht="15.75" customHeight="1">
      <c r="A746" s="17"/>
    </row>
    <row r="747" spans="1:1" customFormat="1" ht="15.75" customHeight="1">
      <c r="A747" s="17"/>
    </row>
    <row r="748" spans="1:1" customFormat="1" ht="15.75" customHeight="1">
      <c r="A748" s="17"/>
    </row>
    <row r="749" spans="1:1" customFormat="1" ht="15.75" customHeight="1">
      <c r="A749" s="17"/>
    </row>
    <row r="750" spans="1:1" customFormat="1" ht="15.75" customHeight="1">
      <c r="A750" s="17"/>
    </row>
    <row r="751" spans="1:1" customFormat="1" ht="15.75" customHeight="1">
      <c r="A751" s="17"/>
    </row>
    <row r="752" spans="1:1" customFormat="1" ht="15.75" customHeight="1">
      <c r="A752" s="17"/>
    </row>
    <row r="753" spans="1:1" customFormat="1" ht="15.75" customHeight="1">
      <c r="A753" s="17"/>
    </row>
    <row r="754" spans="1:1" customFormat="1" ht="15.75" customHeight="1">
      <c r="A754" s="17"/>
    </row>
    <row r="755" spans="1:1" customFormat="1" ht="15.75" customHeight="1">
      <c r="A755" s="17"/>
    </row>
    <row r="756" spans="1:1" customFormat="1" ht="15.75" customHeight="1">
      <c r="A756" s="17"/>
    </row>
    <row r="757" spans="1:1" customFormat="1" ht="15.75" customHeight="1">
      <c r="A757" s="17"/>
    </row>
    <row r="758" spans="1:1" customFormat="1" ht="15.75" customHeight="1">
      <c r="A758" s="17"/>
    </row>
    <row r="759" spans="1:1" customFormat="1" ht="15.75" customHeight="1">
      <c r="A759" s="17"/>
    </row>
    <row r="760" spans="1:1" customFormat="1" ht="15.75" customHeight="1">
      <c r="A760" s="17"/>
    </row>
    <row r="761" spans="1:1" customFormat="1" ht="15.75" customHeight="1">
      <c r="A761" s="17"/>
    </row>
    <row r="762" spans="1:1" customFormat="1" ht="15.75" customHeight="1">
      <c r="A762" s="17"/>
    </row>
    <row r="763" spans="1:1" customFormat="1" ht="15.75" customHeight="1">
      <c r="A763" s="17"/>
    </row>
    <row r="764" spans="1:1" customFormat="1" ht="15.75" customHeight="1">
      <c r="A764" s="17"/>
    </row>
    <row r="765" spans="1:1" customFormat="1" ht="15.75" customHeight="1">
      <c r="A765" s="17"/>
    </row>
    <row r="766" spans="1:1" customFormat="1" ht="15.75" customHeight="1">
      <c r="A766" s="17"/>
    </row>
    <row r="767" spans="1:1" customFormat="1" ht="15.75" customHeight="1">
      <c r="A767" s="17"/>
    </row>
    <row r="768" spans="1:1" customFormat="1" ht="15.75" customHeight="1">
      <c r="A768" s="17"/>
    </row>
    <row r="769" spans="1:1" customFormat="1" ht="15.75" customHeight="1">
      <c r="A769" s="17"/>
    </row>
    <row r="770" spans="1:1" customFormat="1" ht="15.75" customHeight="1">
      <c r="A770" s="17"/>
    </row>
    <row r="771" spans="1:1" customFormat="1" ht="15.75" customHeight="1">
      <c r="A771" s="17"/>
    </row>
    <row r="772" spans="1:1" customFormat="1" ht="15.75" customHeight="1">
      <c r="A772" s="17"/>
    </row>
    <row r="773" spans="1:1" customFormat="1" ht="15.75" customHeight="1">
      <c r="A773" s="17"/>
    </row>
    <row r="774" spans="1:1" customFormat="1" ht="15.75" customHeight="1">
      <c r="A774" s="17"/>
    </row>
    <row r="775" spans="1:1" customFormat="1" ht="15.75" customHeight="1">
      <c r="A775" s="17"/>
    </row>
    <row r="776" spans="1:1" customFormat="1" ht="15.75" customHeight="1">
      <c r="A776" s="17"/>
    </row>
    <row r="777" spans="1:1" customFormat="1" ht="15.75" customHeight="1">
      <c r="A777" s="17"/>
    </row>
    <row r="778" spans="1:1" customFormat="1" ht="15.75" customHeight="1">
      <c r="A778" s="17"/>
    </row>
    <row r="779" spans="1:1" customFormat="1" ht="15.75" customHeight="1">
      <c r="A779" s="17"/>
    </row>
    <row r="780" spans="1:1" customFormat="1" ht="15.75" customHeight="1">
      <c r="A780" s="17"/>
    </row>
    <row r="781" spans="1:1" customFormat="1" ht="15.75" customHeight="1">
      <c r="A781" s="17"/>
    </row>
    <row r="782" spans="1:1" customFormat="1" ht="15.75" customHeight="1">
      <c r="A782" s="17"/>
    </row>
    <row r="783" spans="1:1" customFormat="1" ht="15.75" customHeight="1">
      <c r="A783" s="17"/>
    </row>
    <row r="784" spans="1:1" customFormat="1" ht="15.75" customHeight="1">
      <c r="A784" s="17"/>
    </row>
    <row r="785" spans="1:1" customFormat="1" ht="15.75" customHeight="1">
      <c r="A785" s="17"/>
    </row>
    <row r="786" spans="1:1" customFormat="1" ht="15.75" customHeight="1">
      <c r="A786" s="17"/>
    </row>
    <row r="787" spans="1:1" customFormat="1" ht="15.75" customHeight="1">
      <c r="A787" s="17"/>
    </row>
    <row r="788" spans="1:1" customFormat="1" ht="15.75" customHeight="1">
      <c r="A788" s="17"/>
    </row>
    <row r="789" spans="1:1" customFormat="1" ht="15.75" customHeight="1">
      <c r="A789" s="17"/>
    </row>
    <row r="790" spans="1:1" customFormat="1" ht="15.75" customHeight="1">
      <c r="A790" s="17"/>
    </row>
    <row r="791" spans="1:1" customFormat="1" ht="15.75" customHeight="1">
      <c r="A791" s="17"/>
    </row>
    <row r="792" spans="1:1" customFormat="1" ht="15.75" customHeight="1">
      <c r="A792" s="17"/>
    </row>
    <row r="793" spans="1:1" customFormat="1" ht="15.75" customHeight="1">
      <c r="A793" s="17"/>
    </row>
    <row r="794" spans="1:1" customFormat="1" ht="15.75" customHeight="1">
      <c r="A794" s="17"/>
    </row>
    <row r="795" spans="1:1" customFormat="1" ht="15.75" customHeight="1">
      <c r="A795" s="17"/>
    </row>
    <row r="796" spans="1:1" customFormat="1" ht="15.75" customHeight="1">
      <c r="A796" s="17"/>
    </row>
    <row r="797" spans="1:1" customFormat="1" ht="15.75" customHeight="1">
      <c r="A797" s="17"/>
    </row>
    <row r="798" spans="1:1" customFormat="1" ht="15.75" customHeight="1">
      <c r="A798" s="17"/>
    </row>
    <row r="799" spans="1:1" customFormat="1" ht="15.75" customHeight="1">
      <c r="A799" s="17"/>
    </row>
    <row r="800" spans="1:1" customFormat="1" ht="15.75" customHeight="1">
      <c r="A800" s="17"/>
    </row>
    <row r="801" spans="1:1" customFormat="1" ht="15.75" customHeight="1">
      <c r="A801" s="17"/>
    </row>
    <row r="802" spans="1:1" customFormat="1" ht="15.75" customHeight="1">
      <c r="A802" s="17"/>
    </row>
    <row r="803" spans="1:1" customFormat="1" ht="15.75" customHeight="1">
      <c r="A803" s="17"/>
    </row>
    <row r="804" spans="1:1" customFormat="1" ht="15.75" customHeight="1">
      <c r="A804" s="17"/>
    </row>
    <row r="805" spans="1:1" customFormat="1" ht="15.75" customHeight="1">
      <c r="A805" s="17"/>
    </row>
    <row r="806" spans="1:1" customFormat="1" ht="15.75" customHeight="1">
      <c r="A806" s="17"/>
    </row>
    <row r="807" spans="1:1" customFormat="1" ht="15.75" customHeight="1">
      <c r="A807" s="17"/>
    </row>
    <row r="808" spans="1:1" customFormat="1" ht="15.75" customHeight="1">
      <c r="A808" s="17"/>
    </row>
    <row r="809" spans="1:1" customFormat="1" ht="15.75" customHeight="1">
      <c r="A809" s="17"/>
    </row>
    <row r="810" spans="1:1" customFormat="1" ht="15.75" customHeight="1">
      <c r="A810" s="17"/>
    </row>
    <row r="811" spans="1:1" customFormat="1" ht="15.75" customHeight="1">
      <c r="A811" s="17"/>
    </row>
    <row r="812" spans="1:1" customFormat="1" ht="15.75" customHeight="1">
      <c r="A812" s="17"/>
    </row>
    <row r="813" spans="1:1" customFormat="1" ht="15.75" customHeight="1">
      <c r="A813" s="17"/>
    </row>
    <row r="814" spans="1:1" customFormat="1" ht="15.75" customHeight="1">
      <c r="A814" s="17"/>
    </row>
    <row r="815" spans="1:1" customFormat="1" ht="15.75" customHeight="1">
      <c r="A815" s="17"/>
    </row>
    <row r="816" spans="1:1" customFormat="1" ht="15.75" customHeight="1">
      <c r="A816" s="17"/>
    </row>
    <row r="817" spans="1:1" customFormat="1" ht="15.75" customHeight="1">
      <c r="A817" s="17"/>
    </row>
    <row r="818" spans="1:1" customFormat="1" ht="15.75" customHeight="1">
      <c r="A818" s="17"/>
    </row>
    <row r="819" spans="1:1" customFormat="1" ht="15.75" customHeight="1">
      <c r="A819" s="17"/>
    </row>
    <row r="820" spans="1:1" customFormat="1" ht="15.75" customHeight="1">
      <c r="A820" s="17"/>
    </row>
    <row r="821" spans="1:1" customFormat="1" ht="15.75" customHeight="1">
      <c r="A821" s="17"/>
    </row>
    <row r="822" spans="1:1" customFormat="1" ht="15.75" customHeight="1">
      <c r="A822" s="17"/>
    </row>
    <row r="823" spans="1:1" customFormat="1" ht="15.75" customHeight="1">
      <c r="A823" s="17"/>
    </row>
    <row r="824" spans="1:1" customFormat="1" ht="15.75" customHeight="1">
      <c r="A824" s="17"/>
    </row>
    <row r="825" spans="1:1" customFormat="1" ht="15.75" customHeight="1">
      <c r="A825" s="17"/>
    </row>
    <row r="826" spans="1:1" customFormat="1" ht="15.75" customHeight="1">
      <c r="A826" s="17"/>
    </row>
    <row r="827" spans="1:1" customFormat="1" ht="15.75" customHeight="1">
      <c r="A827" s="17"/>
    </row>
    <row r="828" spans="1:1" customFormat="1" ht="15.75" customHeight="1">
      <c r="A828" s="17"/>
    </row>
    <row r="829" spans="1:1" customFormat="1" ht="15.75" customHeight="1">
      <c r="A829" s="17"/>
    </row>
    <row r="830" spans="1:1" customFormat="1" ht="15.75" customHeight="1">
      <c r="A830" s="17"/>
    </row>
    <row r="831" spans="1:1" customFormat="1" ht="15.75" customHeight="1">
      <c r="A831" s="17"/>
    </row>
    <row r="832" spans="1:1" customFormat="1" ht="15.75" customHeight="1">
      <c r="A832" s="17"/>
    </row>
    <row r="833" spans="1:1" customFormat="1" ht="15.75" customHeight="1">
      <c r="A833" s="17"/>
    </row>
    <row r="834" spans="1:1" customFormat="1" ht="15.75" customHeight="1">
      <c r="A834" s="17"/>
    </row>
    <row r="835" spans="1:1" customFormat="1" ht="15.75" customHeight="1">
      <c r="A835" s="17"/>
    </row>
    <row r="836" spans="1:1" customFormat="1" ht="15.75" customHeight="1">
      <c r="A836" s="17"/>
    </row>
    <row r="837" spans="1:1" customFormat="1" ht="15.75" customHeight="1">
      <c r="A837" s="17"/>
    </row>
    <row r="838" spans="1:1" customFormat="1" ht="15.75" customHeight="1">
      <c r="A838" s="17"/>
    </row>
    <row r="839" spans="1:1" customFormat="1" ht="15.75" customHeight="1">
      <c r="A839" s="17"/>
    </row>
    <row r="840" spans="1:1" customFormat="1" ht="15.75" customHeight="1">
      <c r="A840" s="17"/>
    </row>
    <row r="841" spans="1:1" customFormat="1" ht="15.75" customHeight="1">
      <c r="A841" s="17"/>
    </row>
    <row r="842" spans="1:1" customFormat="1" ht="15.75" customHeight="1">
      <c r="A842" s="17"/>
    </row>
    <row r="843" spans="1:1" customFormat="1" ht="15.75" customHeight="1">
      <c r="A843" s="17"/>
    </row>
    <row r="844" spans="1:1" customFormat="1" ht="15.75" customHeight="1">
      <c r="A844" s="17"/>
    </row>
    <row r="845" spans="1:1" customFormat="1" ht="15.75" customHeight="1">
      <c r="A845" s="17"/>
    </row>
    <row r="846" spans="1:1" customFormat="1" ht="15.75" customHeight="1">
      <c r="A846" s="17"/>
    </row>
    <row r="847" spans="1:1" customFormat="1" ht="15.75" customHeight="1">
      <c r="A847" s="17"/>
    </row>
    <row r="848" spans="1:1" customFormat="1" ht="15.75" customHeight="1">
      <c r="A848" s="17"/>
    </row>
    <row r="849" spans="1:1" customFormat="1" ht="15.75" customHeight="1">
      <c r="A849" s="17"/>
    </row>
    <row r="850" spans="1:1" customFormat="1" ht="15.75" customHeight="1">
      <c r="A850" s="17"/>
    </row>
    <row r="851" spans="1:1" customFormat="1" ht="15.75" customHeight="1">
      <c r="A851" s="17"/>
    </row>
    <row r="852" spans="1:1" customFormat="1" ht="15.75" customHeight="1">
      <c r="A852" s="17"/>
    </row>
    <row r="853" spans="1:1" customFormat="1" ht="15.75" customHeight="1">
      <c r="A853" s="17"/>
    </row>
    <row r="854" spans="1:1" customFormat="1" ht="15.75" customHeight="1">
      <c r="A854" s="17"/>
    </row>
    <row r="855" spans="1:1" customFormat="1" ht="15.75" customHeight="1">
      <c r="A855" s="17"/>
    </row>
    <row r="856" spans="1:1" customFormat="1" ht="15.75" customHeight="1">
      <c r="A856" s="17"/>
    </row>
    <row r="857" spans="1:1" customFormat="1" ht="15.75" customHeight="1">
      <c r="A857" s="17"/>
    </row>
    <row r="858" spans="1:1" customFormat="1" ht="15.75" customHeight="1">
      <c r="A858" s="17"/>
    </row>
    <row r="859" spans="1:1" customFormat="1" ht="15.75" customHeight="1">
      <c r="A859" s="17"/>
    </row>
    <row r="860" spans="1:1" customFormat="1" ht="15.75" customHeight="1">
      <c r="A860" s="17"/>
    </row>
    <row r="861" spans="1:1" customFormat="1" ht="15.75" customHeight="1">
      <c r="A861" s="17"/>
    </row>
    <row r="862" spans="1:1" customFormat="1" ht="15.75" customHeight="1">
      <c r="A862" s="17"/>
    </row>
    <row r="863" spans="1:1" customFormat="1" ht="15.75" customHeight="1">
      <c r="A863" s="17"/>
    </row>
    <row r="864" spans="1:1" customFormat="1" ht="15.75" customHeight="1">
      <c r="A864" s="17"/>
    </row>
    <row r="865" spans="1:1" customFormat="1" ht="15.75" customHeight="1">
      <c r="A865" s="17"/>
    </row>
    <row r="866" spans="1:1" customFormat="1" ht="15.75" customHeight="1">
      <c r="A866" s="17"/>
    </row>
    <row r="867" spans="1:1" customFormat="1" ht="15.75" customHeight="1">
      <c r="A867" s="17"/>
    </row>
    <row r="868" spans="1:1" customFormat="1" ht="15.75" customHeight="1">
      <c r="A868" s="17"/>
    </row>
    <row r="869" spans="1:1" customFormat="1" ht="15.75" customHeight="1">
      <c r="A869" s="17"/>
    </row>
    <row r="870" spans="1:1" customFormat="1" ht="15.75" customHeight="1">
      <c r="A870" s="17"/>
    </row>
    <row r="871" spans="1:1" customFormat="1" ht="15.75" customHeight="1">
      <c r="A871" s="17"/>
    </row>
    <row r="872" spans="1:1" customFormat="1" ht="15.75" customHeight="1">
      <c r="A872" s="17"/>
    </row>
    <row r="873" spans="1:1" customFormat="1" ht="15.75" customHeight="1">
      <c r="A873" s="17"/>
    </row>
    <row r="874" spans="1:1" customFormat="1" ht="15.75" customHeight="1">
      <c r="A874" s="17"/>
    </row>
    <row r="875" spans="1:1" customFormat="1" ht="15.75" customHeight="1">
      <c r="A875" s="17"/>
    </row>
    <row r="876" spans="1:1" customFormat="1" ht="15.75" customHeight="1">
      <c r="A876" s="17"/>
    </row>
    <row r="877" spans="1:1" customFormat="1" ht="15.75" customHeight="1">
      <c r="A877" s="17"/>
    </row>
    <row r="878" spans="1:1" customFormat="1" ht="15.75" customHeight="1">
      <c r="A878" s="17"/>
    </row>
    <row r="879" spans="1:1" customFormat="1" ht="15.75" customHeight="1">
      <c r="A879" s="17"/>
    </row>
    <row r="880" spans="1:1" customFormat="1" ht="15.75" customHeight="1">
      <c r="A880" s="17"/>
    </row>
    <row r="881" spans="1:1" customFormat="1" ht="15.75" customHeight="1">
      <c r="A881" s="17"/>
    </row>
    <row r="882" spans="1:1" customFormat="1" ht="15.75" customHeight="1">
      <c r="A882" s="17"/>
    </row>
    <row r="883" spans="1:1" customFormat="1" ht="15.75" customHeight="1">
      <c r="A883" s="17"/>
    </row>
    <row r="884" spans="1:1" customFormat="1" ht="15.75" customHeight="1">
      <c r="A884" s="17"/>
    </row>
    <row r="885" spans="1:1" customFormat="1" ht="15.75" customHeight="1">
      <c r="A885" s="17"/>
    </row>
    <row r="886" spans="1:1" customFormat="1" ht="15.75" customHeight="1">
      <c r="A886" s="17"/>
    </row>
    <row r="887" spans="1:1" customFormat="1" ht="15.75" customHeight="1">
      <c r="A887" s="17"/>
    </row>
    <row r="888" spans="1:1" customFormat="1" ht="15.75" customHeight="1">
      <c r="A888" s="17"/>
    </row>
    <row r="889" spans="1:1" customFormat="1" ht="15.75" customHeight="1">
      <c r="A889" s="17"/>
    </row>
    <row r="890" spans="1:1" customFormat="1" ht="15.75" customHeight="1">
      <c r="A890" s="17"/>
    </row>
    <row r="891" spans="1:1" customFormat="1" ht="15.75" customHeight="1">
      <c r="A891" s="17"/>
    </row>
    <row r="892" spans="1:1" customFormat="1" ht="15.75" customHeight="1">
      <c r="A892" s="17"/>
    </row>
    <row r="893" spans="1:1" customFormat="1" ht="15.75" customHeight="1">
      <c r="A893" s="17"/>
    </row>
    <row r="894" spans="1:1" customFormat="1" ht="15.75" customHeight="1">
      <c r="A894" s="17"/>
    </row>
    <row r="895" spans="1:1" customFormat="1" ht="15.75" customHeight="1">
      <c r="A895" s="17"/>
    </row>
    <row r="896" spans="1:1" customFormat="1" ht="15.75" customHeight="1">
      <c r="A896" s="17"/>
    </row>
    <row r="897" spans="1:1" customFormat="1" ht="15.75" customHeight="1">
      <c r="A897" s="17"/>
    </row>
    <row r="898" spans="1:1" customFormat="1" ht="15.75" customHeight="1">
      <c r="A898" s="17"/>
    </row>
    <row r="899" spans="1:1" customFormat="1" ht="15.75" customHeight="1">
      <c r="A899" s="17"/>
    </row>
    <row r="900" spans="1:1" customFormat="1" ht="15.75" customHeight="1">
      <c r="A900" s="17"/>
    </row>
    <row r="901" spans="1:1" customFormat="1" ht="15.75" customHeight="1">
      <c r="A901" s="17"/>
    </row>
    <row r="902" spans="1:1" customFormat="1" ht="15.75" customHeight="1">
      <c r="A902" s="17"/>
    </row>
    <row r="903" spans="1:1" customFormat="1" ht="15.75" customHeight="1">
      <c r="A903" s="17"/>
    </row>
    <row r="904" spans="1:1" customFormat="1" ht="15.75" customHeight="1">
      <c r="A904" s="17"/>
    </row>
    <row r="905" spans="1:1" customFormat="1" ht="15.75" customHeight="1">
      <c r="A905" s="17"/>
    </row>
    <row r="906" spans="1:1" customFormat="1" ht="15.75" customHeight="1">
      <c r="A906" s="17"/>
    </row>
    <row r="907" spans="1:1" customFormat="1" ht="15.75" customHeight="1">
      <c r="A907" s="17"/>
    </row>
    <row r="908" spans="1:1" customFormat="1" ht="15.75" customHeight="1">
      <c r="A908" s="17"/>
    </row>
    <row r="909" spans="1:1" customFormat="1" ht="15.75" customHeight="1">
      <c r="A909" s="17"/>
    </row>
    <row r="910" spans="1:1" customFormat="1" ht="15.75" customHeight="1">
      <c r="A910" s="17"/>
    </row>
    <row r="911" spans="1:1" customFormat="1" ht="15.75" customHeight="1">
      <c r="A911" s="17"/>
    </row>
    <row r="912" spans="1:1" customFormat="1" ht="15.75" customHeight="1">
      <c r="A912" s="17"/>
    </row>
    <row r="913" spans="1:1" customFormat="1" ht="15.75" customHeight="1">
      <c r="A913" s="17"/>
    </row>
    <row r="914" spans="1:1" customFormat="1" ht="15.75" customHeight="1">
      <c r="A914" s="17"/>
    </row>
    <row r="915" spans="1:1" customFormat="1" ht="15.75" customHeight="1">
      <c r="A915" s="17"/>
    </row>
    <row r="916" spans="1:1" customFormat="1" ht="15.75" customHeight="1">
      <c r="A916" s="17"/>
    </row>
    <row r="917" spans="1:1" customFormat="1" ht="15.75" customHeight="1">
      <c r="A917" s="17"/>
    </row>
    <row r="918" spans="1:1" customFormat="1" ht="15.75" customHeight="1">
      <c r="A918" s="17"/>
    </row>
    <row r="919" spans="1:1" customFormat="1" ht="15.75" customHeight="1">
      <c r="A919" s="17"/>
    </row>
    <row r="920" spans="1:1" customFormat="1" ht="15.75" customHeight="1">
      <c r="A920" s="17"/>
    </row>
    <row r="921" spans="1:1" customFormat="1" ht="15.75" customHeight="1">
      <c r="A921" s="17"/>
    </row>
    <row r="922" spans="1:1" customFormat="1" ht="15.75" customHeight="1">
      <c r="A922" s="17"/>
    </row>
    <row r="923" spans="1:1" customFormat="1" ht="15.75" customHeight="1">
      <c r="A923" s="17"/>
    </row>
    <row r="924" spans="1:1" customFormat="1" ht="15.75" customHeight="1">
      <c r="A924" s="17"/>
    </row>
    <row r="925" spans="1:1" customFormat="1" ht="15.75" customHeight="1">
      <c r="A925" s="17"/>
    </row>
    <row r="926" spans="1:1" customFormat="1" ht="15.75" customHeight="1">
      <c r="A926" s="17"/>
    </row>
    <row r="927" spans="1:1" customFormat="1" ht="15.75" customHeight="1">
      <c r="A927" s="17"/>
    </row>
    <row r="928" spans="1:1" customFormat="1" ht="15.75" customHeight="1">
      <c r="A928" s="17"/>
    </row>
    <row r="929" spans="1:1" customFormat="1" ht="15.75" customHeight="1">
      <c r="A929" s="17"/>
    </row>
    <row r="930" spans="1:1" customFormat="1" ht="15.75" customHeight="1">
      <c r="A930" s="17"/>
    </row>
    <row r="931" spans="1:1" customFormat="1" ht="15.75" customHeight="1">
      <c r="A931" s="17"/>
    </row>
    <row r="932" spans="1:1" customFormat="1" ht="15.75" customHeight="1">
      <c r="A932" s="17"/>
    </row>
    <row r="933" spans="1:1" customFormat="1" ht="15.75" customHeight="1">
      <c r="A933" s="17"/>
    </row>
    <row r="934" spans="1:1" customFormat="1" ht="15.75" customHeight="1">
      <c r="A934" s="17"/>
    </row>
    <row r="935" spans="1:1" customFormat="1" ht="15.75" customHeight="1">
      <c r="A935" s="17"/>
    </row>
    <row r="936" spans="1:1" customFormat="1" ht="15.75" customHeight="1">
      <c r="A936" s="17"/>
    </row>
    <row r="937" spans="1:1" customFormat="1" ht="15.75" customHeight="1">
      <c r="A937" s="17"/>
    </row>
    <row r="938" spans="1:1" customFormat="1" ht="15.75" customHeight="1">
      <c r="A938" s="17"/>
    </row>
    <row r="939" spans="1:1" customFormat="1" ht="15.75" customHeight="1">
      <c r="A939" s="17"/>
    </row>
    <row r="940" spans="1:1" customFormat="1" ht="15.75" customHeight="1">
      <c r="A940" s="17"/>
    </row>
    <row r="941" spans="1:1" customFormat="1" ht="15.75" customHeight="1">
      <c r="A941" s="17"/>
    </row>
    <row r="942" spans="1:1" customFormat="1" ht="15.75" customHeight="1">
      <c r="A942" s="17"/>
    </row>
    <row r="943" spans="1:1" customFormat="1" ht="15.75" customHeight="1">
      <c r="A943" s="17"/>
    </row>
    <row r="944" spans="1:1" customFormat="1" ht="15.75" customHeight="1">
      <c r="A944" s="17"/>
    </row>
    <row r="945" spans="1:1" customFormat="1" ht="15.75" customHeight="1">
      <c r="A945" s="17"/>
    </row>
    <row r="946" spans="1:1" customFormat="1" ht="15.75" customHeight="1">
      <c r="A946" s="17"/>
    </row>
    <row r="947" spans="1:1" customFormat="1" ht="15.75" customHeight="1">
      <c r="A947" s="17"/>
    </row>
    <row r="948" spans="1:1" customFormat="1" ht="15.75" customHeight="1">
      <c r="A948" s="17"/>
    </row>
    <row r="949" spans="1:1" customFormat="1" ht="15.75" customHeight="1">
      <c r="A949" s="17"/>
    </row>
    <row r="950" spans="1:1" customFormat="1" ht="15.75" customHeight="1">
      <c r="A950" s="17"/>
    </row>
    <row r="951" spans="1:1" customFormat="1" ht="15.75" customHeight="1">
      <c r="A951" s="17"/>
    </row>
    <row r="952" spans="1:1" customFormat="1" ht="15.75" customHeight="1">
      <c r="A952" s="17"/>
    </row>
    <row r="953" spans="1:1" customFormat="1" ht="15.75" customHeight="1">
      <c r="A953" s="17"/>
    </row>
    <row r="954" spans="1:1" customFormat="1" ht="15.75" customHeight="1">
      <c r="A954" s="17"/>
    </row>
    <row r="955" spans="1:1" customFormat="1" ht="15.75" customHeight="1">
      <c r="A955" s="17"/>
    </row>
    <row r="956" spans="1:1" customFormat="1" ht="15.75" customHeight="1">
      <c r="A956" s="17"/>
    </row>
    <row r="957" spans="1:1" customFormat="1" ht="15.75" customHeight="1">
      <c r="A957" s="17"/>
    </row>
    <row r="958" spans="1:1" customFormat="1" ht="15.75" customHeight="1">
      <c r="A958" s="17"/>
    </row>
    <row r="959" spans="1:1" customFormat="1" ht="15.75" customHeight="1">
      <c r="A959" s="17"/>
    </row>
    <row r="960" spans="1:1" customFormat="1" ht="15.75" customHeight="1">
      <c r="A960" s="17"/>
    </row>
    <row r="961" spans="1:1" customFormat="1" ht="15.75" customHeight="1">
      <c r="A961" s="17"/>
    </row>
    <row r="962" spans="1:1" customFormat="1" ht="15.75" customHeight="1">
      <c r="A962" s="17"/>
    </row>
    <row r="963" spans="1:1" customFormat="1" ht="15.75" customHeight="1">
      <c r="A963" s="17"/>
    </row>
    <row r="964" spans="1:1" customFormat="1" ht="15.75" customHeight="1">
      <c r="A964" s="17"/>
    </row>
    <row r="965" spans="1:1" customFormat="1" ht="15.75" customHeight="1">
      <c r="A965" s="17"/>
    </row>
    <row r="966" spans="1:1" customFormat="1" ht="15.75" customHeight="1">
      <c r="A966" s="17"/>
    </row>
    <row r="967" spans="1:1" customFormat="1" ht="15.75" customHeight="1">
      <c r="A967" s="17"/>
    </row>
    <row r="968" spans="1:1" customFormat="1" ht="15.75" customHeight="1">
      <c r="A968" s="17"/>
    </row>
    <row r="969" spans="1:1" customFormat="1" ht="15.75" customHeight="1">
      <c r="A969" s="17"/>
    </row>
    <row r="970" spans="1:1" customFormat="1" ht="15.75" customHeight="1">
      <c r="A970" s="17"/>
    </row>
    <row r="971" spans="1:1" customFormat="1" ht="15.75" customHeight="1">
      <c r="A971" s="17"/>
    </row>
    <row r="972" spans="1:1" customFormat="1" ht="15.75" customHeight="1">
      <c r="A972" s="17"/>
    </row>
    <row r="973" spans="1:1" customFormat="1" ht="15.75" customHeight="1">
      <c r="A973" s="17"/>
    </row>
    <row r="974" spans="1:1" customFormat="1" ht="15.75" customHeight="1">
      <c r="A974" s="17"/>
    </row>
    <row r="975" spans="1:1" customFormat="1" ht="15.75" customHeight="1">
      <c r="A975" s="17"/>
    </row>
    <row r="976" spans="1:1" customFormat="1" ht="15.75" customHeight="1">
      <c r="A976" s="17"/>
    </row>
    <row r="977" spans="1:1" customFormat="1" ht="15.75" customHeight="1">
      <c r="A977" s="17"/>
    </row>
    <row r="978" spans="1:1" customFormat="1" ht="15.75" customHeight="1">
      <c r="A978" s="17"/>
    </row>
    <row r="979" spans="1:1" customFormat="1" ht="15.75" customHeight="1">
      <c r="A979" s="17"/>
    </row>
    <row r="980" spans="1:1" customFormat="1" ht="15.75" customHeight="1">
      <c r="A980" s="17"/>
    </row>
    <row r="981" spans="1:1" customFormat="1" ht="15.75" customHeight="1">
      <c r="A981" s="17"/>
    </row>
    <row r="982" spans="1:1" customFormat="1" ht="15.75" customHeight="1">
      <c r="A982" s="17"/>
    </row>
    <row r="983" spans="1:1" customFormat="1" ht="15.75" customHeight="1">
      <c r="A983" s="17"/>
    </row>
    <row r="984" spans="1:1" customFormat="1" ht="15.75" customHeight="1">
      <c r="A984" s="17"/>
    </row>
    <row r="985" spans="1:1" customFormat="1" ht="15.75" customHeight="1">
      <c r="A985" s="17"/>
    </row>
    <row r="986" spans="1:1" customFormat="1" ht="15.75" customHeight="1">
      <c r="A986" s="17"/>
    </row>
    <row r="987" spans="1:1" customFormat="1" ht="15.75" customHeight="1">
      <c r="A987" s="17"/>
    </row>
    <row r="988" spans="1:1" customFormat="1" ht="15.75" customHeight="1">
      <c r="A988" s="17"/>
    </row>
    <row r="989" spans="1:1" customFormat="1" ht="15.75" customHeight="1">
      <c r="A989" s="17"/>
    </row>
    <row r="990" spans="1:1" customFormat="1" ht="15.75" customHeight="1">
      <c r="A990" s="17"/>
    </row>
    <row r="991" spans="1:1" customFormat="1" ht="15.75" customHeight="1">
      <c r="A991" s="17"/>
    </row>
    <row r="992" spans="1:1" customFormat="1" ht="15.75" customHeight="1">
      <c r="A992" s="17"/>
    </row>
    <row r="993" spans="1:1" customFormat="1" ht="15.75" customHeight="1">
      <c r="A993" s="17"/>
    </row>
    <row r="994" spans="1:1" customFormat="1" ht="15.75" customHeight="1">
      <c r="A994" s="17"/>
    </row>
    <row r="995" spans="1:1" customFormat="1" ht="15.75" customHeight="1">
      <c r="A995" s="17"/>
    </row>
    <row r="996" spans="1:1" customFormat="1" ht="15.75" customHeight="1">
      <c r="A996" s="17"/>
    </row>
    <row r="997" spans="1:1" customFormat="1" ht="15.75" customHeight="1">
      <c r="A997" s="17"/>
    </row>
    <row r="998" spans="1:1" customFormat="1" ht="15.75" customHeight="1">
      <c r="A998" s="17"/>
    </row>
    <row r="999" spans="1:1" customFormat="1" ht="15.75" customHeight="1">
      <c r="A999" s="17"/>
    </row>
    <row r="1000" spans="1:1" customFormat="1" ht="15.75" customHeight="1">
      <c r="A1000" s="17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389F-676B-46E6-A4E5-1E0858D4D8B6}">
  <dimension ref="A1:B484"/>
  <sheetViews>
    <sheetView tabSelected="1" workbookViewId="0">
      <selection activeCell="B9" sqref="B9"/>
    </sheetView>
  </sheetViews>
  <sheetFormatPr defaultRowHeight="15"/>
  <cols>
    <col min="1" max="1" width="9.42578125" bestFit="1" customWidth="1"/>
    <col min="2" max="2" width="18.42578125" bestFit="1" customWidth="1"/>
  </cols>
  <sheetData>
    <row r="1" spans="1:2">
      <c r="A1" t="s">
        <v>0</v>
      </c>
      <c r="B1" t="s">
        <v>11</v>
      </c>
    </row>
    <row r="2" spans="1:2">
      <c r="A2" t="s">
        <v>13</v>
      </c>
      <c r="B2" t="s">
        <v>359</v>
      </c>
    </row>
    <row r="3" spans="1:2">
      <c r="A3" t="s">
        <v>13</v>
      </c>
      <c r="B3" t="s">
        <v>360</v>
      </c>
    </row>
    <row r="4" spans="1:2">
      <c r="A4" t="s">
        <v>16</v>
      </c>
      <c r="B4" t="s">
        <v>361</v>
      </c>
    </row>
    <row r="5" spans="1:2">
      <c r="A5" t="s">
        <v>17</v>
      </c>
      <c r="B5" t="s">
        <v>362</v>
      </c>
    </row>
    <row r="6" spans="1:2">
      <c r="A6" t="s">
        <v>17</v>
      </c>
      <c r="B6" t="s">
        <v>360</v>
      </c>
    </row>
    <row r="7" spans="1:2">
      <c r="A7" t="s">
        <v>20</v>
      </c>
      <c r="B7" t="s">
        <v>359</v>
      </c>
    </row>
    <row r="8" spans="1:2">
      <c r="A8" t="s">
        <v>20</v>
      </c>
      <c r="B8" t="s">
        <v>360</v>
      </c>
    </row>
    <row r="9" spans="1:2">
      <c r="A9" t="s">
        <v>21</v>
      </c>
      <c r="B9" t="s">
        <v>361</v>
      </c>
    </row>
    <row r="10" spans="1:2">
      <c r="A10" t="s">
        <v>21</v>
      </c>
      <c r="B10" t="s">
        <v>363</v>
      </c>
    </row>
    <row r="11" spans="1:2">
      <c r="A11" t="s">
        <v>22</v>
      </c>
      <c r="B11" t="s">
        <v>361</v>
      </c>
    </row>
    <row r="12" spans="1:2">
      <c r="A12" t="s">
        <v>22</v>
      </c>
      <c r="B12" t="s">
        <v>363</v>
      </c>
    </row>
    <row r="13" spans="1:2">
      <c r="A13" t="s">
        <v>23</v>
      </c>
      <c r="B13" t="s">
        <v>359</v>
      </c>
    </row>
    <row r="14" spans="1:2">
      <c r="A14" t="s">
        <v>23</v>
      </c>
      <c r="B14" t="s">
        <v>360</v>
      </c>
    </row>
    <row r="15" spans="1:2">
      <c r="A15" t="s">
        <v>24</v>
      </c>
      <c r="B15" t="s">
        <v>361</v>
      </c>
    </row>
    <row r="16" spans="1:2">
      <c r="A16" t="s">
        <v>24</v>
      </c>
      <c r="B16" t="s">
        <v>362</v>
      </c>
    </row>
    <row r="17" spans="1:2">
      <c r="A17" t="s">
        <v>25</v>
      </c>
      <c r="B17" t="s">
        <v>360</v>
      </c>
    </row>
    <row r="18" spans="1:2">
      <c r="A18" t="s">
        <v>26</v>
      </c>
      <c r="B18" t="s">
        <v>360</v>
      </c>
    </row>
    <row r="19" spans="1:2">
      <c r="A19" t="s">
        <v>27</v>
      </c>
      <c r="B19" t="s">
        <v>359</v>
      </c>
    </row>
    <row r="20" spans="1:2">
      <c r="A20" t="s">
        <v>28</v>
      </c>
      <c r="B20" t="s">
        <v>359</v>
      </c>
    </row>
    <row r="21" spans="1:2">
      <c r="A21" t="s">
        <v>28</v>
      </c>
      <c r="B21" t="s">
        <v>360</v>
      </c>
    </row>
    <row r="22" spans="1:2">
      <c r="A22" t="s">
        <v>29</v>
      </c>
      <c r="B22" t="s">
        <v>362</v>
      </c>
    </row>
    <row r="23" spans="1:2">
      <c r="A23" t="s">
        <v>29</v>
      </c>
      <c r="B23" t="s">
        <v>360</v>
      </c>
    </row>
    <row r="24" spans="1:2">
      <c r="A24" t="s">
        <v>30</v>
      </c>
      <c r="B24" t="s">
        <v>360</v>
      </c>
    </row>
    <row r="25" spans="1:2">
      <c r="A25" t="s">
        <v>31</v>
      </c>
      <c r="B25" t="s">
        <v>360</v>
      </c>
    </row>
    <row r="26" spans="1:2">
      <c r="A26" t="s">
        <v>32</v>
      </c>
      <c r="B26" t="s">
        <v>362</v>
      </c>
    </row>
    <row r="27" spans="1:2">
      <c r="A27" t="s">
        <v>32</v>
      </c>
      <c r="B27" t="s">
        <v>360</v>
      </c>
    </row>
    <row r="28" spans="1:2">
      <c r="A28" t="s">
        <v>33</v>
      </c>
      <c r="B28" t="s">
        <v>360</v>
      </c>
    </row>
    <row r="29" spans="1:2">
      <c r="A29" t="s">
        <v>34</v>
      </c>
      <c r="B29" t="s">
        <v>360</v>
      </c>
    </row>
    <row r="30" spans="1:2">
      <c r="A30" t="s">
        <v>36</v>
      </c>
      <c r="B30" t="s">
        <v>361</v>
      </c>
    </row>
    <row r="31" spans="1:2">
      <c r="A31" t="s">
        <v>36</v>
      </c>
      <c r="B31" t="s">
        <v>359</v>
      </c>
    </row>
    <row r="32" spans="1:2">
      <c r="A32" t="s">
        <v>38</v>
      </c>
      <c r="B32" t="s">
        <v>361</v>
      </c>
    </row>
    <row r="33" spans="1:2">
      <c r="A33" t="s">
        <v>39</v>
      </c>
      <c r="B33" t="s">
        <v>360</v>
      </c>
    </row>
    <row r="34" spans="1:2">
      <c r="A34" t="s">
        <v>40</v>
      </c>
      <c r="B34" t="s">
        <v>359</v>
      </c>
    </row>
    <row r="35" spans="1:2">
      <c r="A35" t="s">
        <v>40</v>
      </c>
      <c r="B35" t="s">
        <v>360</v>
      </c>
    </row>
    <row r="36" spans="1:2">
      <c r="A36" t="s">
        <v>41</v>
      </c>
      <c r="B36" t="s">
        <v>361</v>
      </c>
    </row>
    <row r="37" spans="1:2">
      <c r="A37" t="s">
        <v>41</v>
      </c>
      <c r="B37" t="s">
        <v>359</v>
      </c>
    </row>
    <row r="38" spans="1:2">
      <c r="A38" t="s">
        <v>42</v>
      </c>
      <c r="B38" t="s">
        <v>359</v>
      </c>
    </row>
    <row r="39" spans="1:2">
      <c r="A39" t="s">
        <v>43</v>
      </c>
      <c r="B39" t="s">
        <v>361</v>
      </c>
    </row>
    <row r="40" spans="1:2">
      <c r="A40" t="s">
        <v>43</v>
      </c>
      <c r="B40" t="s">
        <v>359</v>
      </c>
    </row>
    <row r="41" spans="1:2">
      <c r="A41" t="s">
        <v>44</v>
      </c>
      <c r="B41" t="s">
        <v>361</v>
      </c>
    </row>
    <row r="42" spans="1:2">
      <c r="A42" t="s">
        <v>44</v>
      </c>
      <c r="B42" t="s">
        <v>362</v>
      </c>
    </row>
    <row r="43" spans="1:2">
      <c r="A43" t="s">
        <v>45</v>
      </c>
      <c r="B43" t="s">
        <v>359</v>
      </c>
    </row>
    <row r="44" spans="1:2">
      <c r="A44" t="s">
        <v>45</v>
      </c>
      <c r="B44" t="s">
        <v>360</v>
      </c>
    </row>
    <row r="45" spans="1:2">
      <c r="A45" t="s">
        <v>46</v>
      </c>
      <c r="B45" t="s">
        <v>361</v>
      </c>
    </row>
    <row r="46" spans="1:2">
      <c r="A46" t="s">
        <v>46</v>
      </c>
      <c r="B46" t="s">
        <v>359</v>
      </c>
    </row>
    <row r="47" spans="1:2">
      <c r="A47" t="s">
        <v>47</v>
      </c>
      <c r="B47" t="s">
        <v>362</v>
      </c>
    </row>
    <row r="48" spans="1:2">
      <c r="A48" t="s">
        <v>47</v>
      </c>
      <c r="B48" t="s">
        <v>360</v>
      </c>
    </row>
    <row r="49" spans="1:2">
      <c r="A49" t="s">
        <v>48</v>
      </c>
      <c r="B49" t="s">
        <v>360</v>
      </c>
    </row>
    <row r="50" spans="1:2">
      <c r="A50" t="s">
        <v>49</v>
      </c>
      <c r="B50" t="s">
        <v>359</v>
      </c>
    </row>
    <row r="51" spans="1:2">
      <c r="A51" t="s">
        <v>49</v>
      </c>
      <c r="B51" t="s">
        <v>360</v>
      </c>
    </row>
    <row r="52" spans="1:2">
      <c r="A52" t="s">
        <v>50</v>
      </c>
      <c r="B52" t="s">
        <v>359</v>
      </c>
    </row>
    <row r="53" spans="1:2">
      <c r="A53" t="s">
        <v>50</v>
      </c>
      <c r="B53" t="s">
        <v>360</v>
      </c>
    </row>
    <row r="54" spans="1:2">
      <c r="A54" t="s">
        <v>51</v>
      </c>
      <c r="B54" t="s">
        <v>361</v>
      </c>
    </row>
    <row r="55" spans="1:2">
      <c r="A55" t="s">
        <v>51</v>
      </c>
      <c r="B55" t="s">
        <v>362</v>
      </c>
    </row>
    <row r="56" spans="1:2">
      <c r="A56" t="s">
        <v>52</v>
      </c>
      <c r="B56" t="s">
        <v>359</v>
      </c>
    </row>
    <row r="57" spans="1:2">
      <c r="A57" t="s">
        <v>52</v>
      </c>
      <c r="B57" t="s">
        <v>360</v>
      </c>
    </row>
    <row r="58" spans="1:2">
      <c r="A58" t="s">
        <v>53</v>
      </c>
      <c r="B58" t="s">
        <v>362</v>
      </c>
    </row>
    <row r="59" spans="1:2">
      <c r="A59" t="s">
        <v>53</v>
      </c>
      <c r="B59" t="s">
        <v>360</v>
      </c>
    </row>
    <row r="60" spans="1:2">
      <c r="A60" t="s">
        <v>54</v>
      </c>
      <c r="B60" t="s">
        <v>361</v>
      </c>
    </row>
    <row r="61" spans="1:2">
      <c r="A61" t="s">
        <v>55</v>
      </c>
      <c r="B61" t="s">
        <v>362</v>
      </c>
    </row>
    <row r="62" spans="1:2">
      <c r="A62" t="s">
        <v>55</v>
      </c>
      <c r="B62" t="s">
        <v>360</v>
      </c>
    </row>
    <row r="63" spans="1:2">
      <c r="A63" t="s">
        <v>56</v>
      </c>
      <c r="B63" t="s">
        <v>360</v>
      </c>
    </row>
    <row r="64" spans="1:2">
      <c r="A64" t="s">
        <v>57</v>
      </c>
      <c r="B64" t="s">
        <v>361</v>
      </c>
    </row>
    <row r="65" spans="1:2">
      <c r="A65" t="s">
        <v>58</v>
      </c>
      <c r="B65" t="s">
        <v>360</v>
      </c>
    </row>
    <row r="66" spans="1:2">
      <c r="A66" t="s">
        <v>59</v>
      </c>
      <c r="B66" t="s">
        <v>359</v>
      </c>
    </row>
    <row r="67" spans="1:2">
      <c r="A67" t="s">
        <v>59</v>
      </c>
      <c r="B67" t="s">
        <v>360</v>
      </c>
    </row>
    <row r="68" spans="1:2">
      <c r="A68" t="s">
        <v>60</v>
      </c>
      <c r="B68" t="s">
        <v>360</v>
      </c>
    </row>
    <row r="69" spans="1:2">
      <c r="A69" t="s">
        <v>61</v>
      </c>
      <c r="B69" t="s">
        <v>359</v>
      </c>
    </row>
    <row r="70" spans="1:2">
      <c r="A70" t="s">
        <v>61</v>
      </c>
      <c r="B70" t="s">
        <v>360</v>
      </c>
    </row>
    <row r="71" spans="1:2">
      <c r="A71" t="s">
        <v>62</v>
      </c>
      <c r="B71" t="s">
        <v>361</v>
      </c>
    </row>
    <row r="72" spans="1:2">
      <c r="A72" t="s">
        <v>63</v>
      </c>
      <c r="B72" t="s">
        <v>361</v>
      </c>
    </row>
    <row r="73" spans="1:2">
      <c r="A73" t="s">
        <v>63</v>
      </c>
      <c r="B73" t="s">
        <v>363</v>
      </c>
    </row>
    <row r="74" spans="1:2">
      <c r="A74" t="s">
        <v>64</v>
      </c>
      <c r="B74" t="s">
        <v>361</v>
      </c>
    </row>
    <row r="75" spans="1:2">
      <c r="A75" t="s">
        <v>65</v>
      </c>
      <c r="B75" t="s">
        <v>361</v>
      </c>
    </row>
    <row r="76" spans="1:2">
      <c r="A76" t="s">
        <v>65</v>
      </c>
      <c r="B76" t="s">
        <v>359</v>
      </c>
    </row>
    <row r="77" spans="1:2">
      <c r="A77" t="s">
        <v>66</v>
      </c>
      <c r="B77" t="s">
        <v>360</v>
      </c>
    </row>
    <row r="78" spans="1:2">
      <c r="A78" t="s">
        <v>67</v>
      </c>
      <c r="B78" t="s">
        <v>361</v>
      </c>
    </row>
    <row r="79" spans="1:2">
      <c r="A79" t="s">
        <v>67</v>
      </c>
      <c r="B79" t="s">
        <v>362</v>
      </c>
    </row>
    <row r="80" spans="1:2">
      <c r="A80" t="s">
        <v>68</v>
      </c>
      <c r="B80" t="s">
        <v>360</v>
      </c>
    </row>
    <row r="81" spans="1:2">
      <c r="A81" t="s">
        <v>69</v>
      </c>
      <c r="B81" t="s">
        <v>361</v>
      </c>
    </row>
    <row r="82" spans="1:2">
      <c r="A82" t="s">
        <v>69</v>
      </c>
      <c r="B82" t="s">
        <v>359</v>
      </c>
    </row>
    <row r="83" spans="1:2">
      <c r="A83" t="s">
        <v>70</v>
      </c>
      <c r="B83" t="s">
        <v>361</v>
      </c>
    </row>
    <row r="84" spans="1:2">
      <c r="A84" t="s">
        <v>70</v>
      </c>
      <c r="B84" t="s">
        <v>362</v>
      </c>
    </row>
    <row r="85" spans="1:2">
      <c r="A85" t="s">
        <v>71</v>
      </c>
      <c r="B85" t="s">
        <v>362</v>
      </c>
    </row>
    <row r="86" spans="1:2">
      <c r="A86" t="s">
        <v>71</v>
      </c>
      <c r="B86" t="s">
        <v>360</v>
      </c>
    </row>
    <row r="87" spans="1:2">
      <c r="A87" t="s">
        <v>72</v>
      </c>
      <c r="B87" t="s">
        <v>361</v>
      </c>
    </row>
    <row r="88" spans="1:2">
      <c r="A88" t="s">
        <v>73</v>
      </c>
      <c r="B88" t="s">
        <v>360</v>
      </c>
    </row>
    <row r="89" spans="1:2">
      <c r="A89" t="s">
        <v>74</v>
      </c>
      <c r="B89" t="s">
        <v>360</v>
      </c>
    </row>
    <row r="90" spans="1:2">
      <c r="A90" t="s">
        <v>75</v>
      </c>
      <c r="B90" t="s">
        <v>361</v>
      </c>
    </row>
    <row r="91" spans="1:2">
      <c r="A91" t="s">
        <v>76</v>
      </c>
      <c r="B91" t="s">
        <v>361</v>
      </c>
    </row>
    <row r="92" spans="1:2">
      <c r="A92" t="s">
        <v>76</v>
      </c>
      <c r="B92" t="s">
        <v>363</v>
      </c>
    </row>
    <row r="93" spans="1:2">
      <c r="A93" t="s">
        <v>77</v>
      </c>
      <c r="B93" t="s">
        <v>361</v>
      </c>
    </row>
    <row r="94" spans="1:2">
      <c r="A94" t="s">
        <v>77</v>
      </c>
      <c r="B94" t="s">
        <v>363</v>
      </c>
    </row>
    <row r="95" spans="1:2">
      <c r="A95" t="s">
        <v>78</v>
      </c>
      <c r="B95" t="s">
        <v>361</v>
      </c>
    </row>
    <row r="96" spans="1:2">
      <c r="A96" t="s">
        <v>78</v>
      </c>
      <c r="B96" t="s">
        <v>363</v>
      </c>
    </row>
    <row r="97" spans="1:2">
      <c r="A97" t="s">
        <v>79</v>
      </c>
      <c r="B97" t="s">
        <v>361</v>
      </c>
    </row>
    <row r="98" spans="1:2">
      <c r="A98" t="s">
        <v>79</v>
      </c>
      <c r="B98" t="s">
        <v>359</v>
      </c>
    </row>
    <row r="99" spans="1:2">
      <c r="A99" t="s">
        <v>80</v>
      </c>
      <c r="B99" t="s">
        <v>362</v>
      </c>
    </row>
    <row r="100" spans="1:2">
      <c r="A100" t="s">
        <v>80</v>
      </c>
      <c r="B100" t="s">
        <v>360</v>
      </c>
    </row>
    <row r="101" spans="1:2">
      <c r="A101" t="s">
        <v>81</v>
      </c>
      <c r="B101" t="s">
        <v>359</v>
      </c>
    </row>
    <row r="102" spans="1:2">
      <c r="A102" t="s">
        <v>82</v>
      </c>
      <c r="B102" t="s">
        <v>362</v>
      </c>
    </row>
    <row r="103" spans="1:2">
      <c r="A103" t="s">
        <v>82</v>
      </c>
      <c r="B103" t="s">
        <v>360</v>
      </c>
    </row>
    <row r="104" spans="1:2">
      <c r="A104" t="s">
        <v>83</v>
      </c>
      <c r="B104" t="s">
        <v>361</v>
      </c>
    </row>
    <row r="105" spans="1:2">
      <c r="A105" t="s">
        <v>83</v>
      </c>
      <c r="B105" t="s">
        <v>363</v>
      </c>
    </row>
    <row r="106" spans="1:2">
      <c r="A106" t="s">
        <v>84</v>
      </c>
      <c r="B106" t="s">
        <v>359</v>
      </c>
    </row>
    <row r="107" spans="1:2">
      <c r="A107" t="s">
        <v>84</v>
      </c>
      <c r="B107" t="s">
        <v>360</v>
      </c>
    </row>
    <row r="108" spans="1:2">
      <c r="A108" t="s">
        <v>85</v>
      </c>
      <c r="B108" t="s">
        <v>361</v>
      </c>
    </row>
    <row r="109" spans="1:2">
      <c r="A109" t="s">
        <v>85</v>
      </c>
      <c r="B109" t="s">
        <v>359</v>
      </c>
    </row>
    <row r="110" spans="1:2">
      <c r="A110" t="s">
        <v>86</v>
      </c>
      <c r="B110" t="s">
        <v>359</v>
      </c>
    </row>
    <row r="111" spans="1:2">
      <c r="A111" t="s">
        <v>87</v>
      </c>
      <c r="B111" t="s">
        <v>361</v>
      </c>
    </row>
    <row r="112" spans="1:2">
      <c r="A112" t="s">
        <v>87</v>
      </c>
      <c r="B112" t="s">
        <v>362</v>
      </c>
    </row>
    <row r="113" spans="1:2">
      <c r="A113" t="s">
        <v>88</v>
      </c>
      <c r="B113" t="s">
        <v>360</v>
      </c>
    </row>
    <row r="114" spans="1:2">
      <c r="A114" t="s">
        <v>89</v>
      </c>
      <c r="B114" t="s">
        <v>359</v>
      </c>
    </row>
    <row r="115" spans="1:2">
      <c r="A115" t="s">
        <v>90</v>
      </c>
      <c r="B115" t="s">
        <v>361</v>
      </c>
    </row>
    <row r="116" spans="1:2">
      <c r="A116" t="s">
        <v>91</v>
      </c>
      <c r="B116" t="s">
        <v>361</v>
      </c>
    </row>
    <row r="117" spans="1:2">
      <c r="A117" t="s">
        <v>91</v>
      </c>
      <c r="B117" t="s">
        <v>359</v>
      </c>
    </row>
    <row r="118" spans="1:2">
      <c r="A118" t="s">
        <v>92</v>
      </c>
      <c r="B118" t="s">
        <v>361</v>
      </c>
    </row>
    <row r="119" spans="1:2">
      <c r="A119" t="s">
        <v>92</v>
      </c>
      <c r="B119" t="s">
        <v>362</v>
      </c>
    </row>
    <row r="120" spans="1:2">
      <c r="A120" t="s">
        <v>93</v>
      </c>
      <c r="B120" t="s">
        <v>359</v>
      </c>
    </row>
    <row r="121" spans="1:2">
      <c r="A121" t="s">
        <v>93</v>
      </c>
      <c r="B121" t="s">
        <v>360</v>
      </c>
    </row>
    <row r="122" spans="1:2">
      <c r="A122" t="s">
        <v>94</v>
      </c>
      <c r="B122" t="s">
        <v>361</v>
      </c>
    </row>
    <row r="123" spans="1:2">
      <c r="A123" t="s">
        <v>95</v>
      </c>
      <c r="B123" t="s">
        <v>360</v>
      </c>
    </row>
    <row r="124" spans="1:2">
      <c r="A124" t="s">
        <v>96</v>
      </c>
      <c r="B124" t="s">
        <v>362</v>
      </c>
    </row>
    <row r="125" spans="1:2">
      <c r="A125" t="s">
        <v>96</v>
      </c>
      <c r="B125" t="s">
        <v>360</v>
      </c>
    </row>
    <row r="126" spans="1:2">
      <c r="A126" t="s">
        <v>97</v>
      </c>
      <c r="B126" t="s">
        <v>361</v>
      </c>
    </row>
    <row r="127" spans="1:2">
      <c r="A127" t="s">
        <v>97</v>
      </c>
      <c r="B127" t="s">
        <v>359</v>
      </c>
    </row>
    <row r="128" spans="1:2">
      <c r="A128" t="s">
        <v>98</v>
      </c>
      <c r="B128" t="s">
        <v>359</v>
      </c>
    </row>
    <row r="129" spans="1:2">
      <c r="A129" t="s">
        <v>98</v>
      </c>
      <c r="B129" t="s">
        <v>360</v>
      </c>
    </row>
    <row r="130" spans="1:2">
      <c r="A130" t="s">
        <v>99</v>
      </c>
      <c r="B130" t="s">
        <v>359</v>
      </c>
    </row>
    <row r="131" spans="1:2">
      <c r="A131" t="s">
        <v>100</v>
      </c>
      <c r="B131" t="s">
        <v>361</v>
      </c>
    </row>
    <row r="132" spans="1:2">
      <c r="A132" t="s">
        <v>101</v>
      </c>
      <c r="B132" t="s">
        <v>359</v>
      </c>
    </row>
    <row r="133" spans="1:2">
      <c r="A133" t="s">
        <v>101</v>
      </c>
      <c r="B133" t="s">
        <v>360</v>
      </c>
    </row>
    <row r="134" spans="1:2">
      <c r="A134" t="s">
        <v>102</v>
      </c>
      <c r="B134" t="s">
        <v>360</v>
      </c>
    </row>
    <row r="135" spans="1:2">
      <c r="A135" t="s">
        <v>103</v>
      </c>
      <c r="B135" t="s">
        <v>359</v>
      </c>
    </row>
    <row r="136" spans="1:2">
      <c r="A136" t="s">
        <v>103</v>
      </c>
      <c r="B136" t="s">
        <v>360</v>
      </c>
    </row>
    <row r="137" spans="1:2">
      <c r="A137" t="s">
        <v>104</v>
      </c>
      <c r="B137" t="s">
        <v>359</v>
      </c>
    </row>
    <row r="138" spans="1:2">
      <c r="A138" t="s">
        <v>104</v>
      </c>
      <c r="B138" t="s">
        <v>360</v>
      </c>
    </row>
    <row r="139" spans="1:2">
      <c r="A139" t="s">
        <v>105</v>
      </c>
      <c r="B139" t="s">
        <v>359</v>
      </c>
    </row>
    <row r="140" spans="1:2">
      <c r="A140" t="s">
        <v>105</v>
      </c>
      <c r="B140" t="s">
        <v>360</v>
      </c>
    </row>
    <row r="141" spans="1:2">
      <c r="A141" t="s">
        <v>106</v>
      </c>
      <c r="B141" t="s">
        <v>359</v>
      </c>
    </row>
    <row r="142" spans="1:2">
      <c r="A142" t="s">
        <v>106</v>
      </c>
      <c r="B142" t="s">
        <v>360</v>
      </c>
    </row>
    <row r="143" spans="1:2">
      <c r="A143" t="s">
        <v>107</v>
      </c>
      <c r="B143" t="s">
        <v>359</v>
      </c>
    </row>
    <row r="144" spans="1:2">
      <c r="A144" t="s">
        <v>107</v>
      </c>
      <c r="B144" t="s">
        <v>360</v>
      </c>
    </row>
    <row r="145" spans="1:2">
      <c r="A145" t="s">
        <v>108</v>
      </c>
      <c r="B145" t="s">
        <v>362</v>
      </c>
    </row>
    <row r="146" spans="1:2">
      <c r="A146" t="s">
        <v>108</v>
      </c>
      <c r="B146" t="s">
        <v>360</v>
      </c>
    </row>
    <row r="147" spans="1:2">
      <c r="A147" t="s">
        <v>109</v>
      </c>
      <c r="B147" t="s">
        <v>359</v>
      </c>
    </row>
    <row r="148" spans="1:2">
      <c r="A148" t="s">
        <v>110</v>
      </c>
      <c r="B148" t="s">
        <v>361</v>
      </c>
    </row>
    <row r="149" spans="1:2">
      <c r="A149" t="s">
        <v>110</v>
      </c>
      <c r="B149" t="s">
        <v>359</v>
      </c>
    </row>
    <row r="150" spans="1:2">
      <c r="A150" t="s">
        <v>111</v>
      </c>
      <c r="B150" t="s">
        <v>361</v>
      </c>
    </row>
    <row r="151" spans="1:2">
      <c r="A151" t="s">
        <v>112</v>
      </c>
      <c r="B151" t="s">
        <v>359</v>
      </c>
    </row>
    <row r="152" spans="1:2">
      <c r="A152" t="s">
        <v>112</v>
      </c>
      <c r="B152" t="s">
        <v>360</v>
      </c>
    </row>
    <row r="153" spans="1:2">
      <c r="A153" t="s">
        <v>113</v>
      </c>
      <c r="B153" t="s">
        <v>360</v>
      </c>
    </row>
    <row r="154" spans="1:2">
      <c r="A154" t="s">
        <v>114</v>
      </c>
      <c r="B154" t="s">
        <v>359</v>
      </c>
    </row>
    <row r="155" spans="1:2">
      <c r="A155" t="s">
        <v>114</v>
      </c>
      <c r="B155" t="s">
        <v>360</v>
      </c>
    </row>
    <row r="156" spans="1:2">
      <c r="A156" t="s">
        <v>115</v>
      </c>
      <c r="B156" t="s">
        <v>361</v>
      </c>
    </row>
    <row r="157" spans="1:2">
      <c r="A157" t="s">
        <v>116</v>
      </c>
      <c r="B157" t="s">
        <v>361</v>
      </c>
    </row>
    <row r="158" spans="1:2">
      <c r="A158" t="s">
        <v>116</v>
      </c>
      <c r="B158" t="s">
        <v>362</v>
      </c>
    </row>
    <row r="159" spans="1:2">
      <c r="A159" t="s">
        <v>117</v>
      </c>
      <c r="B159" t="s">
        <v>360</v>
      </c>
    </row>
    <row r="160" spans="1:2">
      <c r="A160" t="s">
        <v>118</v>
      </c>
      <c r="B160" t="s">
        <v>361</v>
      </c>
    </row>
    <row r="161" spans="1:2">
      <c r="A161" t="s">
        <v>119</v>
      </c>
      <c r="B161" t="s">
        <v>360</v>
      </c>
    </row>
    <row r="162" spans="1:2">
      <c r="A162" t="s">
        <v>120</v>
      </c>
      <c r="B162" t="s">
        <v>360</v>
      </c>
    </row>
    <row r="163" spans="1:2">
      <c r="A163" t="s">
        <v>121</v>
      </c>
      <c r="B163" t="s">
        <v>359</v>
      </c>
    </row>
    <row r="164" spans="1:2">
      <c r="A164" t="s">
        <v>121</v>
      </c>
      <c r="B164" t="s">
        <v>360</v>
      </c>
    </row>
    <row r="165" spans="1:2">
      <c r="A165" t="s">
        <v>122</v>
      </c>
      <c r="B165" t="s">
        <v>361</v>
      </c>
    </row>
    <row r="166" spans="1:2">
      <c r="A166" t="s">
        <v>122</v>
      </c>
      <c r="B166" t="s">
        <v>362</v>
      </c>
    </row>
    <row r="167" spans="1:2">
      <c r="A167" t="s">
        <v>123</v>
      </c>
      <c r="B167" t="s">
        <v>360</v>
      </c>
    </row>
    <row r="168" spans="1:2">
      <c r="A168" t="s">
        <v>124</v>
      </c>
      <c r="B168" t="s">
        <v>359</v>
      </c>
    </row>
    <row r="169" spans="1:2">
      <c r="A169" t="s">
        <v>124</v>
      </c>
      <c r="B169" t="s">
        <v>360</v>
      </c>
    </row>
    <row r="170" spans="1:2">
      <c r="A170" t="s">
        <v>125</v>
      </c>
      <c r="B170" t="s">
        <v>359</v>
      </c>
    </row>
    <row r="171" spans="1:2">
      <c r="A171" t="s">
        <v>126</v>
      </c>
      <c r="B171" t="s">
        <v>361</v>
      </c>
    </row>
    <row r="172" spans="1:2">
      <c r="A172" t="s">
        <v>126</v>
      </c>
      <c r="B172" t="s">
        <v>359</v>
      </c>
    </row>
    <row r="173" spans="1:2">
      <c r="A173" t="s">
        <v>127</v>
      </c>
      <c r="B173" t="s">
        <v>359</v>
      </c>
    </row>
    <row r="174" spans="1:2">
      <c r="A174" t="s">
        <v>127</v>
      </c>
      <c r="B174" t="s">
        <v>360</v>
      </c>
    </row>
    <row r="175" spans="1:2">
      <c r="A175" t="s">
        <v>128</v>
      </c>
      <c r="B175" t="s">
        <v>361</v>
      </c>
    </row>
    <row r="176" spans="1:2">
      <c r="A176" t="s">
        <v>129</v>
      </c>
      <c r="B176" t="s">
        <v>361</v>
      </c>
    </row>
    <row r="177" spans="1:2">
      <c r="A177" t="s">
        <v>129</v>
      </c>
      <c r="B177" t="s">
        <v>359</v>
      </c>
    </row>
    <row r="178" spans="1:2">
      <c r="A178" t="s">
        <v>130</v>
      </c>
      <c r="B178" t="s">
        <v>359</v>
      </c>
    </row>
    <row r="179" spans="1:2">
      <c r="A179" t="s">
        <v>130</v>
      </c>
      <c r="B179" t="s">
        <v>360</v>
      </c>
    </row>
    <row r="180" spans="1:2">
      <c r="A180" t="s">
        <v>131</v>
      </c>
      <c r="B180" t="s">
        <v>359</v>
      </c>
    </row>
    <row r="181" spans="1:2">
      <c r="A181" t="s">
        <v>131</v>
      </c>
      <c r="B181" t="s">
        <v>360</v>
      </c>
    </row>
    <row r="182" spans="1:2">
      <c r="A182" t="s">
        <v>132</v>
      </c>
      <c r="B182" t="s">
        <v>360</v>
      </c>
    </row>
    <row r="183" spans="1:2">
      <c r="A183" t="s">
        <v>133</v>
      </c>
      <c r="B183" t="s">
        <v>361</v>
      </c>
    </row>
    <row r="184" spans="1:2">
      <c r="A184" t="s">
        <v>134</v>
      </c>
      <c r="B184" t="s">
        <v>360</v>
      </c>
    </row>
    <row r="185" spans="1:2">
      <c r="A185" t="s">
        <v>135</v>
      </c>
      <c r="B185" t="s">
        <v>360</v>
      </c>
    </row>
    <row r="186" spans="1:2">
      <c r="A186" t="s">
        <v>136</v>
      </c>
      <c r="B186" t="s">
        <v>361</v>
      </c>
    </row>
    <row r="187" spans="1:2">
      <c r="A187" t="s">
        <v>136</v>
      </c>
      <c r="B187" t="s">
        <v>362</v>
      </c>
    </row>
    <row r="188" spans="1:2">
      <c r="A188" t="s">
        <v>137</v>
      </c>
      <c r="B188" t="s">
        <v>362</v>
      </c>
    </row>
    <row r="189" spans="1:2">
      <c r="A189" t="s">
        <v>137</v>
      </c>
      <c r="B189" t="s">
        <v>360</v>
      </c>
    </row>
    <row r="190" spans="1:2">
      <c r="A190" t="s">
        <v>138</v>
      </c>
      <c r="B190" t="s">
        <v>361</v>
      </c>
    </row>
    <row r="191" spans="1:2">
      <c r="A191" t="s">
        <v>139</v>
      </c>
      <c r="B191" t="s">
        <v>360</v>
      </c>
    </row>
    <row r="192" spans="1:2">
      <c r="A192" t="s">
        <v>140</v>
      </c>
      <c r="B192" t="s">
        <v>361</v>
      </c>
    </row>
    <row r="193" spans="1:2">
      <c r="A193" t="s">
        <v>140</v>
      </c>
      <c r="B193" t="s">
        <v>362</v>
      </c>
    </row>
    <row r="194" spans="1:2">
      <c r="A194" t="s">
        <v>141</v>
      </c>
      <c r="B194" t="s">
        <v>361</v>
      </c>
    </row>
    <row r="195" spans="1:2">
      <c r="A195" t="s">
        <v>141</v>
      </c>
      <c r="B195" t="s">
        <v>363</v>
      </c>
    </row>
    <row r="196" spans="1:2">
      <c r="A196" t="s">
        <v>142</v>
      </c>
      <c r="B196" t="s">
        <v>359</v>
      </c>
    </row>
    <row r="197" spans="1:2">
      <c r="A197" t="s">
        <v>142</v>
      </c>
      <c r="B197" t="s">
        <v>360</v>
      </c>
    </row>
    <row r="198" spans="1:2">
      <c r="A198" t="s">
        <v>143</v>
      </c>
      <c r="B198" t="s">
        <v>360</v>
      </c>
    </row>
    <row r="199" spans="1:2">
      <c r="A199" t="s">
        <v>144</v>
      </c>
      <c r="B199" t="s">
        <v>362</v>
      </c>
    </row>
    <row r="200" spans="1:2">
      <c r="A200" t="s">
        <v>144</v>
      </c>
      <c r="B200" t="s">
        <v>360</v>
      </c>
    </row>
    <row r="201" spans="1:2">
      <c r="A201" t="s">
        <v>145</v>
      </c>
      <c r="B201" t="s">
        <v>359</v>
      </c>
    </row>
    <row r="202" spans="1:2">
      <c r="A202" t="s">
        <v>146</v>
      </c>
      <c r="B202" t="s">
        <v>359</v>
      </c>
    </row>
    <row r="203" spans="1:2">
      <c r="A203" t="s">
        <v>146</v>
      </c>
      <c r="B203" t="s">
        <v>360</v>
      </c>
    </row>
    <row r="204" spans="1:2">
      <c r="A204" t="s">
        <v>147</v>
      </c>
      <c r="B204" t="s">
        <v>361</v>
      </c>
    </row>
    <row r="205" spans="1:2">
      <c r="A205" t="s">
        <v>147</v>
      </c>
      <c r="B205" t="s">
        <v>362</v>
      </c>
    </row>
    <row r="206" spans="1:2">
      <c r="A206" t="s">
        <v>148</v>
      </c>
      <c r="B206" t="s">
        <v>361</v>
      </c>
    </row>
    <row r="207" spans="1:2">
      <c r="A207" t="s">
        <v>148</v>
      </c>
      <c r="B207" t="s">
        <v>363</v>
      </c>
    </row>
    <row r="208" spans="1:2">
      <c r="A208" t="s">
        <v>149</v>
      </c>
      <c r="B208" t="s">
        <v>359</v>
      </c>
    </row>
    <row r="209" spans="1:2">
      <c r="A209" t="s">
        <v>150</v>
      </c>
      <c r="B209" t="s">
        <v>360</v>
      </c>
    </row>
    <row r="210" spans="1:2">
      <c r="A210" t="s">
        <v>151</v>
      </c>
      <c r="B210" t="s">
        <v>361</v>
      </c>
    </row>
    <row r="211" spans="1:2">
      <c r="A211" t="s">
        <v>151</v>
      </c>
      <c r="B211" t="s">
        <v>363</v>
      </c>
    </row>
    <row r="212" spans="1:2">
      <c r="A212" t="s">
        <v>152</v>
      </c>
      <c r="B212" t="s">
        <v>360</v>
      </c>
    </row>
    <row r="213" spans="1:2">
      <c r="A213" t="s">
        <v>153</v>
      </c>
      <c r="B213" t="s">
        <v>362</v>
      </c>
    </row>
    <row r="214" spans="1:2">
      <c r="A214" t="s">
        <v>153</v>
      </c>
      <c r="B214" t="s">
        <v>360</v>
      </c>
    </row>
    <row r="215" spans="1:2">
      <c r="A215" t="s">
        <v>154</v>
      </c>
      <c r="B215" t="s">
        <v>360</v>
      </c>
    </row>
    <row r="216" spans="1:2">
      <c r="A216" t="s">
        <v>155</v>
      </c>
      <c r="B216" t="s">
        <v>359</v>
      </c>
    </row>
    <row r="217" spans="1:2">
      <c r="A217" t="s">
        <v>155</v>
      </c>
      <c r="B217" t="s">
        <v>360</v>
      </c>
    </row>
    <row r="218" spans="1:2">
      <c r="A218" t="s">
        <v>156</v>
      </c>
      <c r="B218" t="s">
        <v>361</v>
      </c>
    </row>
    <row r="219" spans="1:2">
      <c r="A219" t="s">
        <v>156</v>
      </c>
      <c r="B219" t="s">
        <v>362</v>
      </c>
    </row>
    <row r="220" spans="1:2">
      <c r="A220" t="s">
        <v>157</v>
      </c>
      <c r="B220" t="s">
        <v>360</v>
      </c>
    </row>
    <row r="221" spans="1:2">
      <c r="A221" t="s">
        <v>158</v>
      </c>
      <c r="B221" t="s">
        <v>362</v>
      </c>
    </row>
    <row r="222" spans="1:2">
      <c r="A222" t="s">
        <v>158</v>
      </c>
      <c r="B222" t="s">
        <v>360</v>
      </c>
    </row>
    <row r="223" spans="1:2">
      <c r="A223" t="s">
        <v>159</v>
      </c>
      <c r="B223" t="s">
        <v>361</v>
      </c>
    </row>
    <row r="224" spans="1:2">
      <c r="A224" t="s">
        <v>159</v>
      </c>
      <c r="B224" t="s">
        <v>359</v>
      </c>
    </row>
    <row r="225" spans="1:2">
      <c r="A225" t="s">
        <v>160</v>
      </c>
      <c r="B225" t="s">
        <v>360</v>
      </c>
    </row>
    <row r="226" spans="1:2">
      <c r="A226" t="s">
        <v>161</v>
      </c>
      <c r="B226" t="s">
        <v>361</v>
      </c>
    </row>
    <row r="227" spans="1:2">
      <c r="A227" t="s">
        <v>162</v>
      </c>
      <c r="B227" t="s">
        <v>359</v>
      </c>
    </row>
    <row r="228" spans="1:2">
      <c r="A228" t="s">
        <v>162</v>
      </c>
      <c r="B228" t="s">
        <v>360</v>
      </c>
    </row>
    <row r="229" spans="1:2">
      <c r="A229" t="s">
        <v>163</v>
      </c>
      <c r="B229" t="s">
        <v>362</v>
      </c>
    </row>
    <row r="230" spans="1:2">
      <c r="A230" t="s">
        <v>163</v>
      </c>
      <c r="B230" t="s">
        <v>360</v>
      </c>
    </row>
    <row r="231" spans="1:2">
      <c r="A231" t="s">
        <v>164</v>
      </c>
      <c r="B231" t="s">
        <v>361</v>
      </c>
    </row>
    <row r="232" spans="1:2">
      <c r="A232" t="s">
        <v>165</v>
      </c>
      <c r="B232" t="s">
        <v>362</v>
      </c>
    </row>
    <row r="233" spans="1:2">
      <c r="A233" t="s">
        <v>165</v>
      </c>
      <c r="B233" t="s">
        <v>360</v>
      </c>
    </row>
    <row r="234" spans="1:2">
      <c r="A234" t="s">
        <v>166</v>
      </c>
      <c r="B234" t="s">
        <v>361</v>
      </c>
    </row>
    <row r="235" spans="1:2">
      <c r="A235" t="s">
        <v>166</v>
      </c>
      <c r="B235" t="s">
        <v>362</v>
      </c>
    </row>
    <row r="236" spans="1:2">
      <c r="A236" t="s">
        <v>167</v>
      </c>
      <c r="B236" t="s">
        <v>359</v>
      </c>
    </row>
    <row r="237" spans="1:2">
      <c r="A237" t="s">
        <v>168</v>
      </c>
      <c r="B237" t="s">
        <v>362</v>
      </c>
    </row>
    <row r="238" spans="1:2">
      <c r="A238" t="s">
        <v>168</v>
      </c>
      <c r="B238" t="s">
        <v>360</v>
      </c>
    </row>
    <row r="239" spans="1:2">
      <c r="A239" t="s">
        <v>169</v>
      </c>
      <c r="B239" t="s">
        <v>360</v>
      </c>
    </row>
    <row r="240" spans="1:2">
      <c r="A240" t="s">
        <v>170</v>
      </c>
      <c r="B240" t="s">
        <v>361</v>
      </c>
    </row>
    <row r="241" spans="1:2">
      <c r="A241" t="s">
        <v>171</v>
      </c>
      <c r="B241" t="s">
        <v>361</v>
      </c>
    </row>
    <row r="242" spans="1:2">
      <c r="A242" t="s">
        <v>171</v>
      </c>
      <c r="B242" t="s">
        <v>362</v>
      </c>
    </row>
    <row r="243" spans="1:2">
      <c r="A243" t="s">
        <v>172</v>
      </c>
      <c r="B243" t="s">
        <v>361</v>
      </c>
    </row>
    <row r="244" spans="1:2">
      <c r="A244" t="s">
        <v>173</v>
      </c>
      <c r="B244" t="s">
        <v>359</v>
      </c>
    </row>
    <row r="245" spans="1:2">
      <c r="A245" t="s">
        <v>173</v>
      </c>
      <c r="B245" t="s">
        <v>360</v>
      </c>
    </row>
    <row r="246" spans="1:2">
      <c r="A246" t="s">
        <v>174</v>
      </c>
      <c r="B246" t="s">
        <v>361</v>
      </c>
    </row>
    <row r="247" spans="1:2">
      <c r="A247" t="s">
        <v>174</v>
      </c>
      <c r="B247" t="s">
        <v>359</v>
      </c>
    </row>
    <row r="248" spans="1:2">
      <c r="A248" t="s">
        <v>175</v>
      </c>
      <c r="B248" t="s">
        <v>361</v>
      </c>
    </row>
    <row r="249" spans="1:2">
      <c r="A249" t="s">
        <v>175</v>
      </c>
      <c r="B249" t="s">
        <v>363</v>
      </c>
    </row>
    <row r="250" spans="1:2">
      <c r="A250" t="s">
        <v>176</v>
      </c>
      <c r="B250" t="s">
        <v>361</v>
      </c>
    </row>
    <row r="251" spans="1:2">
      <c r="A251" t="s">
        <v>176</v>
      </c>
      <c r="B251" t="s">
        <v>362</v>
      </c>
    </row>
    <row r="252" spans="1:2">
      <c r="A252" t="s">
        <v>177</v>
      </c>
      <c r="B252" t="s">
        <v>360</v>
      </c>
    </row>
    <row r="253" spans="1:2">
      <c r="A253" t="s">
        <v>178</v>
      </c>
      <c r="B253" t="s">
        <v>361</v>
      </c>
    </row>
    <row r="254" spans="1:2">
      <c r="A254" t="s">
        <v>178</v>
      </c>
      <c r="B254" t="s">
        <v>359</v>
      </c>
    </row>
    <row r="255" spans="1:2">
      <c r="A255" t="s">
        <v>179</v>
      </c>
      <c r="B255" t="s">
        <v>361</v>
      </c>
    </row>
    <row r="256" spans="1:2">
      <c r="A256" t="s">
        <v>180</v>
      </c>
      <c r="B256" t="s">
        <v>359</v>
      </c>
    </row>
    <row r="257" spans="1:2">
      <c r="A257" t="s">
        <v>180</v>
      </c>
      <c r="B257" t="s">
        <v>360</v>
      </c>
    </row>
    <row r="258" spans="1:2">
      <c r="A258" t="s">
        <v>181</v>
      </c>
      <c r="B258" t="s">
        <v>361</v>
      </c>
    </row>
    <row r="259" spans="1:2">
      <c r="A259" t="s">
        <v>181</v>
      </c>
      <c r="B259" t="s">
        <v>359</v>
      </c>
    </row>
    <row r="260" spans="1:2">
      <c r="A260" t="s">
        <v>182</v>
      </c>
      <c r="B260" t="s">
        <v>360</v>
      </c>
    </row>
    <row r="261" spans="1:2">
      <c r="A261" t="s">
        <v>183</v>
      </c>
      <c r="B261" t="s">
        <v>360</v>
      </c>
    </row>
    <row r="262" spans="1:2">
      <c r="A262" t="s">
        <v>184</v>
      </c>
      <c r="B262" t="s">
        <v>361</v>
      </c>
    </row>
    <row r="263" spans="1:2">
      <c r="A263" t="s">
        <v>185</v>
      </c>
      <c r="B263" t="s">
        <v>361</v>
      </c>
    </row>
    <row r="264" spans="1:2">
      <c r="A264" t="s">
        <v>185</v>
      </c>
      <c r="B264" t="s">
        <v>363</v>
      </c>
    </row>
    <row r="265" spans="1:2">
      <c r="A265" t="s">
        <v>186</v>
      </c>
      <c r="B265" t="s">
        <v>359</v>
      </c>
    </row>
    <row r="266" spans="1:2">
      <c r="A266" t="s">
        <v>186</v>
      </c>
      <c r="B266" t="s">
        <v>360</v>
      </c>
    </row>
    <row r="267" spans="1:2">
      <c r="A267" t="s">
        <v>187</v>
      </c>
      <c r="B267" t="s">
        <v>361</v>
      </c>
    </row>
    <row r="268" spans="1:2">
      <c r="A268" t="s">
        <v>187</v>
      </c>
      <c r="B268" t="s">
        <v>363</v>
      </c>
    </row>
    <row r="269" spans="1:2">
      <c r="A269" t="s">
        <v>188</v>
      </c>
      <c r="B269" t="s">
        <v>359</v>
      </c>
    </row>
    <row r="270" spans="1:2">
      <c r="A270" t="s">
        <v>189</v>
      </c>
      <c r="B270" t="s">
        <v>360</v>
      </c>
    </row>
    <row r="271" spans="1:2">
      <c r="A271" t="s">
        <v>190</v>
      </c>
      <c r="B271" t="s">
        <v>361</v>
      </c>
    </row>
    <row r="272" spans="1:2">
      <c r="A272" t="s">
        <v>190</v>
      </c>
      <c r="B272" t="s">
        <v>363</v>
      </c>
    </row>
    <row r="273" spans="1:2">
      <c r="A273" t="s">
        <v>191</v>
      </c>
      <c r="B273" t="s">
        <v>361</v>
      </c>
    </row>
    <row r="274" spans="1:2">
      <c r="A274" t="s">
        <v>192</v>
      </c>
      <c r="B274" t="s">
        <v>361</v>
      </c>
    </row>
    <row r="275" spans="1:2">
      <c r="A275" t="s">
        <v>192</v>
      </c>
      <c r="B275" t="s">
        <v>363</v>
      </c>
    </row>
    <row r="276" spans="1:2">
      <c r="A276" t="s">
        <v>193</v>
      </c>
      <c r="B276" t="s">
        <v>361</v>
      </c>
    </row>
    <row r="277" spans="1:2">
      <c r="A277" t="s">
        <v>193</v>
      </c>
      <c r="B277" t="s">
        <v>362</v>
      </c>
    </row>
    <row r="278" spans="1:2">
      <c r="A278" t="s">
        <v>194</v>
      </c>
      <c r="B278" t="s">
        <v>359</v>
      </c>
    </row>
    <row r="279" spans="1:2">
      <c r="A279" t="s">
        <v>194</v>
      </c>
      <c r="B279" t="s">
        <v>360</v>
      </c>
    </row>
    <row r="280" spans="1:2">
      <c r="A280" t="s">
        <v>195</v>
      </c>
      <c r="B280" t="s">
        <v>359</v>
      </c>
    </row>
    <row r="281" spans="1:2">
      <c r="A281" t="s">
        <v>196</v>
      </c>
      <c r="B281" t="s">
        <v>360</v>
      </c>
    </row>
    <row r="282" spans="1:2">
      <c r="A282" t="s">
        <v>197</v>
      </c>
      <c r="B282" t="s">
        <v>359</v>
      </c>
    </row>
    <row r="283" spans="1:2">
      <c r="A283" t="s">
        <v>198</v>
      </c>
      <c r="B283" t="s">
        <v>362</v>
      </c>
    </row>
    <row r="284" spans="1:2">
      <c r="A284" t="s">
        <v>198</v>
      </c>
      <c r="B284" t="s">
        <v>360</v>
      </c>
    </row>
    <row r="285" spans="1:2">
      <c r="A285" t="s">
        <v>199</v>
      </c>
      <c r="B285" t="s">
        <v>359</v>
      </c>
    </row>
    <row r="286" spans="1:2">
      <c r="A286" t="s">
        <v>200</v>
      </c>
      <c r="B286" t="s">
        <v>359</v>
      </c>
    </row>
    <row r="287" spans="1:2">
      <c r="A287" t="s">
        <v>200</v>
      </c>
      <c r="B287" t="s">
        <v>360</v>
      </c>
    </row>
    <row r="288" spans="1:2">
      <c r="A288" t="s">
        <v>201</v>
      </c>
      <c r="B288" t="s">
        <v>359</v>
      </c>
    </row>
    <row r="289" spans="1:2">
      <c r="A289" t="s">
        <v>202</v>
      </c>
      <c r="B289" t="s">
        <v>362</v>
      </c>
    </row>
    <row r="290" spans="1:2">
      <c r="A290" t="s">
        <v>202</v>
      </c>
      <c r="B290" t="s">
        <v>360</v>
      </c>
    </row>
    <row r="291" spans="1:2">
      <c r="A291" t="s">
        <v>203</v>
      </c>
      <c r="B291" t="s">
        <v>361</v>
      </c>
    </row>
    <row r="292" spans="1:2">
      <c r="A292" t="s">
        <v>203</v>
      </c>
      <c r="B292" t="s">
        <v>359</v>
      </c>
    </row>
    <row r="293" spans="1:2">
      <c r="A293" t="s">
        <v>204</v>
      </c>
      <c r="B293" t="s">
        <v>362</v>
      </c>
    </row>
    <row r="294" spans="1:2">
      <c r="A294" t="s">
        <v>204</v>
      </c>
      <c r="B294" t="s">
        <v>360</v>
      </c>
    </row>
    <row r="295" spans="1:2">
      <c r="A295" t="s">
        <v>205</v>
      </c>
      <c r="B295" t="s">
        <v>361</v>
      </c>
    </row>
    <row r="296" spans="1:2">
      <c r="A296" t="s">
        <v>205</v>
      </c>
      <c r="B296" t="s">
        <v>359</v>
      </c>
    </row>
    <row r="297" spans="1:2">
      <c r="A297" t="s">
        <v>206</v>
      </c>
      <c r="B297" t="s">
        <v>361</v>
      </c>
    </row>
    <row r="298" spans="1:2">
      <c r="A298" t="s">
        <v>207</v>
      </c>
      <c r="B298" t="s">
        <v>361</v>
      </c>
    </row>
    <row r="299" spans="1:2">
      <c r="A299" t="s">
        <v>207</v>
      </c>
      <c r="B299" t="s">
        <v>359</v>
      </c>
    </row>
    <row r="300" spans="1:2">
      <c r="A300" t="s">
        <v>208</v>
      </c>
      <c r="B300" t="s">
        <v>359</v>
      </c>
    </row>
    <row r="301" spans="1:2">
      <c r="A301" t="s">
        <v>208</v>
      </c>
      <c r="B301" t="s">
        <v>360</v>
      </c>
    </row>
    <row r="302" spans="1:2">
      <c r="A302" t="s">
        <v>209</v>
      </c>
      <c r="B302" t="s">
        <v>361</v>
      </c>
    </row>
    <row r="303" spans="1:2">
      <c r="A303" t="s">
        <v>209</v>
      </c>
      <c r="B303" t="s">
        <v>359</v>
      </c>
    </row>
    <row r="304" spans="1:2">
      <c r="A304" t="s">
        <v>210</v>
      </c>
      <c r="B304" t="s">
        <v>361</v>
      </c>
    </row>
    <row r="305" spans="1:2">
      <c r="A305" t="s">
        <v>210</v>
      </c>
      <c r="B305" t="s">
        <v>362</v>
      </c>
    </row>
    <row r="306" spans="1:2">
      <c r="A306" t="s">
        <v>211</v>
      </c>
      <c r="B306" t="s">
        <v>361</v>
      </c>
    </row>
    <row r="307" spans="1:2">
      <c r="A307" t="s">
        <v>211</v>
      </c>
      <c r="B307" t="s">
        <v>359</v>
      </c>
    </row>
    <row r="308" spans="1:2">
      <c r="A308" t="s">
        <v>212</v>
      </c>
      <c r="B308" t="s">
        <v>362</v>
      </c>
    </row>
    <row r="309" spans="1:2">
      <c r="A309" t="s">
        <v>212</v>
      </c>
      <c r="B309" t="s">
        <v>360</v>
      </c>
    </row>
    <row r="310" spans="1:2">
      <c r="A310" t="s">
        <v>213</v>
      </c>
      <c r="B310" t="s">
        <v>361</v>
      </c>
    </row>
    <row r="311" spans="1:2">
      <c r="A311" t="s">
        <v>213</v>
      </c>
      <c r="B311" t="s">
        <v>363</v>
      </c>
    </row>
    <row r="312" spans="1:2">
      <c r="A312" t="s">
        <v>214</v>
      </c>
      <c r="B312" t="s">
        <v>359</v>
      </c>
    </row>
    <row r="313" spans="1:2">
      <c r="A313" t="s">
        <v>214</v>
      </c>
      <c r="B313" t="s">
        <v>360</v>
      </c>
    </row>
    <row r="314" spans="1:2">
      <c r="A314" t="s">
        <v>215</v>
      </c>
      <c r="B314" t="s">
        <v>361</v>
      </c>
    </row>
    <row r="315" spans="1:2">
      <c r="A315" t="s">
        <v>215</v>
      </c>
      <c r="B315" t="s">
        <v>363</v>
      </c>
    </row>
    <row r="316" spans="1:2">
      <c r="A316" t="s">
        <v>216</v>
      </c>
      <c r="B316" t="s">
        <v>359</v>
      </c>
    </row>
    <row r="317" spans="1:2">
      <c r="A317" t="s">
        <v>216</v>
      </c>
      <c r="B317" t="s">
        <v>360</v>
      </c>
    </row>
    <row r="318" spans="1:2">
      <c r="A318" t="s">
        <v>217</v>
      </c>
      <c r="B318" t="s">
        <v>359</v>
      </c>
    </row>
    <row r="319" spans="1:2">
      <c r="A319" t="s">
        <v>217</v>
      </c>
      <c r="B319" t="s">
        <v>360</v>
      </c>
    </row>
    <row r="320" spans="1:2">
      <c r="A320" t="s">
        <v>218</v>
      </c>
      <c r="B320" t="s">
        <v>360</v>
      </c>
    </row>
    <row r="321" spans="1:2">
      <c r="A321" t="s">
        <v>219</v>
      </c>
      <c r="B321" t="s">
        <v>362</v>
      </c>
    </row>
    <row r="322" spans="1:2">
      <c r="A322" t="s">
        <v>219</v>
      </c>
      <c r="B322" t="s">
        <v>360</v>
      </c>
    </row>
    <row r="323" spans="1:2">
      <c r="A323" t="s">
        <v>220</v>
      </c>
      <c r="B323" t="s">
        <v>359</v>
      </c>
    </row>
    <row r="324" spans="1:2">
      <c r="A324" t="s">
        <v>220</v>
      </c>
      <c r="B324" t="s">
        <v>360</v>
      </c>
    </row>
    <row r="325" spans="1:2">
      <c r="A325" t="s">
        <v>221</v>
      </c>
      <c r="B325" t="s">
        <v>361</v>
      </c>
    </row>
    <row r="326" spans="1:2">
      <c r="A326" t="s">
        <v>222</v>
      </c>
      <c r="B326" t="s">
        <v>360</v>
      </c>
    </row>
    <row r="327" spans="1:2">
      <c r="A327" t="s">
        <v>223</v>
      </c>
      <c r="B327" t="s">
        <v>359</v>
      </c>
    </row>
    <row r="328" spans="1:2">
      <c r="A328" t="s">
        <v>224</v>
      </c>
      <c r="B328" t="s">
        <v>361</v>
      </c>
    </row>
    <row r="329" spans="1:2">
      <c r="A329" t="s">
        <v>224</v>
      </c>
      <c r="B329" t="s">
        <v>362</v>
      </c>
    </row>
    <row r="330" spans="1:2">
      <c r="A330" t="s">
        <v>225</v>
      </c>
      <c r="B330" t="s">
        <v>359</v>
      </c>
    </row>
    <row r="331" spans="1:2">
      <c r="A331" t="s">
        <v>225</v>
      </c>
      <c r="B331" t="s">
        <v>360</v>
      </c>
    </row>
    <row r="332" spans="1:2">
      <c r="A332" t="s">
        <v>226</v>
      </c>
      <c r="B332" t="s">
        <v>359</v>
      </c>
    </row>
    <row r="333" spans="1:2">
      <c r="A333" t="s">
        <v>227</v>
      </c>
      <c r="B333" t="s">
        <v>361</v>
      </c>
    </row>
    <row r="334" spans="1:2">
      <c r="A334" t="s">
        <v>227</v>
      </c>
      <c r="B334" t="s">
        <v>362</v>
      </c>
    </row>
    <row r="335" spans="1:2">
      <c r="A335" t="s">
        <v>228</v>
      </c>
      <c r="B335" t="s">
        <v>359</v>
      </c>
    </row>
    <row r="336" spans="1:2">
      <c r="A336" t="s">
        <v>228</v>
      </c>
      <c r="B336" t="s">
        <v>360</v>
      </c>
    </row>
    <row r="337" spans="1:2">
      <c r="A337" t="s">
        <v>229</v>
      </c>
      <c r="B337" t="s">
        <v>361</v>
      </c>
    </row>
    <row r="338" spans="1:2">
      <c r="A338" t="s">
        <v>229</v>
      </c>
      <c r="B338" t="s">
        <v>362</v>
      </c>
    </row>
    <row r="339" spans="1:2">
      <c r="A339" t="s">
        <v>230</v>
      </c>
      <c r="B339" t="s">
        <v>361</v>
      </c>
    </row>
    <row r="340" spans="1:2">
      <c r="A340" t="s">
        <v>230</v>
      </c>
      <c r="B340" t="s">
        <v>362</v>
      </c>
    </row>
    <row r="341" spans="1:2">
      <c r="A341" t="s">
        <v>231</v>
      </c>
      <c r="B341" t="s">
        <v>360</v>
      </c>
    </row>
    <row r="342" spans="1:2">
      <c r="A342" t="s">
        <v>232</v>
      </c>
      <c r="B342" t="s">
        <v>359</v>
      </c>
    </row>
    <row r="343" spans="1:2">
      <c r="A343" t="s">
        <v>233</v>
      </c>
      <c r="B343" t="s">
        <v>361</v>
      </c>
    </row>
    <row r="344" spans="1:2">
      <c r="A344" t="s">
        <v>233</v>
      </c>
      <c r="B344" t="s">
        <v>363</v>
      </c>
    </row>
    <row r="345" spans="1:2">
      <c r="A345" t="s">
        <v>234</v>
      </c>
      <c r="B345" t="s">
        <v>359</v>
      </c>
    </row>
    <row r="346" spans="1:2">
      <c r="A346" t="s">
        <v>235</v>
      </c>
      <c r="B346" t="s">
        <v>359</v>
      </c>
    </row>
    <row r="347" spans="1:2">
      <c r="A347" t="s">
        <v>235</v>
      </c>
      <c r="B347" t="s">
        <v>360</v>
      </c>
    </row>
    <row r="348" spans="1:2">
      <c r="A348" t="s">
        <v>236</v>
      </c>
      <c r="B348" t="s">
        <v>361</v>
      </c>
    </row>
    <row r="349" spans="1:2">
      <c r="A349" t="s">
        <v>236</v>
      </c>
      <c r="B349" t="s">
        <v>362</v>
      </c>
    </row>
    <row r="350" spans="1:2">
      <c r="A350" t="s">
        <v>237</v>
      </c>
      <c r="B350" t="s">
        <v>359</v>
      </c>
    </row>
    <row r="351" spans="1:2">
      <c r="A351" t="s">
        <v>238</v>
      </c>
      <c r="B351" t="s">
        <v>361</v>
      </c>
    </row>
    <row r="352" spans="1:2">
      <c r="A352" t="s">
        <v>238</v>
      </c>
      <c r="B352" t="s">
        <v>363</v>
      </c>
    </row>
    <row r="353" spans="1:2">
      <c r="A353" t="s">
        <v>239</v>
      </c>
      <c r="B353" t="s">
        <v>362</v>
      </c>
    </row>
    <row r="354" spans="1:2">
      <c r="A354" t="s">
        <v>239</v>
      </c>
      <c r="B354" t="s">
        <v>360</v>
      </c>
    </row>
    <row r="355" spans="1:2">
      <c r="A355" t="s">
        <v>240</v>
      </c>
      <c r="B355" t="s">
        <v>360</v>
      </c>
    </row>
    <row r="356" spans="1:2">
      <c r="A356" t="s">
        <v>241</v>
      </c>
      <c r="B356" t="s">
        <v>359</v>
      </c>
    </row>
    <row r="357" spans="1:2">
      <c r="A357" t="s">
        <v>242</v>
      </c>
      <c r="B357" t="s">
        <v>360</v>
      </c>
    </row>
    <row r="358" spans="1:2">
      <c r="A358" t="s">
        <v>243</v>
      </c>
      <c r="B358" t="s">
        <v>361</v>
      </c>
    </row>
    <row r="359" spans="1:2">
      <c r="A359" t="s">
        <v>243</v>
      </c>
      <c r="B359" t="s">
        <v>363</v>
      </c>
    </row>
    <row r="360" spans="1:2">
      <c r="A360" t="s">
        <v>244</v>
      </c>
      <c r="B360" t="s">
        <v>362</v>
      </c>
    </row>
    <row r="361" spans="1:2">
      <c r="A361" t="s">
        <v>244</v>
      </c>
      <c r="B361" t="s">
        <v>360</v>
      </c>
    </row>
    <row r="362" spans="1:2">
      <c r="A362" t="s">
        <v>245</v>
      </c>
      <c r="B362" t="s">
        <v>361</v>
      </c>
    </row>
    <row r="363" spans="1:2">
      <c r="A363" t="s">
        <v>245</v>
      </c>
      <c r="B363" t="s">
        <v>363</v>
      </c>
    </row>
    <row r="364" spans="1:2">
      <c r="A364" t="s">
        <v>246</v>
      </c>
      <c r="B364" t="s">
        <v>361</v>
      </c>
    </row>
    <row r="365" spans="1:2">
      <c r="A365" t="s">
        <v>246</v>
      </c>
      <c r="B365" t="s">
        <v>359</v>
      </c>
    </row>
    <row r="366" spans="1:2">
      <c r="A366" t="s">
        <v>247</v>
      </c>
      <c r="B366" t="s">
        <v>361</v>
      </c>
    </row>
    <row r="367" spans="1:2">
      <c r="A367" t="s">
        <v>247</v>
      </c>
      <c r="B367" t="s">
        <v>363</v>
      </c>
    </row>
    <row r="368" spans="1:2">
      <c r="A368" t="s">
        <v>248</v>
      </c>
      <c r="B368" t="s">
        <v>361</v>
      </c>
    </row>
    <row r="369" spans="1:2">
      <c r="A369" t="s">
        <v>248</v>
      </c>
      <c r="B369" t="s">
        <v>363</v>
      </c>
    </row>
    <row r="370" spans="1:2">
      <c r="A370" t="s">
        <v>249</v>
      </c>
      <c r="B370" t="s">
        <v>359</v>
      </c>
    </row>
    <row r="371" spans="1:2">
      <c r="A371" t="s">
        <v>249</v>
      </c>
      <c r="B371" t="s">
        <v>360</v>
      </c>
    </row>
    <row r="372" spans="1:2">
      <c r="A372" t="s">
        <v>250</v>
      </c>
      <c r="B372" t="s">
        <v>361</v>
      </c>
    </row>
    <row r="373" spans="1:2">
      <c r="A373" t="s">
        <v>250</v>
      </c>
      <c r="B373" t="s">
        <v>363</v>
      </c>
    </row>
    <row r="374" spans="1:2">
      <c r="A374" t="s">
        <v>251</v>
      </c>
      <c r="B374" t="s">
        <v>360</v>
      </c>
    </row>
    <row r="375" spans="1:2">
      <c r="A375" t="s">
        <v>252</v>
      </c>
      <c r="B375" t="s">
        <v>360</v>
      </c>
    </row>
    <row r="376" spans="1:2">
      <c r="A376" t="s">
        <v>253</v>
      </c>
      <c r="B376" t="s">
        <v>361</v>
      </c>
    </row>
    <row r="377" spans="1:2">
      <c r="A377" t="s">
        <v>253</v>
      </c>
      <c r="B377" t="s">
        <v>363</v>
      </c>
    </row>
    <row r="378" spans="1:2">
      <c r="A378" t="s">
        <v>254</v>
      </c>
      <c r="B378" t="s">
        <v>361</v>
      </c>
    </row>
    <row r="379" spans="1:2">
      <c r="A379" t="s">
        <v>255</v>
      </c>
      <c r="B379" t="s">
        <v>361</v>
      </c>
    </row>
    <row r="380" spans="1:2">
      <c r="A380" t="s">
        <v>255</v>
      </c>
      <c r="B380" t="s">
        <v>363</v>
      </c>
    </row>
    <row r="381" spans="1:2">
      <c r="A381" t="s">
        <v>256</v>
      </c>
      <c r="B381" t="s">
        <v>359</v>
      </c>
    </row>
    <row r="382" spans="1:2">
      <c r="A382" t="s">
        <v>256</v>
      </c>
      <c r="B382" t="s">
        <v>360</v>
      </c>
    </row>
    <row r="383" spans="1:2">
      <c r="A383" t="s">
        <v>257</v>
      </c>
      <c r="B383" t="s">
        <v>362</v>
      </c>
    </row>
    <row r="384" spans="1:2">
      <c r="A384" t="s">
        <v>257</v>
      </c>
      <c r="B384" t="s">
        <v>360</v>
      </c>
    </row>
    <row r="385" spans="1:2">
      <c r="A385" t="s">
        <v>258</v>
      </c>
      <c r="B385" t="s">
        <v>361</v>
      </c>
    </row>
    <row r="386" spans="1:2">
      <c r="A386" t="s">
        <v>258</v>
      </c>
      <c r="B386" t="s">
        <v>363</v>
      </c>
    </row>
    <row r="387" spans="1:2">
      <c r="A387" t="s">
        <v>259</v>
      </c>
      <c r="B387" t="s">
        <v>360</v>
      </c>
    </row>
    <row r="388" spans="1:2">
      <c r="A388" t="s">
        <v>260</v>
      </c>
      <c r="B388" t="s">
        <v>361</v>
      </c>
    </row>
    <row r="389" spans="1:2">
      <c r="A389" t="s">
        <v>260</v>
      </c>
      <c r="B389" t="s">
        <v>362</v>
      </c>
    </row>
    <row r="390" spans="1:2">
      <c r="A390" t="s">
        <v>261</v>
      </c>
      <c r="B390" t="s">
        <v>361</v>
      </c>
    </row>
    <row r="391" spans="1:2">
      <c r="A391" t="s">
        <v>261</v>
      </c>
      <c r="B391" t="s">
        <v>362</v>
      </c>
    </row>
    <row r="392" spans="1:2">
      <c r="A392" t="s">
        <v>262</v>
      </c>
      <c r="B392" t="s">
        <v>361</v>
      </c>
    </row>
    <row r="393" spans="1:2">
      <c r="A393" t="s">
        <v>262</v>
      </c>
      <c r="B393" t="s">
        <v>363</v>
      </c>
    </row>
    <row r="394" spans="1:2">
      <c r="A394" t="s">
        <v>263</v>
      </c>
      <c r="B394" t="s">
        <v>362</v>
      </c>
    </row>
    <row r="395" spans="1:2">
      <c r="A395" t="s">
        <v>263</v>
      </c>
      <c r="B395" t="s">
        <v>360</v>
      </c>
    </row>
    <row r="396" spans="1:2">
      <c r="A396" t="s">
        <v>264</v>
      </c>
      <c r="B396" t="s">
        <v>359</v>
      </c>
    </row>
    <row r="397" spans="1:2">
      <c r="A397" t="s">
        <v>264</v>
      </c>
      <c r="B397" t="s">
        <v>360</v>
      </c>
    </row>
    <row r="398" spans="1:2">
      <c r="A398" t="s">
        <v>265</v>
      </c>
      <c r="B398" t="s">
        <v>361</v>
      </c>
    </row>
    <row r="399" spans="1:2">
      <c r="A399" t="s">
        <v>265</v>
      </c>
      <c r="B399" t="s">
        <v>362</v>
      </c>
    </row>
    <row r="400" spans="1:2">
      <c r="A400" t="s">
        <v>266</v>
      </c>
      <c r="B400" t="s">
        <v>361</v>
      </c>
    </row>
    <row r="401" spans="1:2">
      <c r="A401" t="s">
        <v>266</v>
      </c>
      <c r="B401" t="s">
        <v>359</v>
      </c>
    </row>
    <row r="402" spans="1:2">
      <c r="A402" t="s">
        <v>267</v>
      </c>
      <c r="B402" t="s">
        <v>361</v>
      </c>
    </row>
    <row r="403" spans="1:2">
      <c r="A403" t="s">
        <v>268</v>
      </c>
      <c r="B403" t="s">
        <v>360</v>
      </c>
    </row>
    <row r="404" spans="1:2">
      <c r="A404" t="s">
        <v>269</v>
      </c>
      <c r="B404" t="s">
        <v>359</v>
      </c>
    </row>
    <row r="405" spans="1:2">
      <c r="A405" t="s">
        <v>270</v>
      </c>
      <c r="B405" t="s">
        <v>361</v>
      </c>
    </row>
    <row r="406" spans="1:2">
      <c r="A406" t="s">
        <v>270</v>
      </c>
      <c r="B406" t="s">
        <v>363</v>
      </c>
    </row>
    <row r="407" spans="1:2">
      <c r="A407" t="s">
        <v>271</v>
      </c>
      <c r="B407" t="s">
        <v>361</v>
      </c>
    </row>
    <row r="408" spans="1:2">
      <c r="A408" t="s">
        <v>271</v>
      </c>
      <c r="B408" t="s">
        <v>363</v>
      </c>
    </row>
    <row r="409" spans="1:2">
      <c r="A409" t="s">
        <v>272</v>
      </c>
      <c r="B409" t="s">
        <v>360</v>
      </c>
    </row>
    <row r="410" spans="1:2">
      <c r="A410" t="s">
        <v>273</v>
      </c>
      <c r="B410" t="s">
        <v>361</v>
      </c>
    </row>
    <row r="411" spans="1:2">
      <c r="A411" t="s">
        <v>273</v>
      </c>
      <c r="B411" t="s">
        <v>362</v>
      </c>
    </row>
    <row r="412" spans="1:2">
      <c r="A412" t="s">
        <v>274</v>
      </c>
      <c r="B412" t="s">
        <v>362</v>
      </c>
    </row>
    <row r="413" spans="1:2">
      <c r="A413" t="s">
        <v>274</v>
      </c>
      <c r="B413" t="s">
        <v>360</v>
      </c>
    </row>
    <row r="414" spans="1:2">
      <c r="A414" t="s">
        <v>275</v>
      </c>
      <c r="B414" t="s">
        <v>361</v>
      </c>
    </row>
    <row r="415" spans="1:2">
      <c r="A415" t="s">
        <v>275</v>
      </c>
      <c r="B415" t="s">
        <v>362</v>
      </c>
    </row>
    <row r="416" spans="1:2">
      <c r="A416" t="s">
        <v>276</v>
      </c>
      <c r="B416" t="s">
        <v>361</v>
      </c>
    </row>
    <row r="417" spans="1:2">
      <c r="A417" t="s">
        <v>276</v>
      </c>
      <c r="B417" t="s">
        <v>359</v>
      </c>
    </row>
    <row r="418" spans="1:2">
      <c r="A418" t="s">
        <v>277</v>
      </c>
      <c r="B418" t="s">
        <v>359</v>
      </c>
    </row>
    <row r="419" spans="1:2">
      <c r="A419" t="s">
        <v>277</v>
      </c>
      <c r="B419" t="s">
        <v>360</v>
      </c>
    </row>
    <row r="420" spans="1:2">
      <c r="A420" t="s">
        <v>278</v>
      </c>
      <c r="B420" t="s">
        <v>362</v>
      </c>
    </row>
    <row r="421" spans="1:2">
      <c r="A421" t="s">
        <v>278</v>
      </c>
      <c r="B421" t="s">
        <v>360</v>
      </c>
    </row>
    <row r="422" spans="1:2">
      <c r="A422" t="s">
        <v>279</v>
      </c>
      <c r="B422" t="s">
        <v>359</v>
      </c>
    </row>
    <row r="423" spans="1:2">
      <c r="A423" t="s">
        <v>280</v>
      </c>
      <c r="B423" t="s">
        <v>362</v>
      </c>
    </row>
    <row r="424" spans="1:2">
      <c r="A424" t="s">
        <v>280</v>
      </c>
      <c r="B424" t="s">
        <v>360</v>
      </c>
    </row>
    <row r="425" spans="1:2">
      <c r="A425" t="s">
        <v>281</v>
      </c>
      <c r="B425" t="s">
        <v>361</v>
      </c>
    </row>
    <row r="426" spans="1:2">
      <c r="A426" t="s">
        <v>281</v>
      </c>
      <c r="B426" t="s">
        <v>363</v>
      </c>
    </row>
    <row r="427" spans="1:2">
      <c r="A427" t="s">
        <v>282</v>
      </c>
      <c r="B427" t="s">
        <v>361</v>
      </c>
    </row>
    <row r="428" spans="1:2">
      <c r="A428" t="s">
        <v>282</v>
      </c>
      <c r="B428" t="s">
        <v>359</v>
      </c>
    </row>
    <row r="429" spans="1:2">
      <c r="A429" t="s">
        <v>283</v>
      </c>
      <c r="B429" t="s">
        <v>361</v>
      </c>
    </row>
    <row r="430" spans="1:2">
      <c r="A430" t="s">
        <v>283</v>
      </c>
      <c r="B430" t="s">
        <v>362</v>
      </c>
    </row>
    <row r="431" spans="1:2">
      <c r="A431" t="s">
        <v>284</v>
      </c>
      <c r="B431" t="s">
        <v>360</v>
      </c>
    </row>
    <row r="432" spans="1:2">
      <c r="A432" t="s">
        <v>285</v>
      </c>
      <c r="B432" t="s">
        <v>361</v>
      </c>
    </row>
    <row r="433" spans="1:2">
      <c r="A433" t="s">
        <v>285</v>
      </c>
      <c r="B433" t="s">
        <v>363</v>
      </c>
    </row>
    <row r="434" spans="1:2">
      <c r="A434" t="s">
        <v>286</v>
      </c>
      <c r="B434" t="s">
        <v>361</v>
      </c>
    </row>
    <row r="435" spans="1:2">
      <c r="A435" t="s">
        <v>286</v>
      </c>
      <c r="B435" t="s">
        <v>359</v>
      </c>
    </row>
    <row r="436" spans="1:2">
      <c r="A436" t="s">
        <v>287</v>
      </c>
      <c r="B436" t="s">
        <v>361</v>
      </c>
    </row>
    <row r="437" spans="1:2">
      <c r="A437" t="s">
        <v>287</v>
      </c>
      <c r="B437" t="s">
        <v>359</v>
      </c>
    </row>
    <row r="438" spans="1:2">
      <c r="A438" t="s">
        <v>288</v>
      </c>
      <c r="B438" t="s">
        <v>361</v>
      </c>
    </row>
    <row r="439" spans="1:2">
      <c r="A439" t="s">
        <v>288</v>
      </c>
      <c r="B439" t="s">
        <v>362</v>
      </c>
    </row>
    <row r="440" spans="1:2">
      <c r="A440" t="s">
        <v>289</v>
      </c>
      <c r="B440" t="s">
        <v>361</v>
      </c>
    </row>
    <row r="441" spans="1:2">
      <c r="A441" t="s">
        <v>289</v>
      </c>
      <c r="B441" t="s">
        <v>362</v>
      </c>
    </row>
    <row r="442" spans="1:2">
      <c r="A442" t="s">
        <v>290</v>
      </c>
      <c r="B442" t="s">
        <v>359</v>
      </c>
    </row>
    <row r="443" spans="1:2">
      <c r="A443" t="s">
        <v>291</v>
      </c>
      <c r="B443" t="s">
        <v>360</v>
      </c>
    </row>
    <row r="444" spans="1:2">
      <c r="A444" t="s">
        <v>292</v>
      </c>
      <c r="B444" t="s">
        <v>361</v>
      </c>
    </row>
    <row r="445" spans="1:2">
      <c r="A445" t="s">
        <v>293</v>
      </c>
      <c r="B445" t="s">
        <v>361</v>
      </c>
    </row>
    <row r="446" spans="1:2">
      <c r="A446" t="s">
        <v>294</v>
      </c>
      <c r="B446" t="s">
        <v>360</v>
      </c>
    </row>
    <row r="447" spans="1:2">
      <c r="A447" t="s">
        <v>295</v>
      </c>
      <c r="B447" t="s">
        <v>360</v>
      </c>
    </row>
    <row r="448" spans="1:2">
      <c r="A448" t="s">
        <v>296</v>
      </c>
      <c r="B448" t="s">
        <v>359</v>
      </c>
    </row>
    <row r="449" spans="1:2">
      <c r="A449" t="s">
        <v>296</v>
      </c>
      <c r="B449" t="s">
        <v>360</v>
      </c>
    </row>
    <row r="450" spans="1:2">
      <c r="A450" t="s">
        <v>297</v>
      </c>
      <c r="B450" t="s">
        <v>359</v>
      </c>
    </row>
    <row r="451" spans="1:2">
      <c r="A451" t="s">
        <v>297</v>
      </c>
      <c r="B451" t="s">
        <v>360</v>
      </c>
    </row>
    <row r="452" spans="1:2">
      <c r="A452" t="s">
        <v>298</v>
      </c>
      <c r="B452" t="s">
        <v>361</v>
      </c>
    </row>
    <row r="453" spans="1:2">
      <c r="A453" t="s">
        <v>298</v>
      </c>
      <c r="B453" t="s">
        <v>362</v>
      </c>
    </row>
    <row r="454" spans="1:2">
      <c r="A454" t="s">
        <v>299</v>
      </c>
      <c r="B454" t="s">
        <v>359</v>
      </c>
    </row>
    <row r="455" spans="1:2">
      <c r="A455" t="s">
        <v>299</v>
      </c>
      <c r="B455" t="s">
        <v>360</v>
      </c>
    </row>
    <row r="456" spans="1:2">
      <c r="A456" t="s">
        <v>300</v>
      </c>
      <c r="B456" t="s">
        <v>362</v>
      </c>
    </row>
    <row r="457" spans="1:2">
      <c r="A457" t="s">
        <v>300</v>
      </c>
      <c r="B457" t="s">
        <v>360</v>
      </c>
    </row>
    <row r="458" spans="1:2">
      <c r="A458" t="s">
        <v>301</v>
      </c>
      <c r="B458" t="s">
        <v>361</v>
      </c>
    </row>
    <row r="459" spans="1:2">
      <c r="A459" t="s">
        <v>302</v>
      </c>
      <c r="B459" t="s">
        <v>360</v>
      </c>
    </row>
    <row r="460" spans="1:2">
      <c r="A460" t="s">
        <v>303</v>
      </c>
      <c r="B460" t="s">
        <v>361</v>
      </c>
    </row>
    <row r="461" spans="1:2">
      <c r="A461" t="s">
        <v>303</v>
      </c>
      <c r="B461" t="s">
        <v>363</v>
      </c>
    </row>
    <row r="462" spans="1:2">
      <c r="A462" t="s">
        <v>304</v>
      </c>
      <c r="B462" t="s">
        <v>361</v>
      </c>
    </row>
    <row r="463" spans="1:2">
      <c r="A463" t="s">
        <v>305</v>
      </c>
      <c r="B463" t="s">
        <v>361</v>
      </c>
    </row>
    <row r="464" spans="1:2">
      <c r="A464" t="s">
        <v>305</v>
      </c>
      <c r="B464" t="s">
        <v>363</v>
      </c>
    </row>
    <row r="465" spans="1:2">
      <c r="A465" t="s">
        <v>306</v>
      </c>
      <c r="B465" t="s">
        <v>361</v>
      </c>
    </row>
    <row r="466" spans="1:2">
      <c r="A466" t="s">
        <v>306</v>
      </c>
      <c r="B466" t="s">
        <v>362</v>
      </c>
    </row>
    <row r="467" spans="1:2">
      <c r="A467" t="s">
        <v>307</v>
      </c>
      <c r="B467" t="s">
        <v>360</v>
      </c>
    </row>
    <row r="468" spans="1:2">
      <c r="A468" t="s">
        <v>308</v>
      </c>
      <c r="B468" t="s">
        <v>359</v>
      </c>
    </row>
    <row r="469" spans="1:2">
      <c r="A469" t="s">
        <v>309</v>
      </c>
      <c r="B469" t="s">
        <v>359</v>
      </c>
    </row>
    <row r="470" spans="1:2">
      <c r="A470" t="s">
        <v>309</v>
      </c>
      <c r="B470" t="s">
        <v>360</v>
      </c>
    </row>
    <row r="471" spans="1:2">
      <c r="A471" t="s">
        <v>310</v>
      </c>
      <c r="B471" t="s">
        <v>362</v>
      </c>
    </row>
    <row r="472" spans="1:2">
      <c r="A472" t="s">
        <v>310</v>
      </c>
      <c r="B472" t="s">
        <v>360</v>
      </c>
    </row>
    <row r="473" spans="1:2">
      <c r="A473" t="s">
        <v>311</v>
      </c>
      <c r="B473" t="s">
        <v>361</v>
      </c>
    </row>
    <row r="474" spans="1:2">
      <c r="A474" t="s">
        <v>311</v>
      </c>
      <c r="B474" t="s">
        <v>359</v>
      </c>
    </row>
    <row r="475" spans="1:2">
      <c r="A475" t="s">
        <v>312</v>
      </c>
      <c r="B475" t="s">
        <v>361</v>
      </c>
    </row>
    <row r="476" spans="1:2">
      <c r="A476" t="s">
        <v>313</v>
      </c>
      <c r="B476" t="s">
        <v>360</v>
      </c>
    </row>
    <row r="477" spans="1:2">
      <c r="A477" t="s">
        <v>314</v>
      </c>
      <c r="B477" t="s">
        <v>362</v>
      </c>
    </row>
    <row r="478" spans="1:2">
      <c r="A478" t="s">
        <v>314</v>
      </c>
      <c r="B478" t="s">
        <v>360</v>
      </c>
    </row>
    <row r="479" spans="1:2">
      <c r="A479" t="s">
        <v>315</v>
      </c>
      <c r="B479" t="s">
        <v>359</v>
      </c>
    </row>
    <row r="480" spans="1:2">
      <c r="A480" t="s">
        <v>316</v>
      </c>
      <c r="B480" t="s">
        <v>360</v>
      </c>
    </row>
    <row r="481" spans="1:2">
      <c r="A481" t="s">
        <v>317</v>
      </c>
      <c r="B481" t="s">
        <v>361</v>
      </c>
    </row>
    <row r="482" spans="1:2">
      <c r="A482" t="s">
        <v>317</v>
      </c>
      <c r="B482" t="s">
        <v>362</v>
      </c>
    </row>
    <row r="483" spans="1:2">
      <c r="A483" t="s">
        <v>318</v>
      </c>
      <c r="B483" t="s">
        <v>359</v>
      </c>
    </row>
    <row r="484" spans="1:2">
      <c r="A484" t="s">
        <v>318</v>
      </c>
      <c r="B484" t="s">
        <v>360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CCA9F0-E6C8-437F-9E18-BBE2DB634D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Posts</vt:lpstr>
      <vt:lpstr>Campaign Metadata </vt:lpstr>
      <vt:lpstr>Engagement Summary</vt:lpstr>
      <vt:lpstr>hashtag splitting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Mudabir Lateef</dc:creator>
  <cp:lastModifiedBy>Mudabir Lateef</cp:lastModifiedBy>
  <dcterms:created xsi:type="dcterms:W3CDTF">2015-06-05T18:17:20Z</dcterms:created>
  <dcterms:modified xsi:type="dcterms:W3CDTF">2026-02-21T04:06:37Z</dcterms:modified>
</cp:coreProperties>
</file>